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udit-my.sharepoint.com/personal/aherr174_fiu_edu/Documents/Asian Swamp Eel Dissection Data (USE ME)/Data_Files/Eel_Data/"/>
    </mc:Choice>
  </mc:AlternateContent>
  <xr:revisionPtr revIDLastSave="84" documentId="13_ncr:1_{8F722CF4-C839-4D51-87EC-2299A2B55AD5}" xr6:coauthVersionLast="47" xr6:coauthVersionMax="47" xr10:uidLastSave="{062FCB3B-0467-4B73-9FE9-60765F53550F}"/>
  <bookViews>
    <workbookView xWindow="-110" yWindow="-110" windowWidth="19420" windowHeight="11500" activeTab="5" xr2:uid="{00000000-000D-0000-FFFF-FFFF00000000}"/>
  </bookViews>
  <sheets>
    <sheet name="Formulas" sheetId="2" r:id="rId1"/>
    <sheet name="Crayfish" sheetId="1" r:id="rId2"/>
    <sheet name="Odonates" sheetId="4" r:id="rId3"/>
    <sheet name="Shrimp" sheetId="5" r:id="rId4"/>
    <sheet name="Fish" sheetId="6" r:id="rId5"/>
    <sheet name="Hemipterans" sheetId="7" r:id="rId6"/>
    <sheet name="All Prey Calories" sheetId="8" r:id="rId7"/>
    <sheet name="Prey Calories (&gt;250 mm TL)" sheetId="9" r:id="rId8"/>
  </sheets>
  <externalReferences>
    <externalReference r:id="rId9"/>
    <externalReference r:id="rId10"/>
  </externalReferences>
  <definedNames>
    <definedName name="_xlnm._FilterDatabase" localSheetId="6" hidden="1">'All Prey Calories'!$A$1:$B$473</definedName>
    <definedName name="_xlnm._FilterDatabase" localSheetId="1" hidden="1">Crayfish!$A$1:$W$200</definedName>
    <definedName name="_xlnm._FilterDatabase" localSheetId="4" hidden="1">Fish!$AD$1:$AJ$39</definedName>
    <definedName name="_xlnm._FilterDatabase" localSheetId="5" hidden="1">Hemipterans!$AA$1:$AG$33</definedName>
    <definedName name="_xlnm._FilterDatabase" localSheetId="2" hidden="1">Odonates!$AG$1:$AL$217</definedName>
    <definedName name="_xlnm._FilterDatabase" localSheetId="3" hidden="1">Shrimp!$A$1:$P$901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AI7" i="1"/>
  <c r="AH7" i="5"/>
  <c r="AG7" i="5"/>
  <c r="AR7" i="4"/>
  <c r="AS7" i="4"/>
  <c r="AN8" i="7"/>
  <c r="AM8" i="7"/>
  <c r="AI37" i="6"/>
  <c r="AJ37" i="6" s="1"/>
  <c r="AG34" i="6"/>
  <c r="AH34" i="6" s="1"/>
  <c r="AI34" i="6" s="1"/>
  <c r="AJ34" i="6" s="1"/>
  <c r="AG31" i="6"/>
  <c r="T3" i="5"/>
  <c r="R6" i="5"/>
  <c r="S6" i="5"/>
  <c r="AD2" i="1"/>
  <c r="AE2" i="1" s="1"/>
  <c r="AF2" i="1" s="1"/>
  <c r="AD3" i="1"/>
  <c r="AE3" i="1" s="1"/>
  <c r="AF3" i="1" s="1"/>
  <c r="AD4" i="1"/>
  <c r="AE4" i="1" s="1"/>
  <c r="AF4" i="1" s="1"/>
  <c r="AD5" i="1"/>
  <c r="AE5" i="1" s="1"/>
  <c r="AF5" i="1" s="1"/>
  <c r="AD6" i="1"/>
  <c r="AE6" i="1" s="1"/>
  <c r="AF6" i="1" s="1"/>
  <c r="AD7" i="1"/>
  <c r="AE7" i="1" s="1"/>
  <c r="AF7" i="1" s="1"/>
  <c r="AD8" i="1"/>
  <c r="AE8" i="1" s="1"/>
  <c r="AF8" i="1" s="1"/>
  <c r="AD9" i="1"/>
  <c r="AE9" i="1" s="1"/>
  <c r="AF9" i="1" s="1"/>
  <c r="AD10" i="1"/>
  <c r="AE10" i="1" s="1"/>
  <c r="AF10" i="1" s="1"/>
  <c r="AD11" i="1"/>
  <c r="AE11" i="1" s="1"/>
  <c r="AF11" i="1" s="1"/>
  <c r="AD12" i="1"/>
  <c r="AE12" i="1" s="1"/>
  <c r="AF12" i="1" s="1"/>
  <c r="AD13" i="1"/>
  <c r="AE13" i="1" s="1"/>
  <c r="AF13" i="1" s="1"/>
  <c r="AD14" i="1"/>
  <c r="AD15" i="1"/>
  <c r="AE15" i="1" s="1"/>
  <c r="AF15" i="1" s="1"/>
  <c r="AD16" i="1"/>
  <c r="AD17" i="1"/>
  <c r="AE17" i="1" s="1"/>
  <c r="AF17" i="1" s="1"/>
  <c r="AD18" i="1"/>
  <c r="AE18" i="1" s="1"/>
  <c r="AF18" i="1" s="1"/>
  <c r="AD19" i="1"/>
  <c r="AE19" i="1" s="1"/>
  <c r="AF19" i="1" s="1"/>
  <c r="AD20" i="1"/>
  <c r="AE20" i="1" s="1"/>
  <c r="AF20" i="1" s="1"/>
  <c r="AD21" i="1"/>
  <c r="AE21" i="1"/>
  <c r="AF21" i="1" s="1"/>
  <c r="AD22" i="1"/>
  <c r="AE22" i="1" s="1"/>
  <c r="AF22" i="1" s="1"/>
  <c r="AD23" i="1"/>
  <c r="AE23" i="1" s="1"/>
  <c r="AF23" i="1" s="1"/>
  <c r="AD24" i="1"/>
  <c r="AE24" i="1" s="1"/>
  <c r="AF24" i="1" s="1"/>
  <c r="AD25" i="1"/>
  <c r="AE25" i="1" s="1"/>
  <c r="AF25" i="1" s="1"/>
  <c r="AD26" i="1"/>
  <c r="AE26" i="1" s="1"/>
  <c r="AF26" i="1" s="1"/>
  <c r="AD27" i="1"/>
  <c r="AE27" i="1" s="1"/>
  <c r="AF27" i="1" s="1"/>
  <c r="AD28" i="1"/>
  <c r="AE28" i="1" s="1"/>
  <c r="AF28" i="1" s="1"/>
  <c r="AD29" i="1"/>
  <c r="AE29" i="1" s="1"/>
  <c r="AF29" i="1" s="1"/>
  <c r="AD30" i="1"/>
  <c r="AE30" i="1" s="1"/>
  <c r="AF30" i="1" s="1"/>
  <c r="AD31" i="1"/>
  <c r="AE31" i="1" s="1"/>
  <c r="AF31" i="1" s="1"/>
  <c r="AD32" i="1"/>
  <c r="AE32" i="1" s="1"/>
  <c r="AF32" i="1" s="1"/>
  <c r="AD33" i="1"/>
  <c r="AE33" i="1" s="1"/>
  <c r="AF33" i="1" s="1"/>
  <c r="AD34" i="1"/>
  <c r="AE34" i="1" s="1"/>
  <c r="AF34" i="1" s="1"/>
  <c r="AD35" i="1"/>
  <c r="AE35" i="1" s="1"/>
  <c r="AF35" i="1" s="1"/>
  <c r="AD36" i="1"/>
  <c r="AE36" i="1" s="1"/>
  <c r="AF36" i="1" s="1"/>
  <c r="AD37" i="1"/>
  <c r="AE37" i="1" s="1"/>
  <c r="AF37" i="1" s="1"/>
  <c r="AD38" i="1"/>
  <c r="AE38" i="1" s="1"/>
  <c r="AF38" i="1" s="1"/>
  <c r="AD39" i="1"/>
  <c r="AE39" i="1" s="1"/>
  <c r="AF39" i="1" s="1"/>
  <c r="AD40" i="1"/>
  <c r="AE40" i="1" s="1"/>
  <c r="AF40" i="1" s="1"/>
  <c r="AD41" i="1"/>
  <c r="AE41" i="1" s="1"/>
  <c r="AF41" i="1" s="1"/>
  <c r="AD42" i="1"/>
  <c r="AE42" i="1" s="1"/>
  <c r="AF42" i="1" s="1"/>
  <c r="AD43" i="1"/>
  <c r="AE43" i="1" s="1"/>
  <c r="AF43" i="1" s="1"/>
  <c r="AD44" i="1"/>
  <c r="AE44" i="1" s="1"/>
  <c r="AF44" i="1" s="1"/>
  <c r="AD45" i="1"/>
  <c r="AE45" i="1" s="1"/>
  <c r="AF45" i="1" s="1"/>
  <c r="AD46" i="1"/>
  <c r="AE46" i="1" s="1"/>
  <c r="AF46" i="1" s="1"/>
  <c r="AD47" i="1"/>
  <c r="AE47" i="1" s="1"/>
  <c r="AF47" i="1" s="1"/>
  <c r="AD48" i="1"/>
  <c r="AE48" i="1" s="1"/>
  <c r="AF48" i="1" s="1"/>
  <c r="AD49" i="1"/>
  <c r="AE49" i="1" s="1"/>
  <c r="AF49" i="1" s="1"/>
  <c r="AD50" i="1"/>
  <c r="AE50" i="1" s="1"/>
  <c r="AF50" i="1" s="1"/>
  <c r="AD51" i="1"/>
  <c r="AE51" i="1" s="1"/>
  <c r="AF51" i="1" s="1"/>
  <c r="AD52" i="1"/>
  <c r="AE52" i="1" s="1"/>
  <c r="AF52" i="1" s="1"/>
  <c r="AD53" i="1"/>
  <c r="AE53" i="1" s="1"/>
  <c r="AF53" i="1" s="1"/>
  <c r="AD54" i="1"/>
  <c r="AE54" i="1" s="1"/>
  <c r="AF54" i="1" s="1"/>
  <c r="AD55" i="1"/>
  <c r="AE55" i="1" s="1"/>
  <c r="AF55" i="1" s="1"/>
  <c r="AD56" i="1"/>
  <c r="AE56" i="1" s="1"/>
  <c r="AF56" i="1" s="1"/>
  <c r="AD57" i="1"/>
  <c r="AE57" i="1" s="1"/>
  <c r="AF57" i="1" s="1"/>
  <c r="AD58" i="1"/>
  <c r="AE58" i="1" s="1"/>
  <c r="AF58" i="1" s="1"/>
  <c r="AD59" i="1"/>
  <c r="AE59" i="1" s="1"/>
  <c r="AF59" i="1" s="1"/>
  <c r="AD60" i="1"/>
  <c r="AE60" i="1" s="1"/>
  <c r="AF60" i="1" s="1"/>
  <c r="AD61" i="1"/>
  <c r="AE61" i="1" s="1"/>
  <c r="AF61" i="1" s="1"/>
  <c r="AD62" i="1"/>
  <c r="AE62" i="1" s="1"/>
  <c r="AF62" i="1" s="1"/>
  <c r="AD63" i="1"/>
  <c r="AE63" i="1" s="1"/>
  <c r="AF63" i="1" s="1"/>
  <c r="AD64" i="1"/>
  <c r="AE64" i="1" s="1"/>
  <c r="AF64" i="1" s="1"/>
  <c r="AD65" i="1"/>
  <c r="AE65" i="1" s="1"/>
  <c r="AF65" i="1" s="1"/>
  <c r="AD66" i="1"/>
  <c r="AE66" i="1" s="1"/>
  <c r="AF66" i="1" s="1"/>
  <c r="AD67" i="1"/>
  <c r="AE67" i="1" s="1"/>
  <c r="AF67" i="1" s="1"/>
  <c r="AD68" i="1"/>
  <c r="AE68" i="1" s="1"/>
  <c r="AF68" i="1" s="1"/>
  <c r="AD69" i="1"/>
  <c r="AE69" i="1" s="1"/>
  <c r="AF69" i="1" s="1"/>
  <c r="AD70" i="1"/>
  <c r="AE70" i="1" s="1"/>
  <c r="AF70" i="1" s="1"/>
  <c r="AD71" i="1"/>
  <c r="AE71" i="1" s="1"/>
  <c r="AF71" i="1" s="1"/>
  <c r="AD72" i="1"/>
  <c r="AE72" i="1" s="1"/>
  <c r="AF72" i="1" s="1"/>
  <c r="AD73" i="1"/>
  <c r="AE73" i="1" s="1"/>
  <c r="AF73" i="1" s="1"/>
  <c r="AD74" i="1"/>
  <c r="AE74" i="1" s="1"/>
  <c r="AF74" i="1" s="1"/>
  <c r="AD75" i="1"/>
  <c r="AE75" i="1" s="1"/>
  <c r="AF75" i="1" s="1"/>
  <c r="AD76" i="1"/>
  <c r="AE76" i="1" s="1"/>
  <c r="AF76" i="1" s="1"/>
  <c r="AD77" i="1"/>
  <c r="AE77" i="1" s="1"/>
  <c r="AF77" i="1" s="1"/>
  <c r="AD78" i="1"/>
  <c r="AE78" i="1" s="1"/>
  <c r="AF78" i="1" s="1"/>
  <c r="AD79" i="1"/>
  <c r="AE79" i="1" s="1"/>
  <c r="AF79" i="1" s="1"/>
  <c r="AD80" i="1"/>
  <c r="AE80" i="1" s="1"/>
  <c r="AF80" i="1" s="1"/>
  <c r="AD81" i="1"/>
  <c r="AE81" i="1" s="1"/>
  <c r="AF81" i="1" s="1"/>
  <c r="AD82" i="1"/>
  <c r="AE82" i="1" s="1"/>
  <c r="AF82" i="1" s="1"/>
  <c r="AD83" i="1"/>
  <c r="AE83" i="1" s="1"/>
  <c r="AF83" i="1" s="1"/>
  <c r="AD84" i="1"/>
  <c r="AE84" i="1" s="1"/>
  <c r="AF84" i="1" s="1"/>
  <c r="AD85" i="1"/>
  <c r="AE85" i="1" s="1"/>
  <c r="AF85" i="1" s="1"/>
  <c r="AD86" i="1"/>
  <c r="AE86" i="1" s="1"/>
  <c r="AF86" i="1" s="1"/>
  <c r="AD87" i="1"/>
  <c r="AE87" i="1" s="1"/>
  <c r="AF87" i="1" s="1"/>
  <c r="AD88" i="1"/>
  <c r="AE88" i="1" s="1"/>
  <c r="AF88" i="1" s="1"/>
  <c r="AD89" i="1"/>
  <c r="AE89" i="1" s="1"/>
  <c r="AF89" i="1" s="1"/>
  <c r="AD90" i="1"/>
  <c r="AE90" i="1" s="1"/>
  <c r="AF90" i="1" s="1"/>
  <c r="AD91" i="1"/>
  <c r="AE91" i="1" s="1"/>
  <c r="AF91" i="1" s="1"/>
  <c r="AD92" i="1"/>
  <c r="AE92" i="1" s="1"/>
  <c r="AF92" i="1" s="1"/>
  <c r="AD93" i="1"/>
  <c r="AE93" i="1" s="1"/>
  <c r="AF93" i="1" s="1"/>
  <c r="AD94" i="1"/>
  <c r="AE94" i="1" s="1"/>
  <c r="AF94" i="1" s="1"/>
  <c r="AD95" i="1"/>
  <c r="AE95" i="1" s="1"/>
  <c r="AF95" i="1" s="1"/>
  <c r="AD96" i="1"/>
  <c r="AE96" i="1" s="1"/>
  <c r="AF96" i="1" s="1"/>
  <c r="AD97" i="1"/>
  <c r="AE97" i="1" s="1"/>
  <c r="AF97" i="1" s="1"/>
  <c r="AD98" i="1"/>
  <c r="AE98" i="1" s="1"/>
  <c r="AF98" i="1" s="1"/>
  <c r="AD99" i="1"/>
  <c r="AE99" i="1" s="1"/>
  <c r="AF99" i="1" s="1"/>
  <c r="AD100" i="1"/>
  <c r="AE100" i="1" s="1"/>
  <c r="AF100" i="1" s="1"/>
  <c r="AD101" i="1"/>
  <c r="AE101" i="1" s="1"/>
  <c r="AF101" i="1" s="1"/>
  <c r="AD102" i="1"/>
  <c r="AE102" i="1" s="1"/>
  <c r="AF102" i="1" s="1"/>
  <c r="AD103" i="1"/>
  <c r="AE103" i="1" s="1"/>
  <c r="AF103" i="1" s="1"/>
  <c r="AD104" i="1"/>
  <c r="AE104" i="1" s="1"/>
  <c r="AF104" i="1" s="1"/>
  <c r="AD105" i="1"/>
  <c r="AE105" i="1" s="1"/>
  <c r="AF105" i="1" s="1"/>
  <c r="AD106" i="1"/>
  <c r="AE106" i="1" s="1"/>
  <c r="AF106" i="1" s="1"/>
  <c r="AD107" i="1"/>
  <c r="AE107" i="1" s="1"/>
  <c r="AF107" i="1" s="1"/>
  <c r="AD108" i="1"/>
  <c r="AE108" i="1" s="1"/>
  <c r="AF108" i="1" s="1"/>
  <c r="AD109" i="1"/>
  <c r="AE109" i="1" s="1"/>
  <c r="AF109" i="1" s="1"/>
  <c r="AD110" i="1"/>
  <c r="AE110" i="1" s="1"/>
  <c r="AF110" i="1" s="1"/>
  <c r="AD111" i="1"/>
  <c r="AE111" i="1" s="1"/>
  <c r="AF111" i="1" s="1"/>
  <c r="AD112" i="1"/>
  <c r="AE112" i="1" s="1"/>
  <c r="AF112" i="1" s="1"/>
  <c r="AD113" i="1"/>
  <c r="AE113" i="1" s="1"/>
  <c r="AF113" i="1" s="1"/>
  <c r="AD114" i="1"/>
  <c r="AE114" i="1" s="1"/>
  <c r="AF114" i="1" s="1"/>
  <c r="AD115" i="1"/>
  <c r="AE115" i="1" s="1"/>
  <c r="AF115" i="1" s="1"/>
  <c r="AD116" i="1"/>
  <c r="AE116" i="1" s="1"/>
  <c r="AF116" i="1" s="1"/>
  <c r="AD117" i="1"/>
  <c r="AE117" i="1" s="1"/>
  <c r="AF117" i="1" s="1"/>
  <c r="AD118" i="1"/>
  <c r="AE118" i="1" s="1"/>
  <c r="AF118" i="1" s="1"/>
  <c r="AD119" i="1"/>
  <c r="AE119" i="1"/>
  <c r="AF119" i="1" s="1"/>
  <c r="AD120" i="1"/>
  <c r="AE120" i="1" s="1"/>
  <c r="AF120" i="1" s="1"/>
  <c r="AD121" i="1"/>
  <c r="AE121" i="1" s="1"/>
  <c r="AF121" i="1" s="1"/>
  <c r="AD122" i="1"/>
  <c r="AE122" i="1" s="1"/>
  <c r="AF122" i="1" s="1"/>
  <c r="AD123" i="1"/>
  <c r="AE123" i="1" s="1"/>
  <c r="AF123" i="1" s="1"/>
  <c r="AD124" i="1"/>
  <c r="AE124" i="1" s="1"/>
  <c r="AF124" i="1" s="1"/>
  <c r="AD125" i="1"/>
  <c r="AE125" i="1" s="1"/>
  <c r="AF125" i="1" s="1"/>
  <c r="AD126" i="1"/>
  <c r="AE126" i="1" s="1"/>
  <c r="AF126" i="1" s="1"/>
  <c r="AD127" i="1"/>
  <c r="AE127" i="1" s="1"/>
  <c r="AF127" i="1" s="1"/>
  <c r="AD128" i="1"/>
  <c r="AE128" i="1" s="1"/>
  <c r="AF128" i="1" s="1"/>
  <c r="AD129" i="1"/>
  <c r="AE129" i="1" s="1"/>
  <c r="AF129" i="1" s="1"/>
  <c r="AD130" i="1"/>
  <c r="AE130" i="1" s="1"/>
  <c r="AF130" i="1" s="1"/>
  <c r="AD131" i="1"/>
  <c r="AE131" i="1" s="1"/>
  <c r="AF131" i="1" s="1"/>
  <c r="AD132" i="1"/>
  <c r="AE132" i="1" s="1"/>
  <c r="AF132" i="1" s="1"/>
  <c r="AD133" i="1"/>
  <c r="AE133" i="1"/>
  <c r="AF133" i="1" s="1"/>
  <c r="AD134" i="1"/>
  <c r="AE134" i="1" s="1"/>
  <c r="AF134" i="1" s="1"/>
  <c r="AD135" i="1"/>
  <c r="AE135" i="1" s="1"/>
  <c r="AF135" i="1" s="1"/>
  <c r="AD136" i="1"/>
  <c r="AE136" i="1" s="1"/>
  <c r="AF136" i="1" s="1"/>
  <c r="AD137" i="1"/>
  <c r="AE137" i="1" s="1"/>
  <c r="AF137" i="1" s="1"/>
  <c r="AD138" i="1"/>
  <c r="AE138" i="1" s="1"/>
  <c r="AF138" i="1" s="1"/>
  <c r="AD139" i="1"/>
  <c r="AE139" i="1" s="1"/>
  <c r="AF139" i="1" s="1"/>
  <c r="AD140" i="1"/>
  <c r="AE140" i="1" s="1"/>
  <c r="AF140" i="1" s="1"/>
  <c r="AD141" i="1"/>
  <c r="AE141" i="1"/>
  <c r="AF141" i="1" s="1"/>
  <c r="AD142" i="1"/>
  <c r="AE142" i="1" s="1"/>
  <c r="AF142" i="1" s="1"/>
  <c r="AD143" i="1"/>
  <c r="AE143" i="1" s="1"/>
  <c r="AF143" i="1" s="1"/>
  <c r="AD144" i="1"/>
  <c r="AE144" i="1" s="1"/>
  <c r="AF144" i="1" s="1"/>
  <c r="AD145" i="1"/>
  <c r="AE145" i="1" s="1"/>
  <c r="AF145" i="1" s="1"/>
  <c r="AD146" i="1"/>
  <c r="AE146" i="1" s="1"/>
  <c r="AF146" i="1" s="1"/>
  <c r="AD147" i="1"/>
  <c r="AE147" i="1" s="1"/>
  <c r="AF147" i="1" s="1"/>
  <c r="AD148" i="1"/>
  <c r="AE148" i="1" s="1"/>
  <c r="AF148" i="1" s="1"/>
  <c r="AD149" i="1"/>
  <c r="AE149" i="1" s="1"/>
  <c r="AF149" i="1" s="1"/>
  <c r="AD150" i="1"/>
  <c r="AE150" i="1" s="1"/>
  <c r="AF150" i="1" s="1"/>
  <c r="AE30" i="7"/>
  <c r="AF30" i="7" s="1"/>
  <c r="AG30" i="7" s="1"/>
  <c r="AD27" i="7"/>
  <c r="AE27" i="7" s="1"/>
  <c r="AF27" i="7" s="1"/>
  <c r="AG27" i="7" s="1"/>
  <c r="AD28" i="7"/>
  <c r="AE28" i="7" s="1"/>
  <c r="AF28" i="7" s="1"/>
  <c r="AG28" i="7" s="1"/>
  <c r="AD29" i="7"/>
  <c r="AE29" i="7" s="1"/>
  <c r="AF29" i="7" s="1"/>
  <c r="AG29" i="7" s="1"/>
  <c r="AD30" i="7"/>
  <c r="AD31" i="7"/>
  <c r="AE31" i="7" s="1"/>
  <c r="AF31" i="7" s="1"/>
  <c r="AG31" i="7" s="1"/>
  <c r="AD32" i="7"/>
  <c r="AE32" i="7" s="1"/>
  <c r="AF32" i="7" s="1"/>
  <c r="AG32" i="7" s="1"/>
  <c r="AD33" i="7"/>
  <c r="AE33" i="7" s="1"/>
  <c r="AF33" i="7" s="1"/>
  <c r="AD26" i="7"/>
  <c r="AE26" i="7" s="1"/>
  <c r="AF26" i="7" s="1"/>
  <c r="AG26" i="7" s="1"/>
  <c r="AG39" i="6"/>
  <c r="AH39" i="6" s="1"/>
  <c r="AI39" i="6" s="1"/>
  <c r="AJ39" i="6" s="1"/>
  <c r="AG38" i="6"/>
  <c r="AH38" i="6" s="1"/>
  <c r="AI38" i="6" s="1"/>
  <c r="AJ38" i="6" s="1"/>
  <c r="AG37" i="6"/>
  <c r="AH37" i="6" s="1"/>
  <c r="AG35" i="6"/>
  <c r="AH35" i="6" s="1"/>
  <c r="AI35" i="6" s="1"/>
  <c r="AJ35" i="6" s="1"/>
  <c r="AG36" i="6"/>
  <c r="AH36" i="6" s="1"/>
  <c r="AA4" i="1" a="1"/>
  <c r="AF7" i="5" a="1"/>
  <c r="R3" i="5" a="1"/>
  <c r="AM5" i="6" a="1"/>
  <c r="AL5" i="6" a="1"/>
  <c r="AJ8" i="7" a="1"/>
  <c r="AD7" i="5" a="1"/>
  <c r="AE7" i="5" a="1"/>
  <c r="S3" i="5" a="1"/>
  <c r="AL6" i="6" a="1"/>
  <c r="AN7" i="4" a="1"/>
  <c r="AI8" i="7" a="1"/>
  <c r="AD12" i="5" a="1"/>
  <c r="AP7" i="4" a="1"/>
  <c r="AK7" i="1" a="1"/>
  <c r="AJ7" i="1" a="1"/>
  <c r="AH7" i="1" a="1"/>
  <c r="AI8" i="7" l="1"/>
  <c r="AD12" i="5"/>
  <c r="AP7" i="4"/>
  <c r="AK7" i="1"/>
  <c r="AJ7" i="1"/>
  <c r="AH7" i="1"/>
  <c r="AL7" i="1"/>
  <c r="AM7" i="1"/>
  <c r="AA4" i="1"/>
  <c r="AM5" i="6"/>
  <c r="AL6" i="6"/>
  <c r="AL5" i="6"/>
  <c r="AN7" i="4"/>
  <c r="AJ8" i="7"/>
  <c r="AF7" i="5"/>
  <c r="AD7" i="5"/>
  <c r="S3" i="5"/>
  <c r="R3" i="5"/>
  <c r="AE7" i="5"/>
  <c r="AI36" i="6"/>
  <c r="AJ36" i="6" s="1"/>
  <c r="AG32" i="6"/>
  <c r="AH32" i="6" s="1"/>
  <c r="AI32" i="6" s="1"/>
  <c r="AJ32" i="6" s="1"/>
  <c r="AG33" i="6"/>
  <c r="AH33" i="6" s="1"/>
  <c r="AI33" i="6" s="1"/>
  <c r="AJ33" i="6" s="1"/>
  <c r="AH31" i="6"/>
  <c r="AI31" i="6" s="1"/>
  <c r="AD3" i="7"/>
  <c r="AE3" i="7" s="1"/>
  <c r="AF3" i="7" s="1"/>
  <c r="AG3" i="7" s="1"/>
  <c r="AD4" i="7"/>
  <c r="AE4" i="7" s="1"/>
  <c r="AF4" i="7" s="1"/>
  <c r="AG4" i="7" s="1"/>
  <c r="AD5" i="7"/>
  <c r="AE5" i="7" s="1"/>
  <c r="AF5" i="7" s="1"/>
  <c r="AG5" i="7" s="1"/>
  <c r="AD6" i="7"/>
  <c r="AE6" i="7" s="1"/>
  <c r="AF6" i="7" s="1"/>
  <c r="AG6" i="7" s="1"/>
  <c r="AD7" i="7"/>
  <c r="AE7" i="7" s="1"/>
  <c r="AF7" i="7" s="1"/>
  <c r="AG7" i="7" s="1"/>
  <c r="AD8" i="7"/>
  <c r="AE8" i="7" s="1"/>
  <c r="AF8" i="7" s="1"/>
  <c r="AG8" i="7" s="1"/>
  <c r="AD9" i="7"/>
  <c r="AE9" i="7" s="1"/>
  <c r="AF9" i="7" s="1"/>
  <c r="AG9" i="7" s="1"/>
  <c r="AD10" i="7"/>
  <c r="AE10" i="7" s="1"/>
  <c r="AF10" i="7" s="1"/>
  <c r="AG10" i="7" s="1"/>
  <c r="AD11" i="7"/>
  <c r="AE11" i="7" s="1"/>
  <c r="AF11" i="7" s="1"/>
  <c r="AG11" i="7" s="1"/>
  <c r="AD12" i="7"/>
  <c r="AE12" i="7" s="1"/>
  <c r="AF12" i="7" s="1"/>
  <c r="AG12" i="7" s="1"/>
  <c r="AD13" i="7"/>
  <c r="AE13" i="7" s="1"/>
  <c r="AF13" i="7" s="1"/>
  <c r="AG13" i="7" s="1"/>
  <c r="AD14" i="7"/>
  <c r="AE14" i="7" s="1"/>
  <c r="AF14" i="7" s="1"/>
  <c r="AG14" i="7" s="1"/>
  <c r="AD15" i="7"/>
  <c r="AE15" i="7" s="1"/>
  <c r="AF15" i="7" s="1"/>
  <c r="AG15" i="7" s="1"/>
  <c r="AD16" i="7"/>
  <c r="AE16" i="7" s="1"/>
  <c r="AF16" i="7" s="1"/>
  <c r="AG16" i="7" s="1"/>
  <c r="AD17" i="7"/>
  <c r="AE17" i="7" s="1"/>
  <c r="AF17" i="7" s="1"/>
  <c r="AG17" i="7" s="1"/>
  <c r="AD18" i="7"/>
  <c r="AE18" i="7" s="1"/>
  <c r="AF18" i="7" s="1"/>
  <c r="AG18" i="7" s="1"/>
  <c r="AD19" i="7"/>
  <c r="AE19" i="7" s="1"/>
  <c r="AF19" i="7" s="1"/>
  <c r="AG19" i="7" s="1"/>
  <c r="AD20" i="7"/>
  <c r="AE20" i="7" s="1"/>
  <c r="AD21" i="7"/>
  <c r="AE21" i="7" s="1"/>
  <c r="AF21" i="7" s="1"/>
  <c r="AG21" i="7" s="1"/>
  <c r="AD22" i="7"/>
  <c r="AE22" i="7" s="1"/>
  <c r="AD23" i="7"/>
  <c r="AE23" i="7" s="1"/>
  <c r="AF23" i="7" s="1"/>
  <c r="AG23" i="7" s="1"/>
  <c r="AD24" i="7"/>
  <c r="AE24" i="7" s="1"/>
  <c r="AD25" i="7"/>
  <c r="AE25" i="7" s="1"/>
  <c r="AF25" i="7" s="1"/>
  <c r="AG25" i="7" s="1"/>
  <c r="AD2" i="7"/>
  <c r="AE2" i="7" s="1"/>
  <c r="AK8" i="7" a="1"/>
  <c r="AJ31" i="6" l="1"/>
  <c r="AK8" i="7"/>
  <c r="AJ105" i="4"/>
  <c r="AK105" i="4" s="1"/>
  <c r="AL105" i="4" s="1"/>
  <c r="AJ56" i="4"/>
  <c r="AK56" i="4" s="1"/>
  <c r="AL56" i="4" s="1"/>
  <c r="AJ94" i="4"/>
  <c r="AK94" i="4" s="1"/>
  <c r="AL94" i="4" s="1"/>
  <c r="AI198" i="4"/>
  <c r="AJ198" i="4" s="1"/>
  <c r="AK198" i="4" s="1"/>
  <c r="AL198" i="4" s="1"/>
  <c r="AI196" i="4"/>
  <c r="AJ196" i="4" s="1"/>
  <c r="AK196" i="4" s="1"/>
  <c r="AL196" i="4" s="1"/>
  <c r="AI194" i="4"/>
  <c r="AJ194" i="4" s="1"/>
  <c r="AK194" i="4" s="1"/>
  <c r="AL194" i="4" s="1"/>
  <c r="AI192" i="4"/>
  <c r="AJ192" i="4" s="1"/>
  <c r="AK192" i="4" s="1"/>
  <c r="AL192" i="4" s="1"/>
  <c r="AI188" i="4"/>
  <c r="AJ188" i="4" s="1"/>
  <c r="AK188" i="4" s="1"/>
  <c r="AL188" i="4" s="1"/>
  <c r="AI182" i="4"/>
  <c r="AJ182" i="4" s="1"/>
  <c r="AK182" i="4" s="1"/>
  <c r="AL182" i="4" s="1"/>
  <c r="AI180" i="4"/>
  <c r="AJ180" i="4" s="1"/>
  <c r="AK180" i="4" s="1"/>
  <c r="AL180" i="4" s="1"/>
  <c r="AI159" i="4"/>
  <c r="AJ159" i="4" s="1"/>
  <c r="AK159" i="4" s="1"/>
  <c r="AL159" i="4" s="1"/>
  <c r="AI151" i="4"/>
  <c r="AJ151" i="4" s="1"/>
  <c r="AK151" i="4" s="1"/>
  <c r="AL151" i="4" s="1"/>
  <c r="AI148" i="4"/>
  <c r="AJ148" i="4" s="1"/>
  <c r="AK148" i="4" s="1"/>
  <c r="AL148" i="4" s="1"/>
  <c r="AI136" i="4"/>
  <c r="AJ136" i="4" s="1"/>
  <c r="AK136" i="4" s="1"/>
  <c r="AL136" i="4" s="1"/>
  <c r="AI133" i="4"/>
  <c r="AJ133" i="4" s="1"/>
  <c r="AK133" i="4" s="1"/>
  <c r="AL133" i="4" s="1"/>
  <c r="AI126" i="4"/>
  <c r="AJ126" i="4" s="1"/>
  <c r="AI112" i="4"/>
  <c r="AJ112" i="4" s="1"/>
  <c r="AK112" i="4" s="1"/>
  <c r="AL112" i="4" s="1"/>
  <c r="AI110" i="4"/>
  <c r="AJ110" i="4" s="1"/>
  <c r="AK110" i="4" s="1"/>
  <c r="AL110" i="4" s="1"/>
  <c r="AI109" i="4"/>
  <c r="AJ109" i="4" s="1"/>
  <c r="AK109" i="4" s="1"/>
  <c r="AL109" i="4" s="1"/>
  <c r="AI108" i="4"/>
  <c r="AJ108" i="4" s="1"/>
  <c r="AK108" i="4" s="1"/>
  <c r="AL108" i="4" s="1"/>
  <c r="AI101" i="4"/>
  <c r="AJ101" i="4" s="1"/>
  <c r="AK101" i="4" s="1"/>
  <c r="AL101" i="4" s="1"/>
  <c r="AI102" i="4"/>
  <c r="AJ102" i="4" s="1"/>
  <c r="AK102" i="4" s="1"/>
  <c r="AL102" i="4" s="1"/>
  <c r="AI95" i="4"/>
  <c r="AJ95" i="4" s="1"/>
  <c r="AK95" i="4" s="1"/>
  <c r="AL95" i="4" s="1"/>
  <c r="AI90" i="4"/>
  <c r="AJ90" i="4" s="1"/>
  <c r="AK90" i="4" s="1"/>
  <c r="AL90" i="4" s="1"/>
  <c r="AI86" i="4"/>
  <c r="AJ86" i="4" s="1"/>
  <c r="AK86" i="4" s="1"/>
  <c r="AL86" i="4" s="1"/>
  <c r="AI78" i="4"/>
  <c r="AJ78" i="4" s="1"/>
  <c r="AK78" i="4" s="1"/>
  <c r="AL78" i="4" s="1"/>
  <c r="AI75" i="4"/>
  <c r="AJ75" i="4" s="1"/>
  <c r="AK75" i="4" s="1"/>
  <c r="AL75" i="4" s="1"/>
  <c r="AI64" i="4"/>
  <c r="AJ64" i="4" s="1"/>
  <c r="AK64" i="4" s="1"/>
  <c r="AL64" i="4" s="1"/>
  <c r="AI61" i="4"/>
  <c r="AJ61" i="4" s="1"/>
  <c r="AK61" i="4" s="1"/>
  <c r="AL61" i="4" s="1"/>
  <c r="AI62" i="4"/>
  <c r="AJ62" i="4" s="1"/>
  <c r="AK62" i="4" s="1"/>
  <c r="AL62" i="4" s="1"/>
  <c r="AI60" i="4"/>
  <c r="AJ60" i="4" s="1"/>
  <c r="AK60" i="4" s="1"/>
  <c r="AL60" i="4" s="1"/>
  <c r="AI57" i="4"/>
  <c r="AJ57" i="4" s="1"/>
  <c r="AK57" i="4" s="1"/>
  <c r="AL57" i="4" s="1"/>
  <c r="AI55" i="4"/>
  <c r="AJ55" i="4" s="1"/>
  <c r="AK55" i="4" s="1"/>
  <c r="AL55" i="4" s="1"/>
  <c r="AI51" i="4"/>
  <c r="AJ51" i="4" s="1"/>
  <c r="AK51" i="4" s="1"/>
  <c r="AL51" i="4" s="1"/>
  <c r="AI47" i="4"/>
  <c r="AJ47" i="4" s="1"/>
  <c r="AK47" i="4" s="1"/>
  <c r="AL47" i="4" s="1"/>
  <c r="AI43" i="4"/>
  <c r="AJ43" i="4" s="1"/>
  <c r="AK43" i="4" s="1"/>
  <c r="AL43" i="4" s="1"/>
  <c r="AI38" i="4"/>
  <c r="AJ38" i="4" s="1"/>
  <c r="AK38" i="4" s="1"/>
  <c r="AL38" i="4" s="1"/>
  <c r="AI35" i="4"/>
  <c r="AJ35" i="4" s="1"/>
  <c r="AK35" i="4" s="1"/>
  <c r="AL35" i="4" s="1"/>
  <c r="AI34" i="4"/>
  <c r="AJ34" i="4" s="1"/>
  <c r="AK34" i="4" s="1"/>
  <c r="AL34" i="4" s="1"/>
  <c r="AI33" i="4"/>
  <c r="AJ33" i="4" s="1"/>
  <c r="AK33" i="4" s="1"/>
  <c r="AL33" i="4" s="1"/>
  <c r="AI31" i="4"/>
  <c r="AJ31" i="4" s="1"/>
  <c r="AK31" i="4" s="1"/>
  <c r="AL31" i="4" s="1"/>
  <c r="AI30" i="4"/>
  <c r="AJ30" i="4" s="1"/>
  <c r="AK30" i="4" s="1"/>
  <c r="AL30" i="4" s="1"/>
  <c r="AI28" i="4"/>
  <c r="AJ28" i="4" s="1"/>
  <c r="AI22" i="4"/>
  <c r="AJ22" i="4" s="1"/>
  <c r="AK22" i="4" s="1"/>
  <c r="AL22" i="4" s="1"/>
  <c r="AI23" i="4"/>
  <c r="AJ23" i="4" s="1"/>
  <c r="AK23" i="4" s="1"/>
  <c r="AL23" i="4" s="1"/>
  <c r="AI20" i="4"/>
  <c r="AJ20" i="4" s="1"/>
  <c r="AK20" i="4" s="1"/>
  <c r="AL20" i="4" s="1"/>
  <c r="AI19" i="4"/>
  <c r="AJ19" i="4" s="1"/>
  <c r="AI3" i="4"/>
  <c r="AJ3" i="4" s="1"/>
  <c r="AK3" i="4" s="1"/>
  <c r="AL3" i="4" s="1"/>
  <c r="AI2" i="4"/>
  <c r="AJ2" i="4" s="1"/>
  <c r="AK2" i="4" s="1"/>
  <c r="AI210" i="4"/>
  <c r="AJ210" i="4" s="1"/>
  <c r="AK210" i="4" s="1"/>
  <c r="AL210" i="4" s="1"/>
  <c r="AI189" i="4"/>
  <c r="AJ189" i="4" s="1"/>
  <c r="AK189" i="4" s="1"/>
  <c r="AL189" i="4" s="1"/>
  <c r="AI187" i="4"/>
  <c r="AJ187" i="4" s="1"/>
  <c r="AK187" i="4" s="1"/>
  <c r="AL187" i="4" s="1"/>
  <c r="AI161" i="4"/>
  <c r="AJ161" i="4" s="1"/>
  <c r="AK161" i="4" s="1"/>
  <c r="AL161" i="4" s="1"/>
  <c r="AI155" i="4"/>
  <c r="AJ155" i="4" s="1"/>
  <c r="AK155" i="4" s="1"/>
  <c r="AL155" i="4" s="1"/>
  <c r="AI137" i="4"/>
  <c r="AJ137" i="4" s="1"/>
  <c r="AI132" i="4"/>
  <c r="AJ132" i="4" s="1"/>
  <c r="AK132" i="4" s="1"/>
  <c r="AL132" i="4" s="1"/>
  <c r="AI130" i="4"/>
  <c r="AJ130" i="4" s="1"/>
  <c r="AK130" i="4" s="1"/>
  <c r="AL130" i="4" s="1"/>
  <c r="AI125" i="4"/>
  <c r="AJ125" i="4" s="1"/>
  <c r="AK125" i="4" s="1"/>
  <c r="AL125" i="4" s="1"/>
  <c r="AI120" i="4"/>
  <c r="AJ120" i="4" s="1"/>
  <c r="AK120" i="4" s="1"/>
  <c r="AL120" i="4" s="1"/>
  <c r="AI114" i="4"/>
  <c r="AJ114" i="4" s="1"/>
  <c r="AK114" i="4" s="1"/>
  <c r="AL114" i="4" s="1"/>
  <c r="AI111" i="4"/>
  <c r="AJ111" i="4" s="1"/>
  <c r="AK111" i="4" s="1"/>
  <c r="AL111" i="4" s="1"/>
  <c r="AI105" i="4"/>
  <c r="AI98" i="4"/>
  <c r="AJ98" i="4" s="1"/>
  <c r="AK98" i="4" s="1"/>
  <c r="AL98" i="4" s="1"/>
  <c r="AI44" i="4"/>
  <c r="AJ44" i="4" s="1"/>
  <c r="AK44" i="4" s="1"/>
  <c r="AL44" i="4" s="1"/>
  <c r="AI40" i="4"/>
  <c r="AJ40" i="4" s="1"/>
  <c r="AK40" i="4" s="1"/>
  <c r="AL40" i="4" s="1"/>
  <c r="AI32" i="4"/>
  <c r="AJ32" i="4" s="1"/>
  <c r="AK32" i="4" s="1"/>
  <c r="AL32" i="4" s="1"/>
  <c r="AI10" i="4"/>
  <c r="AJ10" i="4" s="1"/>
  <c r="AK10" i="4" s="1"/>
  <c r="AL10" i="4" s="1"/>
  <c r="AI215" i="4"/>
  <c r="AJ215" i="4" s="1"/>
  <c r="AK215" i="4" s="1"/>
  <c r="AL215" i="4" s="1"/>
  <c r="AI202" i="4"/>
  <c r="AJ202" i="4" s="1"/>
  <c r="AK202" i="4" s="1"/>
  <c r="AL202" i="4" s="1"/>
  <c r="AI197" i="4"/>
  <c r="AJ197" i="4" s="1"/>
  <c r="AK197" i="4" s="1"/>
  <c r="AL197" i="4" s="1"/>
  <c r="AI193" i="4"/>
  <c r="AJ193" i="4" s="1"/>
  <c r="AK193" i="4" s="1"/>
  <c r="AL193" i="4" s="1"/>
  <c r="AI181" i="4"/>
  <c r="AJ181" i="4" s="1"/>
  <c r="AK181" i="4" s="1"/>
  <c r="AL181" i="4" s="1"/>
  <c r="AI170" i="4"/>
  <c r="AJ170" i="4" s="1"/>
  <c r="AK170" i="4" s="1"/>
  <c r="AL170" i="4" s="1"/>
  <c r="AI163" i="4"/>
  <c r="AJ163" i="4" s="1"/>
  <c r="AK163" i="4" s="1"/>
  <c r="AL163" i="4" s="1"/>
  <c r="AI162" i="4"/>
  <c r="AJ162" i="4" s="1"/>
  <c r="AK162" i="4" s="1"/>
  <c r="AL162" i="4" s="1"/>
  <c r="AI160" i="4"/>
  <c r="AJ160" i="4" s="1"/>
  <c r="AK160" i="4" s="1"/>
  <c r="AL160" i="4" s="1"/>
  <c r="AI157" i="4"/>
  <c r="AJ157" i="4" s="1"/>
  <c r="AK157" i="4" s="1"/>
  <c r="AL157" i="4" s="1"/>
  <c r="AI154" i="4"/>
  <c r="AJ154" i="4" s="1"/>
  <c r="AK154" i="4" s="1"/>
  <c r="AL154" i="4" s="1"/>
  <c r="AI141" i="4"/>
  <c r="AJ141" i="4" s="1"/>
  <c r="AK141" i="4" s="1"/>
  <c r="AL141" i="4" s="1"/>
  <c r="AI140" i="4"/>
  <c r="AJ140" i="4" s="1"/>
  <c r="AK140" i="4" s="1"/>
  <c r="AL140" i="4" s="1"/>
  <c r="AI139" i="4"/>
  <c r="AJ139" i="4" s="1"/>
  <c r="AK139" i="4" s="1"/>
  <c r="AL139" i="4" s="1"/>
  <c r="AI135" i="4"/>
  <c r="AJ135" i="4" s="1"/>
  <c r="AK135" i="4" s="1"/>
  <c r="AL135" i="4" s="1"/>
  <c r="AI119" i="4"/>
  <c r="AJ119" i="4" s="1"/>
  <c r="AK119" i="4" s="1"/>
  <c r="AL119" i="4" s="1"/>
  <c r="AI115" i="4"/>
  <c r="AJ115" i="4" s="1"/>
  <c r="AK115" i="4" s="1"/>
  <c r="AL115" i="4" s="1"/>
  <c r="AI107" i="4"/>
  <c r="AJ107" i="4" s="1"/>
  <c r="AK107" i="4" s="1"/>
  <c r="AL107" i="4" s="1"/>
  <c r="AI106" i="4"/>
  <c r="AJ106" i="4" s="1"/>
  <c r="AK106" i="4" s="1"/>
  <c r="AL106" i="4" s="1"/>
  <c r="AI99" i="4"/>
  <c r="AJ99" i="4" s="1"/>
  <c r="AK99" i="4" s="1"/>
  <c r="AL99" i="4" s="1"/>
  <c r="AI96" i="4"/>
  <c r="AJ96" i="4" s="1"/>
  <c r="AK96" i="4" s="1"/>
  <c r="AL96" i="4" s="1"/>
  <c r="AI91" i="4"/>
  <c r="AJ91" i="4" s="1"/>
  <c r="AK91" i="4" s="1"/>
  <c r="AL91" i="4" s="1"/>
  <c r="AI88" i="4"/>
  <c r="AJ88" i="4" s="1"/>
  <c r="AK88" i="4" s="1"/>
  <c r="AL88" i="4" s="1"/>
  <c r="AI80" i="4"/>
  <c r="AJ80" i="4" s="1"/>
  <c r="AK80" i="4" s="1"/>
  <c r="AL80" i="4" s="1"/>
  <c r="AI66" i="4"/>
  <c r="AJ66" i="4" s="1"/>
  <c r="AK66" i="4" s="1"/>
  <c r="AL66" i="4" s="1"/>
  <c r="AI53" i="4"/>
  <c r="AJ53" i="4" s="1"/>
  <c r="AK53" i="4" s="1"/>
  <c r="AL53" i="4" s="1"/>
  <c r="AI41" i="4"/>
  <c r="AJ41" i="4" s="1"/>
  <c r="AK41" i="4" s="1"/>
  <c r="AL41" i="4" s="1"/>
  <c r="AI42" i="4"/>
  <c r="AJ42" i="4" s="1"/>
  <c r="AK42" i="4" s="1"/>
  <c r="AL42" i="4" s="1"/>
  <c r="AI37" i="4"/>
  <c r="AJ37" i="4" s="1"/>
  <c r="AK37" i="4" s="1"/>
  <c r="AL37" i="4" s="1"/>
  <c r="AI12" i="4"/>
  <c r="AJ12" i="4" s="1"/>
  <c r="AK12" i="4" s="1"/>
  <c r="AL12" i="4" s="1"/>
  <c r="AI5" i="4"/>
  <c r="AJ5" i="4" s="1"/>
  <c r="AK5" i="4" s="1"/>
  <c r="AL5" i="4" s="1"/>
  <c r="AI201" i="4"/>
  <c r="AJ201" i="4" s="1"/>
  <c r="AK201" i="4" s="1"/>
  <c r="AL201" i="4" s="1"/>
  <c r="AI183" i="4"/>
  <c r="AJ183" i="4" s="1"/>
  <c r="AK183" i="4" s="1"/>
  <c r="AL183" i="4" s="1"/>
  <c r="AI164" i="4"/>
  <c r="AJ164" i="4" s="1"/>
  <c r="AK164" i="4" s="1"/>
  <c r="AL164" i="4" s="1"/>
  <c r="AI129" i="4"/>
  <c r="AJ129" i="4" s="1"/>
  <c r="AK129" i="4" s="1"/>
  <c r="AL129" i="4" s="1"/>
  <c r="AI127" i="4"/>
  <c r="AJ127" i="4" s="1"/>
  <c r="AK127" i="4" s="1"/>
  <c r="AL127" i="4" s="1"/>
  <c r="AI54" i="4"/>
  <c r="AJ54" i="4" s="1"/>
  <c r="AK54" i="4" s="1"/>
  <c r="AL54" i="4" s="1"/>
  <c r="AI24" i="4"/>
  <c r="AJ24" i="4" s="1"/>
  <c r="AK24" i="4" s="1"/>
  <c r="AL24" i="4" s="1"/>
  <c r="AI185" i="4"/>
  <c r="AJ185" i="4" s="1"/>
  <c r="AK185" i="4" s="1"/>
  <c r="AL185" i="4" s="1"/>
  <c r="AI150" i="4"/>
  <c r="AJ150" i="4" s="1"/>
  <c r="AK150" i="4" s="1"/>
  <c r="AL150" i="4" s="1"/>
  <c r="AI142" i="4"/>
  <c r="AJ142" i="4" s="1"/>
  <c r="AK142" i="4" s="1"/>
  <c r="AL142" i="4" s="1"/>
  <c r="AI134" i="4"/>
  <c r="AJ134" i="4" s="1"/>
  <c r="AK134" i="4" s="1"/>
  <c r="AL134" i="4" s="1"/>
  <c r="AI92" i="4"/>
  <c r="AJ92" i="4" s="1"/>
  <c r="AK92" i="4" s="1"/>
  <c r="AL92" i="4" s="1"/>
  <c r="AI179" i="4"/>
  <c r="AJ179" i="4" s="1"/>
  <c r="AK179" i="4" s="1"/>
  <c r="AL179" i="4" s="1"/>
  <c r="AI174" i="4"/>
  <c r="AJ174" i="4" s="1"/>
  <c r="AK174" i="4" s="1"/>
  <c r="AL174" i="4" s="1"/>
  <c r="AI171" i="4"/>
  <c r="AJ171" i="4" s="1"/>
  <c r="AK171" i="4" s="1"/>
  <c r="AL171" i="4" s="1"/>
  <c r="AI169" i="4"/>
  <c r="AJ169" i="4" s="1"/>
  <c r="AI149" i="4"/>
  <c r="AJ149" i="4" s="1"/>
  <c r="AK149" i="4" s="1"/>
  <c r="AL149" i="4" s="1"/>
  <c r="AI146" i="4"/>
  <c r="AJ146" i="4" s="1"/>
  <c r="AK146" i="4" s="1"/>
  <c r="AL146" i="4" s="1"/>
  <c r="AI145" i="4"/>
  <c r="AJ145" i="4" s="1"/>
  <c r="AK145" i="4" s="1"/>
  <c r="AL145" i="4" s="1"/>
  <c r="AI131" i="4"/>
  <c r="AJ131" i="4" s="1"/>
  <c r="AK131" i="4" s="1"/>
  <c r="AL131" i="4" s="1"/>
  <c r="AI121" i="4"/>
  <c r="AJ121" i="4" s="1"/>
  <c r="AK121" i="4" s="1"/>
  <c r="AL121" i="4" s="1"/>
  <c r="AI116" i="4"/>
  <c r="AJ116" i="4" s="1"/>
  <c r="AK116" i="4" s="1"/>
  <c r="AL116" i="4" s="1"/>
  <c r="AI100" i="4"/>
  <c r="AJ100" i="4" s="1"/>
  <c r="AK100" i="4" s="1"/>
  <c r="AL100" i="4" s="1"/>
  <c r="AI87" i="4"/>
  <c r="AJ87" i="4" s="1"/>
  <c r="AK87" i="4" s="1"/>
  <c r="AL87" i="4" s="1"/>
  <c r="AI79" i="4"/>
  <c r="AJ79" i="4" s="1"/>
  <c r="AK79" i="4" s="1"/>
  <c r="AL79" i="4" s="1"/>
  <c r="AI76" i="4"/>
  <c r="AJ76" i="4" s="1"/>
  <c r="AK76" i="4" s="1"/>
  <c r="AL76" i="4" s="1"/>
  <c r="AI59" i="4"/>
  <c r="AJ59" i="4" s="1"/>
  <c r="AK59" i="4" s="1"/>
  <c r="AL59" i="4" s="1"/>
  <c r="AI56" i="4"/>
  <c r="AI50" i="4"/>
  <c r="AJ50" i="4" s="1"/>
  <c r="AK50" i="4" s="1"/>
  <c r="AL50" i="4" s="1"/>
  <c r="AI48" i="4"/>
  <c r="AJ48" i="4" s="1"/>
  <c r="AK48" i="4" s="1"/>
  <c r="AL48" i="4" s="1"/>
  <c r="AI45" i="4"/>
  <c r="AJ45" i="4" s="1"/>
  <c r="AK45" i="4" s="1"/>
  <c r="AL45" i="4" s="1"/>
  <c r="AI27" i="4"/>
  <c r="AJ27" i="4" s="1"/>
  <c r="AK27" i="4" s="1"/>
  <c r="AL27" i="4" s="1"/>
  <c r="AI25" i="4"/>
  <c r="AJ25" i="4" s="1"/>
  <c r="AK25" i="4" s="1"/>
  <c r="AL25" i="4" s="1"/>
  <c r="AI18" i="4"/>
  <c r="AJ18" i="4" s="1"/>
  <c r="AK18" i="4" s="1"/>
  <c r="AL18" i="4" s="1"/>
  <c r="AI15" i="4"/>
  <c r="AJ15" i="4" s="1"/>
  <c r="AK15" i="4" s="1"/>
  <c r="AL15" i="4" s="1"/>
  <c r="AI9" i="4"/>
  <c r="AJ9" i="4" s="1"/>
  <c r="AK9" i="4" s="1"/>
  <c r="AL9" i="4" s="1"/>
  <c r="AI8" i="4"/>
  <c r="AJ8" i="4" s="1"/>
  <c r="AK8" i="4" s="1"/>
  <c r="AL8" i="4" s="1"/>
  <c r="AI6" i="4"/>
  <c r="AJ6" i="4" s="1"/>
  <c r="AK6" i="4" s="1"/>
  <c r="AL6" i="4" s="1"/>
  <c r="AI216" i="4"/>
  <c r="AJ216" i="4" s="1"/>
  <c r="AK216" i="4" s="1"/>
  <c r="AL216" i="4" s="1"/>
  <c r="AI214" i="4"/>
  <c r="AJ214" i="4" s="1"/>
  <c r="AK214" i="4" s="1"/>
  <c r="AL214" i="4" s="1"/>
  <c r="AI213" i="4"/>
  <c r="AJ213" i="4" s="1"/>
  <c r="AK213" i="4" s="1"/>
  <c r="AL213" i="4" s="1"/>
  <c r="AI211" i="4"/>
  <c r="AJ211" i="4" s="1"/>
  <c r="AK211" i="4" s="1"/>
  <c r="AL211" i="4" s="1"/>
  <c r="AI212" i="4"/>
  <c r="AJ212" i="4" s="1"/>
  <c r="AK212" i="4" s="1"/>
  <c r="AL212" i="4" s="1"/>
  <c r="AI209" i="4"/>
  <c r="AJ209" i="4" s="1"/>
  <c r="AK209" i="4" s="1"/>
  <c r="AL209" i="4" s="1"/>
  <c r="AI208" i="4"/>
  <c r="AJ208" i="4" s="1"/>
  <c r="AK208" i="4" s="1"/>
  <c r="AL208" i="4" s="1"/>
  <c r="AI207" i="4"/>
  <c r="AJ207" i="4" s="1"/>
  <c r="AK207" i="4" s="1"/>
  <c r="AL207" i="4" s="1"/>
  <c r="AI206" i="4"/>
  <c r="AJ206" i="4" s="1"/>
  <c r="AK206" i="4" s="1"/>
  <c r="AL206" i="4" s="1"/>
  <c r="AI205" i="4"/>
  <c r="AJ205" i="4" s="1"/>
  <c r="AK205" i="4" s="1"/>
  <c r="AL205" i="4" s="1"/>
  <c r="AI203" i="4"/>
  <c r="AJ203" i="4" s="1"/>
  <c r="AK203" i="4" s="1"/>
  <c r="AL203" i="4" s="1"/>
  <c r="AI200" i="4"/>
  <c r="AJ200" i="4" s="1"/>
  <c r="AK200" i="4" s="1"/>
  <c r="AL200" i="4" s="1"/>
  <c r="AI199" i="4"/>
  <c r="AJ199" i="4" s="1"/>
  <c r="AK199" i="4" s="1"/>
  <c r="AL199" i="4" s="1"/>
  <c r="AI195" i="4"/>
  <c r="AJ195" i="4" s="1"/>
  <c r="AK195" i="4" s="1"/>
  <c r="AL195" i="4" s="1"/>
  <c r="AI191" i="4"/>
  <c r="AJ191" i="4" s="1"/>
  <c r="AK191" i="4" s="1"/>
  <c r="AL191" i="4" s="1"/>
  <c r="AI190" i="4"/>
  <c r="AJ190" i="4" s="1"/>
  <c r="AK190" i="4" s="1"/>
  <c r="AL190" i="4" s="1"/>
  <c r="AI186" i="4"/>
  <c r="AJ186" i="4" s="1"/>
  <c r="AK186" i="4" s="1"/>
  <c r="AL186" i="4" s="1"/>
  <c r="AI184" i="4"/>
  <c r="AJ184" i="4" s="1"/>
  <c r="AK184" i="4" s="1"/>
  <c r="AL184" i="4" s="1"/>
  <c r="AI178" i="4"/>
  <c r="AJ178" i="4" s="1"/>
  <c r="AK178" i="4" s="1"/>
  <c r="AL178" i="4" s="1"/>
  <c r="AI176" i="4"/>
  <c r="AJ176" i="4" s="1"/>
  <c r="AK176" i="4" s="1"/>
  <c r="AL176" i="4" s="1"/>
  <c r="AI177" i="4"/>
  <c r="AJ177" i="4" s="1"/>
  <c r="AK177" i="4" s="1"/>
  <c r="AL177" i="4" s="1"/>
  <c r="AI175" i="4"/>
  <c r="AJ175" i="4" s="1"/>
  <c r="AK175" i="4" s="1"/>
  <c r="AL175" i="4" s="1"/>
  <c r="AI172" i="4"/>
  <c r="AJ172" i="4" s="1"/>
  <c r="AK172" i="4" s="1"/>
  <c r="AL172" i="4" s="1"/>
  <c r="AI173" i="4"/>
  <c r="AJ173" i="4" s="1"/>
  <c r="AK173" i="4" s="1"/>
  <c r="AL173" i="4" s="1"/>
  <c r="AI168" i="4"/>
  <c r="AJ168" i="4" s="1"/>
  <c r="AK168" i="4" s="1"/>
  <c r="AL168" i="4" s="1"/>
  <c r="AI167" i="4"/>
  <c r="AJ167" i="4" s="1"/>
  <c r="AK167" i="4" s="1"/>
  <c r="AL167" i="4" s="1"/>
  <c r="AI166" i="4"/>
  <c r="AJ166" i="4" s="1"/>
  <c r="AK166" i="4" s="1"/>
  <c r="AL166" i="4" s="1"/>
  <c r="AI165" i="4"/>
  <c r="AJ165" i="4" s="1"/>
  <c r="AK165" i="4" s="1"/>
  <c r="AL165" i="4" s="1"/>
  <c r="AI158" i="4"/>
  <c r="AJ158" i="4" s="1"/>
  <c r="AK158" i="4" s="1"/>
  <c r="AL158" i="4" s="1"/>
  <c r="AI156" i="4"/>
  <c r="AJ156" i="4" s="1"/>
  <c r="AK156" i="4" s="1"/>
  <c r="AL156" i="4" s="1"/>
  <c r="AI152" i="4"/>
  <c r="AJ152" i="4" s="1"/>
  <c r="AK152" i="4" s="1"/>
  <c r="AL152" i="4" s="1"/>
  <c r="AI153" i="4"/>
  <c r="AJ153" i="4" s="1"/>
  <c r="AK153" i="4" s="1"/>
  <c r="AL153" i="4" s="1"/>
  <c r="AI147" i="4"/>
  <c r="AJ147" i="4" s="1"/>
  <c r="AK147" i="4" s="1"/>
  <c r="AL147" i="4" s="1"/>
  <c r="AI144" i="4"/>
  <c r="AJ144" i="4" s="1"/>
  <c r="AK144" i="4" s="1"/>
  <c r="AL144" i="4" s="1"/>
  <c r="AI143" i="4"/>
  <c r="AJ143" i="4" s="1"/>
  <c r="AK143" i="4" s="1"/>
  <c r="AL143" i="4" s="1"/>
  <c r="AI138" i="4"/>
  <c r="AJ138" i="4" s="1"/>
  <c r="AK138" i="4" s="1"/>
  <c r="AL138" i="4" s="1"/>
  <c r="AI128" i="4"/>
  <c r="AJ128" i="4" s="1"/>
  <c r="AK128" i="4" s="1"/>
  <c r="AL128" i="4" s="1"/>
  <c r="AI124" i="4"/>
  <c r="AJ124" i="4" s="1"/>
  <c r="AK124" i="4" s="1"/>
  <c r="AL124" i="4" s="1"/>
  <c r="AI122" i="4"/>
  <c r="AJ122" i="4" s="1"/>
  <c r="AK122" i="4" s="1"/>
  <c r="AL122" i="4" s="1"/>
  <c r="AI123" i="4"/>
  <c r="AJ123" i="4" s="1"/>
  <c r="AK123" i="4" s="1"/>
  <c r="AL123" i="4" s="1"/>
  <c r="AI117" i="4"/>
  <c r="AJ117" i="4" s="1"/>
  <c r="AK117" i="4" s="1"/>
  <c r="AL117" i="4" s="1"/>
  <c r="AI118" i="4"/>
  <c r="AJ118" i="4" s="1"/>
  <c r="AK118" i="4" s="1"/>
  <c r="AL118" i="4" s="1"/>
  <c r="AI113" i="4"/>
  <c r="AJ113" i="4" s="1"/>
  <c r="AK113" i="4" s="1"/>
  <c r="AL113" i="4" s="1"/>
  <c r="AI104" i="4"/>
  <c r="AJ104" i="4" s="1"/>
  <c r="AK104" i="4" s="1"/>
  <c r="AL104" i="4" s="1"/>
  <c r="AI103" i="4"/>
  <c r="AJ103" i="4" s="1"/>
  <c r="AK103" i="4" s="1"/>
  <c r="AL103" i="4" s="1"/>
  <c r="AI97" i="4"/>
  <c r="AJ97" i="4" s="1"/>
  <c r="AK97" i="4" s="1"/>
  <c r="AL97" i="4" s="1"/>
  <c r="AI94" i="4"/>
  <c r="AI93" i="4"/>
  <c r="AJ93" i="4" s="1"/>
  <c r="AK93" i="4" s="1"/>
  <c r="AL93" i="4" s="1"/>
  <c r="AI89" i="4"/>
  <c r="AJ89" i="4" s="1"/>
  <c r="AK89" i="4" s="1"/>
  <c r="AL89" i="4" s="1"/>
  <c r="AI85" i="4"/>
  <c r="AJ85" i="4" s="1"/>
  <c r="AK85" i="4" s="1"/>
  <c r="AL85" i="4" s="1"/>
  <c r="AI83" i="4"/>
  <c r="AJ83" i="4" s="1"/>
  <c r="AK83" i="4" s="1"/>
  <c r="AL83" i="4" s="1"/>
  <c r="AI84" i="4"/>
  <c r="AJ84" i="4" s="1"/>
  <c r="AK84" i="4" s="1"/>
  <c r="AL84" i="4" s="1"/>
  <c r="AI81" i="4"/>
  <c r="AJ81" i="4" s="1"/>
  <c r="AK81" i="4" s="1"/>
  <c r="AL81" i="4" s="1"/>
  <c r="AI82" i="4"/>
  <c r="AJ82" i="4" s="1"/>
  <c r="AK82" i="4" s="1"/>
  <c r="AL82" i="4" s="1"/>
  <c r="AI77" i="4"/>
  <c r="AJ77" i="4" s="1"/>
  <c r="AK77" i="4" s="1"/>
  <c r="AL77" i="4" s="1"/>
  <c r="AI74" i="4"/>
  <c r="AJ74" i="4" s="1"/>
  <c r="AK74" i="4" s="1"/>
  <c r="AL74" i="4" s="1"/>
  <c r="AI72" i="4"/>
  <c r="AJ72" i="4" s="1"/>
  <c r="AK72" i="4" s="1"/>
  <c r="AL72" i="4" s="1"/>
  <c r="AI73" i="4"/>
  <c r="AJ73" i="4" s="1"/>
  <c r="AK73" i="4" s="1"/>
  <c r="AL73" i="4" s="1"/>
  <c r="AI71" i="4"/>
  <c r="AJ71" i="4" s="1"/>
  <c r="AK71" i="4" s="1"/>
  <c r="AL71" i="4" s="1"/>
  <c r="AI69" i="4"/>
  <c r="AJ69" i="4" s="1"/>
  <c r="AK69" i="4" s="1"/>
  <c r="AL69" i="4" s="1"/>
  <c r="AI70" i="4"/>
  <c r="AJ70" i="4" s="1"/>
  <c r="AK70" i="4" s="1"/>
  <c r="AL70" i="4" s="1"/>
  <c r="AI67" i="4"/>
  <c r="AJ67" i="4" s="1"/>
  <c r="AK67" i="4" s="1"/>
  <c r="AL67" i="4" s="1"/>
  <c r="AI68" i="4"/>
  <c r="AJ68" i="4" s="1"/>
  <c r="AK68" i="4" s="1"/>
  <c r="AL68" i="4" s="1"/>
  <c r="AI65" i="4"/>
  <c r="AJ65" i="4" s="1"/>
  <c r="AK65" i="4" s="1"/>
  <c r="AL65" i="4" s="1"/>
  <c r="AI63" i="4"/>
  <c r="AJ63" i="4" s="1"/>
  <c r="AK63" i="4" s="1"/>
  <c r="AL63" i="4" s="1"/>
  <c r="AI58" i="4"/>
  <c r="AJ58" i="4" s="1"/>
  <c r="AK58" i="4" s="1"/>
  <c r="AL58" i="4" s="1"/>
  <c r="AI52" i="4"/>
  <c r="AJ52" i="4" s="1"/>
  <c r="AK52" i="4" s="1"/>
  <c r="AL52" i="4" s="1"/>
  <c r="AI49" i="4"/>
  <c r="AJ49" i="4" s="1"/>
  <c r="AK49" i="4" s="1"/>
  <c r="AL49" i="4" s="1"/>
  <c r="AI46" i="4"/>
  <c r="AJ46" i="4" s="1"/>
  <c r="AK46" i="4" s="1"/>
  <c r="AL46" i="4" s="1"/>
  <c r="AI39" i="4"/>
  <c r="AJ39" i="4" s="1"/>
  <c r="AK39" i="4" s="1"/>
  <c r="AL39" i="4" s="1"/>
  <c r="AI36" i="4"/>
  <c r="AJ36" i="4" s="1"/>
  <c r="AK36" i="4" s="1"/>
  <c r="AL36" i="4" s="1"/>
  <c r="AI29" i="4"/>
  <c r="AJ29" i="4" s="1"/>
  <c r="AK29" i="4" s="1"/>
  <c r="AL29" i="4" s="1"/>
  <c r="AI26" i="4"/>
  <c r="AJ26" i="4" s="1"/>
  <c r="AK26" i="4" s="1"/>
  <c r="AL26" i="4" s="1"/>
  <c r="AI21" i="4"/>
  <c r="AJ21" i="4" s="1"/>
  <c r="AK21" i="4" s="1"/>
  <c r="AL21" i="4" s="1"/>
  <c r="AI17" i="4"/>
  <c r="AJ17" i="4" s="1"/>
  <c r="AK17" i="4" s="1"/>
  <c r="AL17" i="4" s="1"/>
  <c r="AI16" i="4"/>
  <c r="AJ16" i="4" s="1"/>
  <c r="AK16" i="4" s="1"/>
  <c r="AL16" i="4" s="1"/>
  <c r="AI14" i="4"/>
  <c r="AJ14" i="4" s="1"/>
  <c r="AI13" i="4"/>
  <c r="AJ13" i="4" s="1"/>
  <c r="AK13" i="4" s="1"/>
  <c r="AL13" i="4" s="1"/>
  <c r="AI11" i="4"/>
  <c r="AJ11" i="4" s="1"/>
  <c r="AK11" i="4" s="1"/>
  <c r="AL11" i="4" s="1"/>
  <c r="AI7" i="4"/>
  <c r="AJ7" i="4" s="1"/>
  <c r="AK7" i="4" s="1"/>
  <c r="AL7" i="4" s="1"/>
  <c r="AI4" i="4"/>
  <c r="AJ4" i="4" s="1"/>
  <c r="AK4" i="4" s="1"/>
  <c r="AL4" i="4" s="1"/>
  <c r="AI217" i="4"/>
  <c r="AJ217" i="4" s="1"/>
  <c r="AK217" i="4" s="1"/>
  <c r="AL217" i="4" s="1"/>
  <c r="AI204" i="4"/>
  <c r="AJ204" i="4" s="1"/>
  <c r="AI10" i="1"/>
  <c r="AJ10" i="1" s="1"/>
  <c r="Z5" i="5"/>
  <c r="AA5" i="5" s="1"/>
  <c r="AB5" i="5" s="1"/>
  <c r="Z6" i="5"/>
  <c r="AA6" i="5" s="1"/>
  <c r="AB6" i="5" s="1"/>
  <c r="Z9" i="5"/>
  <c r="AA9" i="5" s="1"/>
  <c r="AB9" i="5" s="1"/>
  <c r="Z17" i="5"/>
  <c r="AA17" i="5" s="1"/>
  <c r="AB17" i="5" s="1"/>
  <c r="Z25" i="5"/>
  <c r="AA25" i="5" s="1"/>
  <c r="AB25" i="5" s="1"/>
  <c r="Z33" i="5"/>
  <c r="AA33" i="5" s="1"/>
  <c r="AB33" i="5" s="1"/>
  <c r="Y3" i="5"/>
  <c r="Z3" i="5" s="1"/>
  <c r="AA3" i="5" s="1"/>
  <c r="AB3" i="5" s="1"/>
  <c r="Y4" i="5"/>
  <c r="Z4" i="5" s="1"/>
  <c r="AA4" i="5" s="1"/>
  <c r="AB4" i="5" s="1"/>
  <c r="Y5" i="5"/>
  <c r="Y6" i="5"/>
  <c r="Y7" i="5"/>
  <c r="Z7" i="5" s="1"/>
  <c r="AA7" i="5" s="1"/>
  <c r="AB7" i="5" s="1"/>
  <c r="Y8" i="5"/>
  <c r="Z8" i="5" s="1"/>
  <c r="AA8" i="5" s="1"/>
  <c r="AB8" i="5" s="1"/>
  <c r="Y9" i="5"/>
  <c r="Y10" i="5"/>
  <c r="Z10" i="5" s="1"/>
  <c r="AA10" i="5" s="1"/>
  <c r="AB10" i="5" s="1"/>
  <c r="Y11" i="5"/>
  <c r="Z11" i="5" s="1"/>
  <c r="AA11" i="5" s="1"/>
  <c r="AB11" i="5" s="1"/>
  <c r="Y12" i="5"/>
  <c r="Z12" i="5" s="1"/>
  <c r="AA12" i="5" s="1"/>
  <c r="AB12" i="5" s="1"/>
  <c r="Y13" i="5"/>
  <c r="Z13" i="5" s="1"/>
  <c r="AA13" i="5" s="1"/>
  <c r="AB13" i="5" s="1"/>
  <c r="Y14" i="5"/>
  <c r="Z14" i="5" s="1"/>
  <c r="AA14" i="5" s="1"/>
  <c r="AB14" i="5" s="1"/>
  <c r="Y15" i="5"/>
  <c r="Z15" i="5" s="1"/>
  <c r="AA15" i="5" s="1"/>
  <c r="AB15" i="5" s="1"/>
  <c r="Y16" i="5"/>
  <c r="Z16" i="5" s="1"/>
  <c r="AA16" i="5" s="1"/>
  <c r="AB16" i="5" s="1"/>
  <c r="Y17" i="5"/>
  <c r="Y18" i="5"/>
  <c r="Z18" i="5" s="1"/>
  <c r="AA18" i="5" s="1"/>
  <c r="AB18" i="5" s="1"/>
  <c r="Y19" i="5"/>
  <c r="Z19" i="5" s="1"/>
  <c r="AA19" i="5" s="1"/>
  <c r="AB19" i="5" s="1"/>
  <c r="Y20" i="5"/>
  <c r="Z20" i="5" s="1"/>
  <c r="AA20" i="5" s="1"/>
  <c r="AB20" i="5" s="1"/>
  <c r="Y21" i="5"/>
  <c r="Z21" i="5" s="1"/>
  <c r="AA21" i="5" s="1"/>
  <c r="AB21" i="5" s="1"/>
  <c r="Y22" i="5"/>
  <c r="Z22" i="5" s="1"/>
  <c r="AA22" i="5" s="1"/>
  <c r="AB22" i="5" s="1"/>
  <c r="Y23" i="5"/>
  <c r="Z23" i="5" s="1"/>
  <c r="AA23" i="5" s="1"/>
  <c r="AB23" i="5" s="1"/>
  <c r="Y24" i="5"/>
  <c r="Z24" i="5" s="1"/>
  <c r="AA24" i="5" s="1"/>
  <c r="AB24" i="5" s="1"/>
  <c r="Y25" i="5"/>
  <c r="Y26" i="5"/>
  <c r="Z26" i="5" s="1"/>
  <c r="AA26" i="5" s="1"/>
  <c r="AB26" i="5" s="1"/>
  <c r="Y27" i="5"/>
  <c r="Z27" i="5" s="1"/>
  <c r="AA27" i="5" s="1"/>
  <c r="AB27" i="5" s="1"/>
  <c r="Y28" i="5"/>
  <c r="Z28" i="5" s="1"/>
  <c r="AA28" i="5" s="1"/>
  <c r="AB28" i="5" s="1"/>
  <c r="Y29" i="5"/>
  <c r="Z29" i="5" s="1"/>
  <c r="Y30" i="5"/>
  <c r="Z30" i="5" s="1"/>
  <c r="AA30" i="5" s="1"/>
  <c r="AB30" i="5" s="1"/>
  <c r="Y31" i="5"/>
  <c r="Z31" i="5" s="1"/>
  <c r="AA31" i="5" s="1"/>
  <c r="AB31" i="5" s="1"/>
  <c r="Y32" i="5"/>
  <c r="Z32" i="5" s="1"/>
  <c r="AA32" i="5" s="1"/>
  <c r="AB32" i="5" s="1"/>
  <c r="Y33" i="5"/>
  <c r="Y34" i="5"/>
  <c r="Z34" i="5" s="1"/>
  <c r="AA34" i="5" s="1"/>
  <c r="AB34" i="5" s="1"/>
  <c r="Y35" i="5"/>
  <c r="Z35" i="5" s="1"/>
  <c r="AA35" i="5" s="1"/>
  <c r="AB35" i="5" s="1"/>
  <c r="Y36" i="5"/>
  <c r="Z36" i="5" s="1"/>
  <c r="AA36" i="5" s="1"/>
  <c r="AB36" i="5" s="1"/>
  <c r="Y37" i="5"/>
  <c r="Z37" i="5" s="1"/>
  <c r="AA37" i="5" s="1"/>
  <c r="AB37" i="5" s="1"/>
  <c r="Y38" i="5"/>
  <c r="Z38" i="5" s="1"/>
  <c r="AA38" i="5" s="1"/>
  <c r="AB38" i="5" s="1"/>
  <c r="Y2" i="5"/>
  <c r="Z2" i="5" s="1"/>
  <c r="AG3" i="6"/>
  <c r="AH3" i="6" s="1"/>
  <c r="AI3" i="6" s="1"/>
  <c r="AJ3" i="6" s="1"/>
  <c r="AG4" i="6"/>
  <c r="AH4" i="6" s="1"/>
  <c r="AI4" i="6" s="1"/>
  <c r="AJ4" i="6" s="1"/>
  <c r="AG5" i="6"/>
  <c r="AH5" i="6" s="1"/>
  <c r="AI5" i="6" s="1"/>
  <c r="AJ5" i="6" s="1"/>
  <c r="AG6" i="6"/>
  <c r="AH6" i="6" s="1"/>
  <c r="AI6" i="6" s="1"/>
  <c r="AJ6" i="6" s="1"/>
  <c r="AG7" i="6"/>
  <c r="AH7" i="6" s="1"/>
  <c r="AI7" i="6" s="1"/>
  <c r="AJ7" i="6" s="1"/>
  <c r="AG8" i="6"/>
  <c r="AH8" i="6" s="1"/>
  <c r="AI8" i="6" s="1"/>
  <c r="AJ8" i="6" s="1"/>
  <c r="AG9" i="6"/>
  <c r="AH9" i="6" s="1"/>
  <c r="AI9" i="6" s="1"/>
  <c r="AJ9" i="6" s="1"/>
  <c r="AG10" i="6"/>
  <c r="AH10" i="6" s="1"/>
  <c r="AI10" i="6" s="1"/>
  <c r="AJ10" i="6" s="1"/>
  <c r="AG11" i="6"/>
  <c r="AH11" i="6" s="1"/>
  <c r="AI11" i="6" s="1"/>
  <c r="AJ11" i="6" s="1"/>
  <c r="AG12" i="6"/>
  <c r="AH12" i="6" s="1"/>
  <c r="AI12" i="6" s="1"/>
  <c r="AJ12" i="6" s="1"/>
  <c r="AG13" i="6"/>
  <c r="AH13" i="6" s="1"/>
  <c r="AI13" i="6" s="1"/>
  <c r="AJ13" i="6" s="1"/>
  <c r="AG14" i="6"/>
  <c r="AH14" i="6" s="1"/>
  <c r="AI14" i="6" s="1"/>
  <c r="AJ14" i="6" s="1"/>
  <c r="AG15" i="6"/>
  <c r="AH15" i="6" s="1"/>
  <c r="AI15" i="6" s="1"/>
  <c r="AJ15" i="6" s="1"/>
  <c r="AG16" i="6"/>
  <c r="AH16" i="6" s="1"/>
  <c r="AI16" i="6" s="1"/>
  <c r="AJ16" i="6" s="1"/>
  <c r="AG17" i="6"/>
  <c r="AH17" i="6" s="1"/>
  <c r="AI17" i="6" s="1"/>
  <c r="AJ17" i="6" s="1"/>
  <c r="AG18" i="6"/>
  <c r="AH18" i="6" s="1"/>
  <c r="AI18" i="6" s="1"/>
  <c r="AJ18" i="6" s="1"/>
  <c r="AG19" i="6"/>
  <c r="AH19" i="6" s="1"/>
  <c r="AI19" i="6" s="1"/>
  <c r="AJ19" i="6" s="1"/>
  <c r="AG20" i="6"/>
  <c r="AH20" i="6" s="1"/>
  <c r="AI20" i="6" s="1"/>
  <c r="AJ20" i="6" s="1"/>
  <c r="AG21" i="6"/>
  <c r="AH21" i="6" s="1"/>
  <c r="AI21" i="6" s="1"/>
  <c r="AJ21" i="6" s="1"/>
  <c r="AG22" i="6"/>
  <c r="AH22" i="6" s="1"/>
  <c r="AI22" i="6" s="1"/>
  <c r="AJ22" i="6" s="1"/>
  <c r="AG23" i="6"/>
  <c r="AH23" i="6" s="1"/>
  <c r="AI23" i="6" s="1"/>
  <c r="AJ23" i="6" s="1"/>
  <c r="AG24" i="6"/>
  <c r="AH24" i="6" s="1"/>
  <c r="AI24" i="6" s="1"/>
  <c r="AJ24" i="6" s="1"/>
  <c r="AG25" i="6"/>
  <c r="AH25" i="6" s="1"/>
  <c r="AI25" i="6" s="1"/>
  <c r="AJ25" i="6" s="1"/>
  <c r="AG26" i="6"/>
  <c r="AH26" i="6" s="1"/>
  <c r="AI26" i="6" s="1"/>
  <c r="AJ26" i="6" s="1"/>
  <c r="AG27" i="6"/>
  <c r="AH27" i="6" s="1"/>
  <c r="AI27" i="6" s="1"/>
  <c r="AJ27" i="6" s="1"/>
  <c r="AG28" i="6"/>
  <c r="AH28" i="6" s="1"/>
  <c r="AI28" i="6" s="1"/>
  <c r="AJ28" i="6" s="1"/>
  <c r="AG29" i="6"/>
  <c r="AH29" i="6" s="1"/>
  <c r="AI29" i="6" s="1"/>
  <c r="AJ29" i="6" s="1"/>
  <c r="AG30" i="6"/>
  <c r="AH30" i="6" s="1"/>
  <c r="AI30" i="6" s="1"/>
  <c r="AJ30" i="6" s="1"/>
  <c r="AG2" i="6"/>
  <c r="AH2" i="6" s="1"/>
  <c r="N278" i="6"/>
  <c r="G278" i="6"/>
  <c r="H278" i="6" s="1"/>
  <c r="Y4" i="7"/>
  <c r="H727" i="7"/>
  <c r="H262" i="7"/>
  <c r="H123" i="7"/>
  <c r="AB6" i="4"/>
  <c r="AA6" i="4"/>
  <c r="N622" i="6"/>
  <c r="G622" i="6"/>
  <c r="H622" i="6" s="1"/>
  <c r="N359" i="6"/>
  <c r="G359" i="6"/>
  <c r="H359" i="6" s="1"/>
  <c r="N686" i="6"/>
  <c r="G686" i="6"/>
  <c r="H686" i="6" s="1"/>
  <c r="N632" i="6"/>
  <c r="G632" i="6"/>
  <c r="H632" i="6" s="1"/>
  <c r="N683" i="6"/>
  <c r="G683" i="6"/>
  <c r="H683" i="6" s="1"/>
  <c r="N118" i="6"/>
  <c r="G118" i="6"/>
  <c r="H118" i="6" s="1"/>
  <c r="N238" i="6"/>
  <c r="G238" i="6"/>
  <c r="H238" i="6" s="1"/>
  <c r="N245" i="6"/>
  <c r="G245" i="6"/>
  <c r="H245" i="6" s="1"/>
  <c r="N487" i="6"/>
  <c r="G487" i="6"/>
  <c r="H487" i="6" s="1"/>
  <c r="N401" i="6"/>
  <c r="G401" i="6"/>
  <c r="H401" i="6" s="1"/>
  <c r="N413" i="6"/>
  <c r="G413" i="6"/>
  <c r="H413" i="6" s="1"/>
  <c r="N520" i="6"/>
  <c r="G520" i="6"/>
  <c r="H520" i="6" s="1"/>
  <c r="N758" i="6"/>
  <c r="G758" i="6"/>
  <c r="H758" i="6" s="1"/>
  <c r="N369" i="6"/>
  <c r="G369" i="6"/>
  <c r="H369" i="6" s="1"/>
  <c r="N482" i="6"/>
  <c r="G482" i="6"/>
  <c r="H482" i="6" s="1"/>
  <c r="N685" i="6"/>
  <c r="G685" i="6"/>
  <c r="H685" i="6" s="1"/>
  <c r="N601" i="6"/>
  <c r="G601" i="6"/>
  <c r="H601" i="6" s="1"/>
  <c r="N730" i="6"/>
  <c r="G730" i="6"/>
  <c r="H730" i="6" s="1"/>
  <c r="N693" i="6"/>
  <c r="G693" i="6"/>
  <c r="H693" i="6" s="1"/>
  <c r="N770" i="6"/>
  <c r="G770" i="6"/>
  <c r="H770" i="6" s="1"/>
  <c r="N272" i="6"/>
  <c r="G272" i="6"/>
  <c r="H272" i="6" s="1"/>
  <c r="N552" i="6"/>
  <c r="G552" i="6"/>
  <c r="H552" i="6" s="1"/>
  <c r="N486" i="6"/>
  <c r="G486" i="6"/>
  <c r="H486" i="6" s="1"/>
  <c r="N350" i="6"/>
  <c r="G350" i="6"/>
  <c r="H350" i="6" s="1"/>
  <c r="N262" i="6"/>
  <c r="G262" i="6"/>
  <c r="H262" i="6" s="1"/>
  <c r="N541" i="6"/>
  <c r="G541" i="6"/>
  <c r="H541" i="6" s="1"/>
  <c r="N332" i="6"/>
  <c r="G332" i="6"/>
  <c r="H332" i="6" s="1"/>
  <c r="N729" i="6"/>
  <c r="G729" i="6"/>
  <c r="H729" i="6" s="1"/>
  <c r="N144" i="6"/>
  <c r="G144" i="6"/>
  <c r="H144" i="6" s="1"/>
  <c r="N409" i="6"/>
  <c r="G409" i="6"/>
  <c r="H409" i="6" s="1"/>
  <c r="N264" i="6"/>
  <c r="G264" i="6"/>
  <c r="H264" i="6" s="1"/>
  <c r="N492" i="6"/>
  <c r="G492" i="6"/>
  <c r="H492" i="6" s="1"/>
  <c r="N466" i="6"/>
  <c r="G466" i="6"/>
  <c r="H466" i="6" s="1"/>
  <c r="N331" i="6"/>
  <c r="G331" i="6"/>
  <c r="H331" i="6" s="1"/>
  <c r="N638" i="6"/>
  <c r="G638" i="6"/>
  <c r="H638" i="6" s="1"/>
  <c r="N153" i="6"/>
  <c r="G153" i="6"/>
  <c r="H153" i="6" s="1"/>
  <c r="N227" i="6"/>
  <c r="G227" i="6"/>
  <c r="H227" i="6" s="1"/>
  <c r="N261" i="6"/>
  <c r="G261" i="6"/>
  <c r="H261" i="6" s="1"/>
  <c r="N294" i="6"/>
  <c r="G294" i="6"/>
  <c r="H294" i="6" s="1"/>
  <c r="N620" i="6"/>
  <c r="G620" i="6"/>
  <c r="H620" i="6" s="1"/>
  <c r="N776" i="6"/>
  <c r="G776" i="6"/>
  <c r="H776" i="6" s="1"/>
  <c r="N510" i="6"/>
  <c r="G510" i="6"/>
  <c r="H510" i="6" s="1"/>
  <c r="N519" i="6"/>
  <c r="G519" i="6"/>
  <c r="H519" i="6" s="1"/>
  <c r="N501" i="6"/>
  <c r="G501" i="6"/>
  <c r="H501" i="6" s="1"/>
  <c r="N381" i="6"/>
  <c r="G381" i="6"/>
  <c r="H381" i="6" s="1"/>
  <c r="N590" i="6"/>
  <c r="G590" i="6"/>
  <c r="H590" i="6" s="1"/>
  <c r="N571" i="6"/>
  <c r="G571" i="6"/>
  <c r="H571" i="6" s="1"/>
  <c r="N788" i="6"/>
  <c r="G788" i="6"/>
  <c r="H788" i="6" s="1"/>
  <c r="N461" i="6"/>
  <c r="G461" i="6"/>
  <c r="H461" i="6" s="1"/>
  <c r="N297" i="6"/>
  <c r="G297" i="6"/>
  <c r="H297" i="6" s="1"/>
  <c r="N345" i="6"/>
  <c r="G345" i="6"/>
  <c r="H345" i="6" s="1"/>
  <c r="N465" i="6"/>
  <c r="G465" i="6"/>
  <c r="H465" i="6" s="1"/>
  <c r="N429" i="6"/>
  <c r="G429" i="6"/>
  <c r="H429" i="6" s="1"/>
  <c r="N451" i="6"/>
  <c r="G451" i="6"/>
  <c r="H451" i="6" s="1"/>
  <c r="N2" i="6"/>
  <c r="G2" i="6"/>
  <c r="H2" i="6" s="1"/>
  <c r="N351" i="6"/>
  <c r="G351" i="6"/>
  <c r="H351" i="6" s="1"/>
  <c r="N478" i="6"/>
  <c r="G478" i="6"/>
  <c r="H478" i="6" s="1"/>
  <c r="N439" i="6"/>
  <c r="G439" i="6"/>
  <c r="H439" i="6" s="1"/>
  <c r="N280" i="6"/>
  <c r="G280" i="6"/>
  <c r="H280" i="6" s="1"/>
  <c r="N378" i="6"/>
  <c r="G378" i="6"/>
  <c r="H378" i="6" s="1"/>
  <c r="N469" i="6"/>
  <c r="G469" i="6"/>
  <c r="H469" i="6" s="1"/>
  <c r="N744" i="6"/>
  <c r="G744" i="6"/>
  <c r="H744" i="6" s="1"/>
  <c r="N742" i="6"/>
  <c r="G742" i="6"/>
  <c r="H742" i="6" s="1"/>
  <c r="N446" i="6"/>
  <c r="G446" i="6"/>
  <c r="H446" i="6" s="1"/>
  <c r="N206" i="6"/>
  <c r="G206" i="6"/>
  <c r="H206" i="6" s="1"/>
  <c r="N476" i="6"/>
  <c r="G476" i="6"/>
  <c r="H476" i="6" s="1"/>
  <c r="N432" i="6"/>
  <c r="G432" i="6"/>
  <c r="H432" i="6" s="1"/>
  <c r="N457" i="6"/>
  <c r="G457" i="6"/>
  <c r="H457" i="6" s="1"/>
  <c r="N705" i="6"/>
  <c r="G705" i="6"/>
  <c r="H705" i="6" s="1"/>
  <c r="N664" i="6"/>
  <c r="G664" i="6"/>
  <c r="H664" i="6" s="1"/>
  <c r="N509" i="6"/>
  <c r="G509" i="6"/>
  <c r="H509" i="6" s="1"/>
  <c r="N652" i="6"/>
  <c r="G652" i="6"/>
  <c r="H652" i="6" s="1"/>
  <c r="N786" i="6"/>
  <c r="G786" i="6"/>
  <c r="H786" i="6" s="1"/>
  <c r="N832" i="6"/>
  <c r="G832" i="6"/>
  <c r="H832" i="6" s="1"/>
  <c r="N551" i="6"/>
  <c r="G551" i="6"/>
  <c r="H551" i="6" s="1"/>
  <c r="N666" i="6"/>
  <c r="G666" i="6"/>
  <c r="H666" i="6" s="1"/>
  <c r="N260" i="6"/>
  <c r="G260" i="6"/>
  <c r="H260" i="6" s="1"/>
  <c r="N808" i="6"/>
  <c r="G808" i="6"/>
  <c r="H808" i="6" s="1"/>
  <c r="N21" i="6"/>
  <c r="G21" i="6"/>
  <c r="H21" i="6" s="1"/>
  <c r="N672" i="6"/>
  <c r="G672" i="6"/>
  <c r="H672" i="6" s="1"/>
  <c r="N377" i="6"/>
  <c r="G377" i="6"/>
  <c r="H377" i="6" s="1"/>
  <c r="N237" i="6"/>
  <c r="G237" i="6"/>
  <c r="H237" i="6" s="1"/>
  <c r="N535" i="6"/>
  <c r="G535" i="6"/>
  <c r="H535" i="6" s="1"/>
  <c r="N470" i="6"/>
  <c r="G470" i="6"/>
  <c r="H470" i="6" s="1"/>
  <c r="N468" i="6"/>
  <c r="G468" i="6"/>
  <c r="H468" i="6" s="1"/>
  <c r="N526" i="6"/>
  <c r="G526" i="6"/>
  <c r="H526" i="6" s="1"/>
  <c r="N658" i="6"/>
  <c r="G658" i="6"/>
  <c r="H658" i="6" s="1"/>
  <c r="N606" i="6"/>
  <c r="G606" i="6"/>
  <c r="H606" i="6" s="1"/>
  <c r="N498" i="6"/>
  <c r="G498" i="6"/>
  <c r="H498" i="6" s="1"/>
  <c r="N224" i="6"/>
  <c r="G224" i="6"/>
  <c r="H224" i="6" s="1"/>
  <c r="N349" i="6"/>
  <c r="G349" i="6"/>
  <c r="H349" i="6" s="1"/>
  <c r="N255" i="6"/>
  <c r="G255" i="6"/>
  <c r="H255" i="6" s="1"/>
  <c r="N477" i="6"/>
  <c r="G477" i="6"/>
  <c r="H477" i="6" s="1"/>
  <c r="N318" i="6"/>
  <c r="G318" i="6"/>
  <c r="H318" i="6" s="1"/>
  <c r="N390" i="6"/>
  <c r="G390" i="6"/>
  <c r="H390" i="6" s="1"/>
  <c r="N525" i="6"/>
  <c r="G525" i="6"/>
  <c r="H525" i="6" s="1"/>
  <c r="N741" i="6"/>
  <c r="G741" i="6"/>
  <c r="H741" i="6" s="1"/>
  <c r="N711" i="6"/>
  <c r="G711" i="6"/>
  <c r="H711" i="6" s="1"/>
  <c r="N858" i="6"/>
  <c r="G858" i="6"/>
  <c r="H858" i="6" s="1"/>
  <c r="N761" i="6"/>
  <c r="G761" i="6"/>
  <c r="H761" i="6" s="1"/>
  <c r="N491" i="6"/>
  <c r="G491" i="6"/>
  <c r="H491" i="6" s="1"/>
  <c r="N358" i="6"/>
  <c r="G358" i="6"/>
  <c r="H358" i="6" s="1"/>
  <c r="N494" i="6"/>
  <c r="G494" i="6"/>
  <c r="H494" i="6" s="1"/>
  <c r="N433" i="6"/>
  <c r="G433" i="6"/>
  <c r="H433" i="6" s="1"/>
  <c r="N443" i="6"/>
  <c r="G443" i="6"/>
  <c r="H443" i="6" s="1"/>
  <c r="N364" i="6"/>
  <c r="G364" i="6"/>
  <c r="H364" i="6" s="1"/>
  <c r="N39" i="6"/>
  <c r="G39" i="6"/>
  <c r="H39" i="6" s="1"/>
  <c r="N755" i="6"/>
  <c r="G755" i="6"/>
  <c r="H755" i="6" s="1"/>
  <c r="N522" i="6"/>
  <c r="G522" i="6"/>
  <c r="H522" i="6" s="1"/>
  <c r="N427" i="6"/>
  <c r="G427" i="6"/>
  <c r="H427" i="6" s="1"/>
  <c r="N518" i="6"/>
  <c r="G518" i="6"/>
  <c r="H518" i="6" s="1"/>
  <c r="N724" i="6"/>
  <c r="G724" i="6"/>
  <c r="H724" i="6" s="1"/>
  <c r="N327" i="6"/>
  <c r="G327" i="6"/>
  <c r="H327" i="6" s="1"/>
  <c r="N765" i="6"/>
  <c r="G765" i="6"/>
  <c r="H765" i="6" s="1"/>
  <c r="N208" i="6"/>
  <c r="G208" i="6"/>
  <c r="H208" i="6" s="1"/>
  <c r="N830" i="6"/>
  <c r="G830" i="6"/>
  <c r="H830" i="6" s="1"/>
  <c r="N595" i="6"/>
  <c r="G595" i="6"/>
  <c r="H595" i="6" s="1"/>
  <c r="N88" i="6"/>
  <c r="G88" i="6"/>
  <c r="H88" i="6" s="1"/>
  <c r="N321" i="6"/>
  <c r="G321" i="6"/>
  <c r="H321" i="6" s="1"/>
  <c r="N467" i="6"/>
  <c r="G467" i="6"/>
  <c r="H467" i="6" s="1"/>
  <c r="N857" i="6"/>
  <c r="G857" i="6"/>
  <c r="H857" i="6" s="1"/>
  <c r="N419" i="6"/>
  <c r="G419" i="6"/>
  <c r="H419" i="6" s="1"/>
  <c r="N836" i="6"/>
  <c r="G836" i="6"/>
  <c r="H836" i="6" s="1"/>
  <c r="N862" i="6"/>
  <c r="G862" i="6"/>
  <c r="H862" i="6" s="1"/>
  <c r="N834" i="6"/>
  <c r="G834" i="6"/>
  <c r="H834" i="6" s="1"/>
  <c r="N323" i="6"/>
  <c r="G323" i="6"/>
  <c r="H323" i="6" s="1"/>
  <c r="N292" i="6"/>
  <c r="G292" i="6"/>
  <c r="H292" i="6" s="1"/>
  <c r="N314" i="6"/>
  <c r="G314" i="6"/>
  <c r="H314" i="6" s="1"/>
  <c r="N348" i="6"/>
  <c r="G348" i="6"/>
  <c r="H348" i="6" s="1"/>
  <c r="N540" i="6"/>
  <c r="G540" i="6"/>
  <c r="H540" i="6" s="1"/>
  <c r="N376" i="6"/>
  <c r="G376" i="6"/>
  <c r="H376" i="6" s="1"/>
  <c r="N400" i="6"/>
  <c r="G400" i="6"/>
  <c r="H400" i="6" s="1"/>
  <c r="N441" i="6"/>
  <c r="G441" i="6"/>
  <c r="H441" i="6" s="1"/>
  <c r="N695" i="6"/>
  <c r="G695" i="6"/>
  <c r="H695" i="6" s="1"/>
  <c r="N502" i="6"/>
  <c r="G502" i="6"/>
  <c r="H502" i="6" s="1"/>
  <c r="N865" i="6"/>
  <c r="G865" i="6"/>
  <c r="H865" i="6" s="1"/>
  <c r="N475" i="6"/>
  <c r="G475" i="6"/>
  <c r="H475" i="6" s="1"/>
  <c r="N384" i="6"/>
  <c r="G384" i="6"/>
  <c r="H384" i="6" s="1"/>
  <c r="N842" i="6"/>
  <c r="G842" i="6"/>
  <c r="H842" i="6" s="1"/>
  <c r="N800" i="6"/>
  <c r="G800" i="6"/>
  <c r="H800" i="6" s="1"/>
  <c r="N665" i="6"/>
  <c r="G665" i="6"/>
  <c r="H665" i="6" s="1"/>
  <c r="N275" i="6"/>
  <c r="G275" i="6"/>
  <c r="H275" i="6" s="1"/>
  <c r="N700" i="6"/>
  <c r="G700" i="6"/>
  <c r="H700" i="6" s="1"/>
  <c r="N574" i="6"/>
  <c r="G574" i="6"/>
  <c r="H574" i="6" s="1"/>
  <c r="N176" i="6"/>
  <c r="G176" i="6"/>
  <c r="H176" i="6" s="1"/>
  <c r="N337" i="6"/>
  <c r="G337" i="6"/>
  <c r="H337" i="6" s="1"/>
  <c r="N334" i="6"/>
  <c r="G334" i="6"/>
  <c r="H334" i="6" s="1"/>
  <c r="N259" i="6"/>
  <c r="G259" i="6"/>
  <c r="H259" i="6" s="1"/>
  <c r="N202" i="6"/>
  <c r="G202" i="6"/>
  <c r="H202" i="6" s="1"/>
  <c r="N594" i="6"/>
  <c r="G594" i="6"/>
  <c r="H594" i="6" s="1"/>
  <c r="N215" i="6"/>
  <c r="G215" i="6"/>
  <c r="H215" i="6" s="1"/>
  <c r="N81" i="6"/>
  <c r="G81" i="6"/>
  <c r="H81" i="6" s="1"/>
  <c r="N270" i="6"/>
  <c r="G270" i="6"/>
  <c r="H270" i="6" s="1"/>
  <c r="N656" i="6"/>
  <c r="G656" i="6"/>
  <c r="H656" i="6" s="1"/>
  <c r="N291" i="6"/>
  <c r="G291" i="6"/>
  <c r="H291" i="6" s="1"/>
  <c r="N785" i="6"/>
  <c r="G785" i="6"/>
  <c r="H785" i="6" s="1"/>
  <c r="N547" i="6"/>
  <c r="G547" i="6"/>
  <c r="H547" i="6" s="1"/>
  <c r="N244" i="6"/>
  <c r="G244" i="6"/>
  <c r="H244" i="6" s="1"/>
  <c r="N747" i="6"/>
  <c r="G747" i="6"/>
  <c r="H747" i="6" s="1"/>
  <c r="N236" i="6"/>
  <c r="G236" i="6"/>
  <c r="H236" i="6" s="1"/>
  <c r="N366" i="6"/>
  <c r="G366" i="6"/>
  <c r="H366" i="6" s="1"/>
  <c r="N243" i="6"/>
  <c r="G243" i="6"/>
  <c r="H243" i="6" s="1"/>
  <c r="N234" i="6"/>
  <c r="G234" i="6"/>
  <c r="H234" i="6" s="1"/>
  <c r="N289" i="6"/>
  <c r="G289" i="6"/>
  <c r="H289" i="6" s="1"/>
  <c r="N392" i="6"/>
  <c r="G392" i="6"/>
  <c r="H392" i="6" s="1"/>
  <c r="N142" i="6"/>
  <c r="G142" i="6"/>
  <c r="H142" i="6" s="1"/>
  <c r="N663" i="6"/>
  <c r="G663" i="6"/>
  <c r="H663" i="6" s="1"/>
  <c r="N42" i="6"/>
  <c r="G42" i="6"/>
  <c r="H42" i="6" s="1"/>
  <c r="N811" i="6"/>
  <c r="G811" i="6"/>
  <c r="H811" i="6" s="1"/>
  <c r="N214" i="6"/>
  <c r="G214" i="6"/>
  <c r="H214" i="6" s="1"/>
  <c r="N723" i="6"/>
  <c r="G723" i="6"/>
  <c r="H723" i="6" s="1"/>
  <c r="N18" i="6"/>
  <c r="G18" i="6"/>
  <c r="H18" i="6" s="1"/>
  <c r="N59" i="6"/>
  <c r="G59" i="6"/>
  <c r="H59" i="6" s="1"/>
  <c r="N374" i="6"/>
  <c r="G374" i="6"/>
  <c r="H374" i="6" s="1"/>
  <c r="N589" i="6"/>
  <c r="G589" i="6"/>
  <c r="H589" i="6" s="1"/>
  <c r="N497" i="6"/>
  <c r="G497" i="6"/>
  <c r="H497" i="6" s="1"/>
  <c r="N182" i="6"/>
  <c r="G182" i="6"/>
  <c r="H182" i="6" s="1"/>
  <c r="N93" i="6"/>
  <c r="G93" i="6"/>
  <c r="H93" i="6" s="1"/>
  <c r="N62" i="6"/>
  <c r="G62" i="6"/>
  <c r="H62" i="6" s="1"/>
  <c r="N239" i="6"/>
  <c r="G239" i="6"/>
  <c r="H239" i="6" s="1"/>
  <c r="N246" i="6"/>
  <c r="G246" i="6"/>
  <c r="H246" i="6" s="1"/>
  <c r="N152" i="6"/>
  <c r="G152" i="6"/>
  <c r="H152" i="6" s="1"/>
  <c r="N217" i="6"/>
  <c r="G217" i="6"/>
  <c r="H217" i="6" s="1"/>
  <c r="N437" i="6"/>
  <c r="G437" i="6"/>
  <c r="H437" i="6" s="1"/>
  <c r="N534" i="6"/>
  <c r="G534" i="6"/>
  <c r="H534" i="6" s="1"/>
  <c r="N252" i="6"/>
  <c r="G252" i="6"/>
  <c r="H252" i="6" s="1"/>
  <c r="N225" i="6"/>
  <c r="G225" i="6"/>
  <c r="H225" i="6" s="1"/>
  <c r="N213" i="6"/>
  <c r="G213" i="6"/>
  <c r="H213" i="6" s="1"/>
  <c r="N436" i="6"/>
  <c r="G436" i="6"/>
  <c r="H436" i="6" s="1"/>
  <c r="N406" i="6"/>
  <c r="G406" i="6"/>
  <c r="H406" i="6" s="1"/>
  <c r="N458" i="6"/>
  <c r="G458" i="6"/>
  <c r="H458" i="6" s="1"/>
  <c r="N141" i="6"/>
  <c r="G141" i="6"/>
  <c r="H141" i="6" s="1"/>
  <c r="N530" i="6"/>
  <c r="G530" i="6"/>
  <c r="H530" i="6" s="1"/>
  <c r="N493" i="6"/>
  <c r="G493" i="6"/>
  <c r="H493" i="6" s="1"/>
  <c r="N754" i="6"/>
  <c r="G754" i="6"/>
  <c r="H754" i="6" s="1"/>
  <c r="N872" i="6"/>
  <c r="G872" i="6"/>
  <c r="H872" i="6" s="1"/>
  <c r="N127" i="6"/>
  <c r="G127" i="6"/>
  <c r="H127" i="6" s="1"/>
  <c r="N870" i="6"/>
  <c r="G870" i="6"/>
  <c r="H870" i="6" s="1"/>
  <c r="N573" i="6"/>
  <c r="G573" i="6"/>
  <c r="H573" i="6" s="1"/>
  <c r="N848" i="6"/>
  <c r="G848" i="6"/>
  <c r="H848" i="6" s="1"/>
  <c r="N284" i="6"/>
  <c r="G284" i="6"/>
  <c r="H284" i="6" s="1"/>
  <c r="N56" i="6"/>
  <c r="G56" i="6"/>
  <c r="H56" i="6" s="1"/>
  <c r="N846" i="6"/>
  <c r="G846" i="6"/>
  <c r="H846" i="6" s="1"/>
  <c r="N637" i="6"/>
  <c r="G637" i="6"/>
  <c r="H637" i="6" s="1"/>
  <c r="N41" i="6"/>
  <c r="G41" i="6"/>
  <c r="H41" i="6" s="1"/>
  <c r="N736" i="6"/>
  <c r="G736" i="6"/>
  <c r="H736" i="6" s="1"/>
  <c r="N544" i="6"/>
  <c r="G544" i="6"/>
  <c r="H544" i="6" s="1"/>
  <c r="N302" i="6"/>
  <c r="G302" i="6"/>
  <c r="H302" i="6" s="1"/>
  <c r="N27" i="6"/>
  <c r="G27" i="6"/>
  <c r="H27" i="6" s="1"/>
  <c r="N617" i="6"/>
  <c r="G617" i="6"/>
  <c r="H617" i="6" s="1"/>
  <c r="N254" i="6"/>
  <c r="G254" i="6"/>
  <c r="H254" i="6" s="1"/>
  <c r="N105" i="6"/>
  <c r="G105" i="6"/>
  <c r="H105" i="6" s="1"/>
  <c r="N216" i="6"/>
  <c r="G216" i="6"/>
  <c r="H216" i="6" s="1"/>
  <c r="N196" i="6"/>
  <c r="G196" i="6"/>
  <c r="H196" i="6" s="1"/>
  <c r="N728" i="6"/>
  <c r="G728" i="6"/>
  <c r="H728" i="6" s="1"/>
  <c r="N126" i="6"/>
  <c r="G126" i="6"/>
  <c r="H126" i="6" s="1"/>
  <c r="N845" i="6"/>
  <c r="G845" i="6"/>
  <c r="H845" i="6" s="1"/>
  <c r="N555" i="6"/>
  <c r="G555" i="6"/>
  <c r="H555" i="6" s="1"/>
  <c r="N768" i="6"/>
  <c r="G768" i="6"/>
  <c r="H768" i="6" s="1"/>
  <c r="N539" i="6"/>
  <c r="G539" i="6"/>
  <c r="H539" i="6" s="1"/>
  <c r="N119" i="6"/>
  <c r="G119" i="6"/>
  <c r="H119" i="6" s="1"/>
  <c r="N287" i="6"/>
  <c r="G287" i="6"/>
  <c r="H287" i="6" s="1"/>
  <c r="N92" i="6"/>
  <c r="G92" i="6"/>
  <c r="H92" i="6" s="1"/>
  <c r="N22" i="6"/>
  <c r="G22" i="6"/>
  <c r="H22" i="6" s="1"/>
  <c r="N73" i="6"/>
  <c r="G73" i="6"/>
  <c r="H73" i="6" s="1"/>
  <c r="N7" i="6"/>
  <c r="G7" i="6"/>
  <c r="H7" i="6" s="1"/>
  <c r="N68" i="6"/>
  <c r="G68" i="6"/>
  <c r="H68" i="6" s="1"/>
  <c r="N504" i="6"/>
  <c r="G504" i="6"/>
  <c r="H504" i="6" s="1"/>
  <c r="N230" i="6"/>
  <c r="G230" i="6"/>
  <c r="H230" i="6" s="1"/>
  <c r="N581" i="6"/>
  <c r="G581" i="6"/>
  <c r="H581" i="6" s="1"/>
  <c r="N304" i="6"/>
  <c r="G304" i="6"/>
  <c r="H304" i="6" s="1"/>
  <c r="N616" i="6"/>
  <c r="G616" i="6"/>
  <c r="H616" i="6" s="1"/>
  <c r="N464" i="6"/>
  <c r="G464" i="6"/>
  <c r="H464" i="6" s="1"/>
  <c r="N661" i="6"/>
  <c r="G661" i="6"/>
  <c r="H661" i="6" s="1"/>
  <c r="N403" i="6"/>
  <c r="G403" i="6"/>
  <c r="H403" i="6" s="1"/>
  <c r="N450" i="6"/>
  <c r="G450" i="6"/>
  <c r="H450" i="6" s="1"/>
  <c r="N326" i="6"/>
  <c r="G326" i="6"/>
  <c r="H326" i="6" s="1"/>
  <c r="N296" i="6"/>
  <c r="G296" i="6"/>
  <c r="H296" i="6" s="1"/>
  <c r="N480" i="6"/>
  <c r="G480" i="6"/>
  <c r="H480" i="6" s="1"/>
  <c r="N186" i="6"/>
  <c r="G186" i="6"/>
  <c r="H186" i="6" s="1"/>
  <c r="N805" i="6"/>
  <c r="G805" i="6"/>
  <c r="H805" i="6" s="1"/>
  <c r="N435" i="6"/>
  <c r="G435" i="6"/>
  <c r="H435" i="6" s="1"/>
  <c r="N307" i="6"/>
  <c r="G307" i="6"/>
  <c r="H307" i="6" s="1"/>
  <c r="N839" i="6"/>
  <c r="G839" i="6"/>
  <c r="H839" i="6" s="1"/>
  <c r="N98" i="6"/>
  <c r="G98" i="6"/>
  <c r="H98" i="6" s="1"/>
  <c r="N598" i="6"/>
  <c r="G598" i="6"/>
  <c r="H598" i="6" s="1"/>
  <c r="N719" i="6"/>
  <c r="G719" i="6"/>
  <c r="H719" i="6" s="1"/>
  <c r="N803" i="6"/>
  <c r="G803" i="6"/>
  <c r="H803" i="6" s="1"/>
  <c r="N219" i="6"/>
  <c r="G219" i="6"/>
  <c r="H219" i="6" s="1"/>
  <c r="N426" i="6"/>
  <c r="G426" i="6"/>
  <c r="H426" i="6" s="1"/>
  <c r="N704" i="6"/>
  <c r="G704" i="6"/>
  <c r="H704" i="6" s="1"/>
  <c r="N708" i="6"/>
  <c r="G708" i="6"/>
  <c r="H708" i="6" s="1"/>
  <c r="N505" i="6"/>
  <c r="G505" i="6"/>
  <c r="H505" i="6" s="1"/>
  <c r="N757" i="6"/>
  <c r="G757" i="6"/>
  <c r="H757" i="6" s="1"/>
  <c r="N405" i="6"/>
  <c r="G405" i="6"/>
  <c r="H405" i="6" s="1"/>
  <c r="N97" i="6"/>
  <c r="G97" i="6"/>
  <c r="H97" i="6" s="1"/>
  <c r="N5" i="6"/>
  <c r="G5" i="6"/>
  <c r="H5" i="6" s="1"/>
  <c r="N258" i="6"/>
  <c r="G258" i="6"/>
  <c r="H258" i="6" s="1"/>
  <c r="N481" i="6"/>
  <c r="G481" i="6"/>
  <c r="H481" i="6" s="1"/>
  <c r="N341" i="6"/>
  <c r="G341" i="6"/>
  <c r="H341" i="6" s="1"/>
  <c r="N513" i="6"/>
  <c r="G513" i="6"/>
  <c r="H513" i="6" s="1"/>
  <c r="N111" i="6"/>
  <c r="G111" i="6"/>
  <c r="H111" i="6" s="1"/>
  <c r="N34" i="6"/>
  <c r="G34" i="6"/>
  <c r="H34" i="6" s="1"/>
  <c r="N283" i="6"/>
  <c r="G283" i="6"/>
  <c r="H283" i="6" s="1"/>
  <c r="N205" i="6"/>
  <c r="G205" i="6"/>
  <c r="H205" i="6" s="1"/>
  <c r="N36" i="6"/>
  <c r="G36" i="6"/>
  <c r="H36" i="6" s="1"/>
  <c r="N185" i="6"/>
  <c r="G185" i="6"/>
  <c r="H185" i="6" s="1"/>
  <c r="N17" i="6"/>
  <c r="G17" i="6"/>
  <c r="H17" i="6" s="1"/>
  <c r="N29" i="6"/>
  <c r="G29" i="6"/>
  <c r="H29" i="6" s="1"/>
  <c r="N4" i="6"/>
  <c r="G4" i="6"/>
  <c r="H4" i="6" s="1"/>
  <c r="N864" i="6"/>
  <c r="G864" i="6"/>
  <c r="H864" i="6" s="1"/>
  <c r="N6" i="6"/>
  <c r="G6" i="6"/>
  <c r="H6" i="6" s="1"/>
  <c r="N96" i="6"/>
  <c r="G96" i="6"/>
  <c r="H96" i="6" s="1"/>
  <c r="N169" i="6"/>
  <c r="G169" i="6"/>
  <c r="H169" i="6" s="1"/>
  <c r="N796" i="6"/>
  <c r="G796" i="6"/>
  <c r="H796" i="6" s="1"/>
  <c r="N104" i="6"/>
  <c r="G104" i="6"/>
  <c r="H104" i="6" s="1"/>
  <c r="N233" i="6"/>
  <c r="G233" i="6"/>
  <c r="H233" i="6" s="1"/>
  <c r="N263" i="6"/>
  <c r="G263" i="6"/>
  <c r="H263" i="6" s="1"/>
  <c r="N753" i="6"/>
  <c r="G753" i="6"/>
  <c r="H753" i="6" s="1"/>
  <c r="N550" i="6"/>
  <c r="G550" i="6"/>
  <c r="H550" i="6" s="1"/>
  <c r="N619" i="6"/>
  <c r="G619" i="6"/>
  <c r="H619" i="6" s="1"/>
  <c r="N223" i="6"/>
  <c r="G223" i="6"/>
  <c r="H223" i="6" s="1"/>
  <c r="N58" i="6"/>
  <c r="G58" i="6"/>
  <c r="H58" i="6" s="1"/>
  <c r="N257" i="6"/>
  <c r="G257" i="6"/>
  <c r="H257" i="6" s="1"/>
  <c r="N151" i="6"/>
  <c r="G151" i="6"/>
  <c r="H151" i="6" s="1"/>
  <c r="N130" i="6"/>
  <c r="G130" i="6"/>
  <c r="H130" i="6" s="1"/>
  <c r="N416" i="6"/>
  <c r="G416" i="6"/>
  <c r="H416" i="6" s="1"/>
  <c r="N12" i="6"/>
  <c r="G12" i="6"/>
  <c r="H12" i="6" s="1"/>
  <c r="N586" i="6"/>
  <c r="G586" i="6"/>
  <c r="H586" i="6" s="1"/>
  <c r="N615" i="6"/>
  <c r="G615" i="6"/>
  <c r="H615" i="6" s="1"/>
  <c r="N387" i="6"/>
  <c r="G387" i="6"/>
  <c r="H387" i="6" s="1"/>
  <c r="N388" i="6"/>
  <c r="G388" i="6"/>
  <c r="H388" i="6" s="1"/>
  <c r="N336" i="6"/>
  <c r="G336" i="6"/>
  <c r="H336" i="6" s="1"/>
  <c r="N507" i="6"/>
  <c r="G507" i="6"/>
  <c r="H507" i="6" s="1"/>
  <c r="N716" i="6"/>
  <c r="G716" i="6"/>
  <c r="H716" i="6" s="1"/>
  <c r="N474" i="6"/>
  <c r="G474" i="6"/>
  <c r="H474" i="6" s="1"/>
  <c r="N605" i="6"/>
  <c r="G605" i="6"/>
  <c r="H605" i="6" s="1"/>
  <c r="N108" i="6"/>
  <c r="G108" i="6"/>
  <c r="H108" i="6" s="1"/>
  <c r="N752" i="6"/>
  <c r="G752" i="6"/>
  <c r="H752" i="6" s="1"/>
  <c r="N668" i="6"/>
  <c r="G668" i="6"/>
  <c r="H668" i="6" s="1"/>
  <c r="N784" i="6"/>
  <c r="G784" i="6"/>
  <c r="H784" i="6" s="1"/>
  <c r="N546" i="6"/>
  <c r="G546" i="6"/>
  <c r="H546" i="6" s="1"/>
  <c r="N564" i="6"/>
  <c r="G564" i="6"/>
  <c r="H564" i="6" s="1"/>
  <c r="N557" i="6"/>
  <c r="G557" i="6"/>
  <c r="H557" i="6" s="1"/>
  <c r="N591" i="6"/>
  <c r="G591" i="6"/>
  <c r="H591" i="6" s="1"/>
  <c r="N680" i="6"/>
  <c r="G680" i="6"/>
  <c r="H680" i="6" s="1"/>
  <c r="N694" i="6"/>
  <c r="G694" i="6"/>
  <c r="H694" i="6" s="1"/>
  <c r="N556" i="6"/>
  <c r="G556" i="6"/>
  <c r="H556" i="6" s="1"/>
  <c r="N583" i="6"/>
  <c r="G583" i="6"/>
  <c r="H583" i="6" s="1"/>
  <c r="N545" i="6"/>
  <c r="G545" i="6"/>
  <c r="H545" i="6" s="1"/>
  <c r="N232" i="6"/>
  <c r="G232" i="6"/>
  <c r="H232" i="6" s="1"/>
  <c r="N655" i="6"/>
  <c r="G655" i="6"/>
  <c r="H655" i="6" s="1"/>
  <c r="N611" i="6"/>
  <c r="G611" i="6"/>
  <c r="H611" i="6" s="1"/>
  <c r="N584" i="6"/>
  <c r="G584" i="6"/>
  <c r="H584" i="6" s="1"/>
  <c r="N604" i="6"/>
  <c r="G604" i="6"/>
  <c r="H604" i="6" s="1"/>
  <c r="N543" i="6"/>
  <c r="G543" i="6"/>
  <c r="H543" i="6" s="1"/>
  <c r="N506" i="6"/>
  <c r="G506" i="6"/>
  <c r="H506" i="6" s="1"/>
  <c r="N585" i="6"/>
  <c r="G585" i="6"/>
  <c r="H585" i="6" s="1"/>
  <c r="N651" i="6"/>
  <c r="G651" i="6"/>
  <c r="H651" i="6" s="1"/>
  <c r="N612" i="6"/>
  <c r="G612" i="6"/>
  <c r="H612" i="6" s="1"/>
  <c r="N634" i="6"/>
  <c r="G634" i="6"/>
  <c r="H634" i="6" s="1"/>
  <c r="N580" i="6"/>
  <c r="G580" i="6"/>
  <c r="H580" i="6" s="1"/>
  <c r="N500" i="6"/>
  <c r="G500" i="6"/>
  <c r="H500" i="6" s="1"/>
  <c r="N268" i="6"/>
  <c r="G268" i="6"/>
  <c r="H268" i="6" s="1"/>
  <c r="N597" i="6"/>
  <c r="G597" i="6"/>
  <c r="H597" i="6" s="1"/>
  <c r="N459" i="6"/>
  <c r="G459" i="6"/>
  <c r="H459" i="6" s="1"/>
  <c r="N103" i="6"/>
  <c r="G103" i="6"/>
  <c r="H103" i="6" s="1"/>
  <c r="N80" i="6"/>
  <c r="G80" i="6"/>
  <c r="H80" i="6" s="1"/>
  <c r="N256" i="6"/>
  <c r="G256" i="6"/>
  <c r="H256" i="6" s="1"/>
  <c r="N19" i="6"/>
  <c r="G19" i="6"/>
  <c r="H19" i="6" s="1"/>
  <c r="N840" i="6"/>
  <c r="G840" i="6"/>
  <c r="H840" i="6" s="1"/>
  <c r="N654" i="6"/>
  <c r="G654" i="6"/>
  <c r="H654" i="6" s="1"/>
  <c r="N567" i="6"/>
  <c r="G567" i="6"/>
  <c r="H567" i="6" s="1"/>
  <c r="N113" i="6"/>
  <c r="G113" i="6"/>
  <c r="H113" i="6" s="1"/>
  <c r="N549" i="6"/>
  <c r="G549" i="6"/>
  <c r="H549" i="6" s="1"/>
  <c r="N411" i="6"/>
  <c r="G411" i="6"/>
  <c r="H411" i="6" s="1"/>
  <c r="N150" i="6"/>
  <c r="G150" i="6"/>
  <c r="H150" i="6" s="1"/>
  <c r="N488" i="6"/>
  <c r="G488" i="6"/>
  <c r="H488" i="6" s="1"/>
  <c r="N330" i="6"/>
  <c r="G330" i="6"/>
  <c r="H330" i="6" s="1"/>
  <c r="N99" i="6"/>
  <c r="G99" i="6"/>
  <c r="H99" i="6" s="1"/>
  <c r="N242" i="6"/>
  <c r="G242" i="6"/>
  <c r="H242" i="6" s="1"/>
  <c r="N121" i="6"/>
  <c r="G121" i="6"/>
  <c r="H121" i="6" s="1"/>
  <c r="N463" i="6"/>
  <c r="G463" i="6"/>
  <c r="H463" i="6" s="1"/>
  <c r="N201" i="6"/>
  <c r="G201" i="6"/>
  <c r="H201" i="6" s="1"/>
  <c r="N52" i="6"/>
  <c r="G52" i="6"/>
  <c r="H52" i="6" s="1"/>
  <c r="N164" i="6"/>
  <c r="G164" i="6"/>
  <c r="H164" i="6" s="1"/>
  <c r="N35" i="6"/>
  <c r="G35" i="6"/>
  <c r="H35" i="6" s="1"/>
  <c r="N3" i="6"/>
  <c r="G3" i="6"/>
  <c r="H3" i="6" s="1"/>
  <c r="N10" i="6"/>
  <c r="G10" i="6"/>
  <c r="H10" i="6" s="1"/>
  <c r="N222" i="6"/>
  <c r="G222" i="6"/>
  <c r="H222" i="6" s="1"/>
  <c r="N762" i="6"/>
  <c r="G762" i="6"/>
  <c r="H762" i="6" s="1"/>
  <c r="N107" i="6"/>
  <c r="G107" i="6"/>
  <c r="H107" i="6" s="1"/>
  <c r="N328" i="6"/>
  <c r="G328" i="6"/>
  <c r="H328" i="6" s="1"/>
  <c r="N251" i="6"/>
  <c r="G251" i="6"/>
  <c r="H251" i="6" s="1"/>
  <c r="N515" i="6"/>
  <c r="G515" i="6"/>
  <c r="H515" i="6" s="1"/>
  <c r="N503" i="6"/>
  <c r="G503" i="6"/>
  <c r="H503" i="6" s="1"/>
  <c r="N94" i="6"/>
  <c r="G94" i="6"/>
  <c r="H94" i="6" s="1"/>
  <c r="N669" i="6"/>
  <c r="G669" i="6"/>
  <c r="H669" i="6" s="1"/>
  <c r="N677" i="6"/>
  <c r="G677" i="6"/>
  <c r="H677" i="6" s="1"/>
  <c r="N697" i="6"/>
  <c r="G697" i="6"/>
  <c r="H697" i="6" s="1"/>
  <c r="N380" i="6"/>
  <c r="G380" i="6"/>
  <c r="H380" i="6" s="1"/>
  <c r="N514" i="6"/>
  <c r="G514" i="6"/>
  <c r="H514" i="6" s="1"/>
  <c r="N116" i="6"/>
  <c r="G116" i="6"/>
  <c r="H116" i="6" s="1"/>
  <c r="N399" i="6"/>
  <c r="G399" i="6"/>
  <c r="H399" i="6" s="1"/>
  <c r="N722" i="6"/>
  <c r="G722" i="6"/>
  <c r="H722" i="6" s="1"/>
  <c r="N339" i="6"/>
  <c r="G339" i="6"/>
  <c r="H339" i="6" s="1"/>
  <c r="N682" i="6"/>
  <c r="G682" i="6"/>
  <c r="H682" i="6" s="1"/>
  <c r="N190" i="6"/>
  <c r="G190" i="6"/>
  <c r="H190" i="6" s="1"/>
  <c r="N833" i="6"/>
  <c r="G833" i="6"/>
  <c r="H833" i="6" s="1"/>
  <c r="N158" i="6"/>
  <c r="G158" i="6"/>
  <c r="H158" i="6" s="1"/>
  <c r="N425" i="6"/>
  <c r="G425" i="6"/>
  <c r="H425" i="6" s="1"/>
  <c r="N418" i="6"/>
  <c r="G418" i="6"/>
  <c r="H418" i="6" s="1"/>
  <c r="N360" i="6"/>
  <c r="G360" i="6"/>
  <c r="H360" i="6" s="1"/>
  <c r="N194" i="6"/>
  <c r="G194" i="6"/>
  <c r="H194" i="6" s="1"/>
  <c r="N312" i="6"/>
  <c r="G312" i="6"/>
  <c r="H312" i="6" s="1"/>
  <c r="N860" i="6"/>
  <c r="G860" i="6"/>
  <c r="H860" i="6" s="1"/>
  <c r="N838" i="6"/>
  <c r="G838" i="6"/>
  <c r="H838" i="6" s="1"/>
  <c r="N324" i="6"/>
  <c r="G324" i="6"/>
  <c r="H324" i="6" s="1"/>
  <c r="N365" i="6"/>
  <c r="G365" i="6"/>
  <c r="H365" i="6" s="1"/>
  <c r="N386" i="6"/>
  <c r="G386" i="6"/>
  <c r="H386" i="6" s="1"/>
  <c r="N521" i="6"/>
  <c r="G521" i="6"/>
  <c r="H521" i="6" s="1"/>
  <c r="N554" i="6"/>
  <c r="G554" i="6"/>
  <c r="H554" i="6" s="1"/>
  <c r="N596" i="6"/>
  <c r="G596" i="6"/>
  <c r="H596" i="6" s="1"/>
  <c r="N609" i="6"/>
  <c r="G609" i="6"/>
  <c r="H609" i="6" s="1"/>
  <c r="N610" i="6"/>
  <c r="G610" i="6"/>
  <c r="H610" i="6" s="1"/>
  <c r="N849" i="6"/>
  <c r="G849" i="6"/>
  <c r="H849" i="6" s="1"/>
  <c r="N837" i="6"/>
  <c r="G837" i="6"/>
  <c r="H837" i="6" s="1"/>
  <c r="N625" i="6"/>
  <c r="G625" i="6"/>
  <c r="H625" i="6" s="1"/>
  <c r="N342" i="6"/>
  <c r="G342" i="6"/>
  <c r="H342" i="6" s="1"/>
  <c r="N820" i="6"/>
  <c r="G820" i="6"/>
  <c r="H820" i="6" s="1"/>
  <c r="N188" i="6"/>
  <c r="G188" i="6"/>
  <c r="H188" i="6" s="1"/>
  <c r="N603" i="6"/>
  <c r="G603" i="6"/>
  <c r="H603" i="6" s="1"/>
  <c r="N844" i="6"/>
  <c r="G844" i="6"/>
  <c r="H844" i="6" s="1"/>
  <c r="N824" i="6"/>
  <c r="G824" i="6"/>
  <c r="H824" i="6" s="1"/>
  <c r="N115" i="6"/>
  <c r="G115" i="6"/>
  <c r="H115" i="6" s="1"/>
  <c r="N135" i="6"/>
  <c r="G135" i="6"/>
  <c r="H135" i="6" s="1"/>
  <c r="N371" i="6"/>
  <c r="G371" i="6"/>
  <c r="H371" i="6" s="1"/>
  <c r="N496" i="6"/>
  <c r="G496" i="6"/>
  <c r="H496" i="6" s="1"/>
  <c r="N738" i="6"/>
  <c r="G738" i="6"/>
  <c r="H738" i="6" s="1"/>
  <c r="N533" i="6"/>
  <c r="G533" i="6"/>
  <c r="H533" i="6" s="1"/>
  <c r="N174" i="6"/>
  <c r="G174" i="6"/>
  <c r="H174" i="6" s="1"/>
  <c r="N132" i="6"/>
  <c r="G132" i="6"/>
  <c r="H132" i="6" s="1"/>
  <c r="N727" i="6"/>
  <c r="G727" i="6"/>
  <c r="H727" i="6" s="1"/>
  <c r="N769" i="6"/>
  <c r="G769" i="6"/>
  <c r="H769" i="6" s="1"/>
  <c r="N644" i="6"/>
  <c r="G644" i="6"/>
  <c r="H644" i="6" s="1"/>
  <c r="N60" i="6"/>
  <c r="G60" i="6"/>
  <c r="H60" i="6" s="1"/>
  <c r="N516" i="6"/>
  <c r="G516" i="6"/>
  <c r="H516" i="6" s="1"/>
  <c r="N383" i="6"/>
  <c r="G383" i="6"/>
  <c r="H383" i="6" s="1"/>
  <c r="N15" i="6"/>
  <c r="G15" i="6"/>
  <c r="H15" i="6" s="1"/>
  <c r="N867" i="6"/>
  <c r="G867" i="6"/>
  <c r="H867" i="6" s="1"/>
  <c r="N831" i="6"/>
  <c r="G831" i="6"/>
  <c r="H831" i="6" s="1"/>
  <c r="N143" i="6"/>
  <c r="G143" i="6"/>
  <c r="H143" i="6" s="1"/>
  <c r="N306" i="6"/>
  <c r="G306" i="6"/>
  <c r="H306" i="6" s="1"/>
  <c r="N211" i="6"/>
  <c r="G211" i="6"/>
  <c r="H211" i="6" s="1"/>
  <c r="N751" i="6"/>
  <c r="G751" i="6"/>
  <c r="H751" i="6" s="1"/>
  <c r="N87" i="6"/>
  <c r="G87" i="6"/>
  <c r="H87" i="6" s="1"/>
  <c r="N440" i="6"/>
  <c r="G440" i="6"/>
  <c r="H440" i="6" s="1"/>
  <c r="N687" i="6"/>
  <c r="G687" i="6"/>
  <c r="H687" i="6" s="1"/>
  <c r="N38" i="6"/>
  <c r="G38" i="6"/>
  <c r="H38" i="6" s="1"/>
  <c r="N766" i="6"/>
  <c r="G766" i="6"/>
  <c r="H766" i="6" s="1"/>
  <c r="N448" i="6"/>
  <c r="G448" i="6"/>
  <c r="H448" i="6" s="1"/>
  <c r="N90" i="6"/>
  <c r="G90" i="6"/>
  <c r="H90" i="6" s="1"/>
  <c r="N134" i="6"/>
  <c r="G134" i="6"/>
  <c r="H134" i="6" s="1"/>
  <c r="N140" i="6"/>
  <c r="G140" i="6"/>
  <c r="H140" i="6" s="1"/>
  <c r="N699" i="6"/>
  <c r="G699" i="6"/>
  <c r="H699" i="6" s="1"/>
  <c r="N320" i="6"/>
  <c r="G320" i="6"/>
  <c r="H320" i="6" s="1"/>
  <c r="N363" i="6"/>
  <c r="G363" i="6"/>
  <c r="H363" i="6" s="1"/>
  <c r="N37" i="6"/>
  <c r="G37" i="6"/>
  <c r="H37" i="6" s="1"/>
  <c r="N14" i="6"/>
  <c r="G14" i="6"/>
  <c r="H14" i="6" s="1"/>
  <c r="N295" i="6"/>
  <c r="G295" i="6"/>
  <c r="H295" i="6" s="1"/>
  <c r="N24" i="6"/>
  <c r="G24" i="6"/>
  <c r="H24" i="6" s="1"/>
  <c r="N853" i="6"/>
  <c r="G853" i="6"/>
  <c r="H853" i="6" s="1"/>
  <c r="N114" i="6"/>
  <c r="G114" i="6"/>
  <c r="H114" i="6" s="1"/>
  <c r="N691" i="6"/>
  <c r="G691" i="6"/>
  <c r="H691" i="6" s="1"/>
  <c r="N462" i="6"/>
  <c r="G462" i="6"/>
  <c r="H462" i="6" s="1"/>
  <c r="N843" i="6"/>
  <c r="G843" i="6"/>
  <c r="H843" i="6" s="1"/>
  <c r="N627" i="6"/>
  <c r="G627" i="6"/>
  <c r="H627" i="6" s="1"/>
  <c r="N55" i="6"/>
  <c r="G55" i="6"/>
  <c r="H55" i="6" s="1"/>
  <c r="N779" i="6"/>
  <c r="G779" i="6"/>
  <c r="H779" i="6" s="1"/>
  <c r="N648" i="6"/>
  <c r="G648" i="6"/>
  <c r="H648" i="6" s="1"/>
  <c r="N815" i="6"/>
  <c r="G815" i="6"/>
  <c r="H815" i="6" s="1"/>
  <c r="N23" i="6"/>
  <c r="G23" i="6"/>
  <c r="H23" i="6" s="1"/>
  <c r="N57" i="6"/>
  <c r="G57" i="6"/>
  <c r="H57" i="6" s="1"/>
  <c r="N72" i="6"/>
  <c r="G72" i="6"/>
  <c r="H72" i="6" s="1"/>
  <c r="N631" i="6"/>
  <c r="G631" i="6"/>
  <c r="H631" i="6" s="1"/>
  <c r="N823" i="6"/>
  <c r="G823" i="6"/>
  <c r="H823" i="6" s="1"/>
  <c r="N63" i="6"/>
  <c r="G63" i="6"/>
  <c r="H63" i="6" s="1"/>
  <c r="N829" i="6"/>
  <c r="G829" i="6"/>
  <c r="H829" i="6" s="1"/>
  <c r="N51" i="6"/>
  <c r="G51" i="6"/>
  <c r="H51" i="6" s="1"/>
  <c r="N44" i="6"/>
  <c r="G44" i="6"/>
  <c r="H44" i="6" s="1"/>
  <c r="N642" i="6"/>
  <c r="G642" i="6"/>
  <c r="H642" i="6" s="1"/>
  <c r="N67" i="6"/>
  <c r="G67" i="6"/>
  <c r="H67" i="6" s="1"/>
  <c r="N77" i="6"/>
  <c r="G77" i="6"/>
  <c r="H77" i="6" s="1"/>
  <c r="N48" i="6"/>
  <c r="G48" i="6"/>
  <c r="H48" i="6" s="1"/>
  <c r="N428" i="6"/>
  <c r="G428" i="6"/>
  <c r="H428" i="6" s="1"/>
  <c r="N75" i="6"/>
  <c r="G75" i="6"/>
  <c r="H75" i="6" s="1"/>
  <c r="N101" i="6"/>
  <c r="G101" i="6"/>
  <c r="H101" i="6" s="1"/>
  <c r="N267" i="6"/>
  <c r="G267" i="6"/>
  <c r="H267" i="6" s="1"/>
  <c r="N124" i="6"/>
  <c r="G124" i="6"/>
  <c r="H124" i="6" s="1"/>
  <c r="N163" i="6"/>
  <c r="G163" i="6"/>
  <c r="H163" i="6" s="1"/>
  <c r="N684" i="6"/>
  <c r="G684" i="6"/>
  <c r="H684" i="6" s="1"/>
  <c r="N438" i="6"/>
  <c r="G438" i="6"/>
  <c r="H438" i="6" s="1"/>
  <c r="N129" i="6"/>
  <c r="G129" i="6"/>
  <c r="H129" i="6" s="1"/>
  <c r="N607" i="6"/>
  <c r="G607" i="6"/>
  <c r="H607" i="6" s="1"/>
  <c r="N859" i="6"/>
  <c r="G859" i="6"/>
  <c r="H859" i="6" s="1"/>
  <c r="N149" i="6"/>
  <c r="G149" i="6"/>
  <c r="H149" i="6" s="1"/>
  <c r="N293" i="6"/>
  <c r="G293" i="6"/>
  <c r="H293" i="6" s="1"/>
  <c r="N226" i="6"/>
  <c r="G226" i="6"/>
  <c r="H226" i="6" s="1"/>
  <c r="N706" i="6"/>
  <c r="G706" i="6"/>
  <c r="H706" i="6" s="1"/>
  <c r="N66" i="6"/>
  <c r="G66" i="6"/>
  <c r="H66" i="6" s="1"/>
  <c r="N801" i="6"/>
  <c r="G801" i="6"/>
  <c r="H801" i="6" s="1"/>
  <c r="N95" i="6"/>
  <c r="G95" i="6"/>
  <c r="H95" i="6" s="1"/>
  <c r="N789" i="6"/>
  <c r="G789" i="6"/>
  <c r="H789" i="6" s="1"/>
  <c r="N26" i="6"/>
  <c r="G26" i="6"/>
  <c r="H26" i="6" s="1"/>
  <c r="N54" i="6"/>
  <c r="G54" i="6"/>
  <c r="H54" i="6" s="1"/>
  <c r="N100" i="6"/>
  <c r="G100" i="6"/>
  <c r="H100" i="6" s="1"/>
  <c r="N370" i="6"/>
  <c r="G370" i="6"/>
  <c r="H370" i="6" s="1"/>
  <c r="N851" i="6"/>
  <c r="G851" i="6"/>
  <c r="H851" i="6" s="1"/>
  <c r="N633" i="6"/>
  <c r="G633" i="6"/>
  <c r="H633" i="6" s="1"/>
  <c r="N721" i="6"/>
  <c r="G721" i="6"/>
  <c r="H721" i="6" s="1"/>
  <c r="N74" i="6"/>
  <c r="G74" i="6"/>
  <c r="H74" i="6" s="1"/>
  <c r="N43" i="6"/>
  <c r="G43" i="6"/>
  <c r="H43" i="6" s="1"/>
  <c r="N46" i="6"/>
  <c r="G46" i="6"/>
  <c r="H46" i="6" s="1"/>
  <c r="N322" i="6"/>
  <c r="G322" i="6"/>
  <c r="H322" i="6" s="1"/>
  <c r="N221" i="6"/>
  <c r="G221" i="6"/>
  <c r="H221" i="6" s="1"/>
  <c r="N643" i="6"/>
  <c r="G643" i="6"/>
  <c r="H643" i="6" s="1"/>
  <c r="N714" i="6"/>
  <c r="G714" i="6"/>
  <c r="H714" i="6" s="1"/>
  <c r="N79" i="6"/>
  <c r="G79" i="6"/>
  <c r="H79" i="6" s="1"/>
  <c r="N9" i="6"/>
  <c r="G9" i="6"/>
  <c r="H9" i="6" s="1"/>
  <c r="N804" i="6"/>
  <c r="G804" i="6"/>
  <c r="H804" i="6" s="1"/>
  <c r="N702" i="6"/>
  <c r="G702" i="6"/>
  <c r="H702" i="6" s="1"/>
  <c r="N720" i="6"/>
  <c r="G720" i="6"/>
  <c r="H720" i="6" s="1"/>
  <c r="N82" i="6"/>
  <c r="G82" i="6"/>
  <c r="H82" i="6" s="1"/>
  <c r="N61" i="6"/>
  <c r="G61" i="6"/>
  <c r="H61" i="6" s="1"/>
  <c r="N89" i="6"/>
  <c r="G89" i="6"/>
  <c r="H89" i="6" s="1"/>
  <c r="N16" i="6"/>
  <c r="G16" i="6"/>
  <c r="H16" i="6" s="1"/>
  <c r="N123" i="6"/>
  <c r="G123" i="6"/>
  <c r="H123" i="6" s="1"/>
  <c r="N155" i="6"/>
  <c r="G155" i="6"/>
  <c r="H155" i="6" s="1"/>
  <c r="N122" i="6"/>
  <c r="G122" i="6"/>
  <c r="H122" i="6" s="1"/>
  <c r="N136" i="6"/>
  <c r="G136" i="6"/>
  <c r="H136" i="6" s="1"/>
  <c r="N65" i="6"/>
  <c r="G65" i="6"/>
  <c r="H65" i="6" s="1"/>
  <c r="N712" i="6"/>
  <c r="G712" i="6"/>
  <c r="H712" i="6" s="1"/>
  <c r="N793" i="6"/>
  <c r="G793" i="6"/>
  <c r="H793" i="6" s="1"/>
  <c r="N866" i="6"/>
  <c r="G866" i="6"/>
  <c r="H866" i="6" s="1"/>
  <c r="N47" i="6"/>
  <c r="G47" i="6"/>
  <c r="H47" i="6" s="1"/>
  <c r="N674" i="6"/>
  <c r="G674" i="6"/>
  <c r="H674" i="6" s="1"/>
  <c r="N570" i="6"/>
  <c r="G570" i="6"/>
  <c r="H570" i="6" s="1"/>
  <c r="N775" i="6"/>
  <c r="G775" i="6"/>
  <c r="H775" i="6" s="1"/>
  <c r="N623" i="6"/>
  <c r="G623" i="6"/>
  <c r="H623" i="6" s="1"/>
  <c r="N828" i="6"/>
  <c r="G828" i="6"/>
  <c r="H828" i="6" s="1"/>
  <c r="N791" i="6"/>
  <c r="G791" i="6"/>
  <c r="H791" i="6" s="1"/>
  <c r="N676" i="6"/>
  <c r="G676" i="6"/>
  <c r="H676" i="6" s="1"/>
  <c r="N640" i="6"/>
  <c r="G640" i="6"/>
  <c r="H640" i="6" s="1"/>
  <c r="N193" i="6"/>
  <c r="G193" i="6"/>
  <c r="H193" i="6" s="1"/>
  <c r="N847" i="6"/>
  <c r="G847" i="6"/>
  <c r="H847" i="6" s="1"/>
  <c r="N11" i="6"/>
  <c r="G11" i="6"/>
  <c r="H11" i="6" s="1"/>
  <c r="N109" i="6"/>
  <c r="G109" i="6"/>
  <c r="H109" i="6" s="1"/>
  <c r="N566" i="6"/>
  <c r="G566" i="6"/>
  <c r="H566" i="6" s="1"/>
  <c r="N764" i="6"/>
  <c r="G764" i="6"/>
  <c r="H764" i="6" s="1"/>
  <c r="N743" i="6"/>
  <c r="G743" i="6"/>
  <c r="H743" i="6" s="1"/>
  <c r="N782" i="6"/>
  <c r="G782" i="6"/>
  <c r="H782" i="6" s="1"/>
  <c r="N645" i="6"/>
  <c r="G645" i="6"/>
  <c r="H645" i="6" s="1"/>
  <c r="N173" i="6"/>
  <c r="G173" i="6"/>
  <c r="H173" i="6" s="1"/>
  <c r="N311" i="6"/>
  <c r="G311" i="6"/>
  <c r="H311" i="6" s="1"/>
  <c r="N650" i="6"/>
  <c r="G650" i="6"/>
  <c r="H650" i="6" s="1"/>
  <c r="N31" i="6"/>
  <c r="G31" i="6"/>
  <c r="H31" i="6" s="1"/>
  <c r="N49" i="6"/>
  <c r="G49" i="6"/>
  <c r="H49" i="6" s="1"/>
  <c r="N649" i="6"/>
  <c r="G649" i="6"/>
  <c r="H649" i="6" s="1"/>
  <c r="N120" i="6"/>
  <c r="G120" i="6"/>
  <c r="H120" i="6" s="1"/>
  <c r="N750" i="6"/>
  <c r="G750" i="6"/>
  <c r="H750" i="6" s="1"/>
  <c r="N338" i="6"/>
  <c r="G338" i="6"/>
  <c r="H338" i="6" s="1"/>
  <c r="N157" i="6"/>
  <c r="G157" i="6"/>
  <c r="H157" i="6" s="1"/>
  <c r="N854" i="6"/>
  <c r="G854" i="6"/>
  <c r="H854" i="6" s="1"/>
  <c r="N146" i="6"/>
  <c r="G146" i="6"/>
  <c r="H146" i="6" s="1"/>
  <c r="N200" i="6"/>
  <c r="G200" i="6"/>
  <c r="H200" i="6" s="1"/>
  <c r="N688" i="6"/>
  <c r="G688" i="6"/>
  <c r="H688" i="6" s="1"/>
  <c r="N863" i="6"/>
  <c r="G863" i="6"/>
  <c r="H863" i="6" s="1"/>
  <c r="N726" i="6"/>
  <c r="G726" i="6"/>
  <c r="H726" i="6" s="1"/>
  <c r="N795" i="6"/>
  <c r="G795" i="6"/>
  <c r="H795" i="6" s="1"/>
  <c r="N228" i="6"/>
  <c r="G228" i="6"/>
  <c r="H228" i="6" s="1"/>
  <c r="N414" i="6"/>
  <c r="G414" i="6"/>
  <c r="H414" i="6" s="1"/>
  <c r="N168" i="6"/>
  <c r="G168" i="6"/>
  <c r="H168" i="6" s="1"/>
  <c r="N266" i="6"/>
  <c r="G266" i="6"/>
  <c r="H266" i="6" s="1"/>
  <c r="N102" i="6"/>
  <c r="G102" i="6"/>
  <c r="H102" i="6" s="1"/>
  <c r="N84" i="6"/>
  <c r="G84" i="6"/>
  <c r="H84" i="6" s="1"/>
  <c r="N787" i="6"/>
  <c r="G787" i="6"/>
  <c r="H787" i="6" s="1"/>
  <c r="N763" i="6"/>
  <c r="G763" i="6"/>
  <c r="H763" i="6" s="1"/>
  <c r="N382" i="6"/>
  <c r="G382" i="6"/>
  <c r="H382" i="6" s="1"/>
  <c r="N241" i="6"/>
  <c r="G241" i="6"/>
  <c r="H241" i="6" s="1"/>
  <c r="N737" i="6"/>
  <c r="G737" i="6"/>
  <c r="H737" i="6" s="1"/>
  <c r="N772" i="6"/>
  <c r="G772" i="6"/>
  <c r="H772" i="6" s="1"/>
  <c r="N827" i="6"/>
  <c r="G827" i="6"/>
  <c r="H827" i="6" s="1"/>
  <c r="N145" i="6"/>
  <c r="G145" i="6"/>
  <c r="H145" i="6" s="1"/>
  <c r="N192" i="6"/>
  <c r="G192" i="6"/>
  <c r="H192" i="6" s="1"/>
  <c r="N746" i="6"/>
  <c r="G746" i="6"/>
  <c r="H746" i="6" s="1"/>
  <c r="N626" i="6"/>
  <c r="G626" i="6"/>
  <c r="H626" i="6" s="1"/>
  <c r="N809" i="6"/>
  <c r="G809" i="6"/>
  <c r="H809" i="6" s="1"/>
  <c r="N64" i="6"/>
  <c r="G64" i="6"/>
  <c r="H64" i="6" s="1"/>
  <c r="N825" i="6"/>
  <c r="G825" i="6"/>
  <c r="H825" i="6" s="1"/>
  <c r="N210" i="6"/>
  <c r="G210" i="6"/>
  <c r="H210" i="6" s="1"/>
  <c r="N309" i="6"/>
  <c r="G309" i="6"/>
  <c r="H309" i="6" s="1"/>
  <c r="N422" i="6"/>
  <c r="G422" i="6"/>
  <c r="H422" i="6" s="1"/>
  <c r="N479" i="6"/>
  <c r="G479" i="6"/>
  <c r="H479" i="6" s="1"/>
  <c r="N430" i="6"/>
  <c r="G430" i="6"/>
  <c r="H430" i="6" s="1"/>
  <c r="N32" i="6"/>
  <c r="G32" i="6"/>
  <c r="H32" i="6" s="1"/>
  <c r="N760" i="6"/>
  <c r="G760" i="6"/>
  <c r="H760" i="6" s="1"/>
  <c r="N83" i="6"/>
  <c r="G83" i="6"/>
  <c r="H83" i="6" s="1"/>
  <c r="N76" i="6"/>
  <c r="G76" i="6"/>
  <c r="H76" i="6" s="1"/>
  <c r="N240" i="6"/>
  <c r="G240" i="6"/>
  <c r="H240" i="6" s="1"/>
  <c r="N187" i="6"/>
  <c r="G187" i="6"/>
  <c r="H187" i="6" s="1"/>
  <c r="N569" i="6"/>
  <c r="G569" i="6"/>
  <c r="H569" i="6" s="1"/>
  <c r="N749" i="6"/>
  <c r="G749" i="6"/>
  <c r="H749" i="6" s="1"/>
  <c r="N621" i="6"/>
  <c r="G621" i="6"/>
  <c r="H621" i="6" s="1"/>
  <c r="N385" i="6"/>
  <c r="G385" i="6"/>
  <c r="H385" i="6" s="1"/>
  <c r="N739" i="6"/>
  <c r="G739" i="6"/>
  <c r="H739" i="6" s="1"/>
  <c r="N675" i="6"/>
  <c r="G675" i="6"/>
  <c r="H675" i="6" s="1"/>
  <c r="N630" i="6"/>
  <c r="G630" i="6"/>
  <c r="H630" i="6" s="1"/>
  <c r="N417" i="6"/>
  <c r="G417" i="6"/>
  <c r="H417" i="6" s="1"/>
  <c r="N778" i="6"/>
  <c r="G778" i="6"/>
  <c r="H778" i="6" s="1"/>
  <c r="N154" i="6"/>
  <c r="G154" i="6"/>
  <c r="H154" i="6" s="1"/>
  <c r="N45" i="6"/>
  <c r="G45" i="6"/>
  <c r="H45" i="6" s="1"/>
  <c r="N86" i="6"/>
  <c r="G86" i="6"/>
  <c r="H86" i="6" s="1"/>
  <c r="N265" i="6"/>
  <c r="G265" i="6"/>
  <c r="H265" i="6" s="1"/>
  <c r="N183" i="6"/>
  <c r="G183" i="6"/>
  <c r="H183" i="6" s="1"/>
  <c r="N285" i="6"/>
  <c r="G285" i="6"/>
  <c r="H285" i="6" s="1"/>
  <c r="N181" i="6"/>
  <c r="G181" i="6"/>
  <c r="H181" i="6" s="1"/>
  <c r="N319" i="6"/>
  <c r="G319" i="6"/>
  <c r="H319" i="6" s="1"/>
  <c r="N812" i="6"/>
  <c r="G812" i="6"/>
  <c r="H812" i="6" s="1"/>
  <c r="N869" i="6"/>
  <c r="G869" i="6"/>
  <c r="H869" i="6" s="1"/>
  <c r="N798" i="6"/>
  <c r="G798" i="6"/>
  <c r="H798" i="6" s="1"/>
  <c r="N207" i="6"/>
  <c r="G207" i="6"/>
  <c r="H207" i="6" s="1"/>
  <c r="N156" i="6"/>
  <c r="G156" i="6"/>
  <c r="H156" i="6" s="1"/>
  <c r="N199" i="6"/>
  <c r="G199" i="6"/>
  <c r="H199" i="6" s="1"/>
  <c r="N171" i="6"/>
  <c r="G171" i="6"/>
  <c r="H171" i="6" s="1"/>
  <c r="N576" i="6"/>
  <c r="G576" i="6"/>
  <c r="H576" i="6" s="1"/>
  <c r="N70" i="6"/>
  <c r="H70" i="6"/>
  <c r="N203" i="6"/>
  <c r="G203" i="6"/>
  <c r="H203" i="6" s="1"/>
  <c r="N209" i="6"/>
  <c r="G209" i="6"/>
  <c r="H209" i="6" s="1"/>
  <c r="N410" i="6"/>
  <c r="G410" i="6"/>
  <c r="H410" i="6" s="1"/>
  <c r="N734" i="6"/>
  <c r="G734" i="6"/>
  <c r="H734" i="6" s="1"/>
  <c r="N629" i="6"/>
  <c r="G629" i="6"/>
  <c r="H629" i="6" s="1"/>
  <c r="N821" i="6"/>
  <c r="G821" i="6"/>
  <c r="H821" i="6" s="1"/>
  <c r="N402" i="6"/>
  <c r="G402" i="6"/>
  <c r="H402" i="6" s="1"/>
  <c r="N20" i="6"/>
  <c r="G20" i="6"/>
  <c r="H20" i="6" s="1"/>
  <c r="N30" i="6"/>
  <c r="G30" i="6"/>
  <c r="H30" i="6" s="1"/>
  <c r="N53" i="6"/>
  <c r="G53" i="6"/>
  <c r="H53" i="6" s="1"/>
  <c r="N172" i="6"/>
  <c r="G172" i="6"/>
  <c r="H172" i="6" s="1"/>
  <c r="N235" i="6"/>
  <c r="G235" i="6"/>
  <c r="H235" i="6" s="1"/>
  <c r="N460" i="6"/>
  <c r="G460" i="6"/>
  <c r="H460" i="6" s="1"/>
  <c r="N593" i="6"/>
  <c r="G593" i="6"/>
  <c r="H593" i="6" s="1"/>
  <c r="N305" i="6"/>
  <c r="G305" i="6"/>
  <c r="H305" i="6" s="1"/>
  <c r="N718" i="6"/>
  <c r="G718" i="6"/>
  <c r="H718" i="6" s="1"/>
  <c r="N484" i="6"/>
  <c r="G484" i="6"/>
  <c r="H484" i="6" s="1"/>
  <c r="N660" i="6"/>
  <c r="G660" i="6"/>
  <c r="H660" i="6" s="1"/>
  <c r="N13" i="6"/>
  <c r="G13" i="6"/>
  <c r="H13" i="6" s="1"/>
  <c r="N696" i="6"/>
  <c r="G696" i="6"/>
  <c r="H696" i="6" s="1"/>
  <c r="N745" i="6"/>
  <c r="G745" i="6"/>
  <c r="H745" i="6" s="1"/>
  <c r="N578" i="6"/>
  <c r="G578" i="6"/>
  <c r="H578" i="6" s="1"/>
  <c r="N673" i="6"/>
  <c r="G673" i="6"/>
  <c r="H673" i="6" s="1"/>
  <c r="N653" i="6"/>
  <c r="G653" i="6"/>
  <c r="H653" i="6" s="1"/>
  <c r="N748" i="6"/>
  <c r="G748" i="6"/>
  <c r="H748" i="6" s="1"/>
  <c r="N189" i="6"/>
  <c r="G189" i="6"/>
  <c r="H189" i="6" s="1"/>
  <c r="N128" i="6"/>
  <c r="G128" i="6"/>
  <c r="H128" i="6" s="1"/>
  <c r="N354" i="6"/>
  <c r="G354" i="6"/>
  <c r="H354" i="6" s="1"/>
  <c r="N771" i="6"/>
  <c r="G771" i="6"/>
  <c r="H771" i="6" s="1"/>
  <c r="N871" i="6"/>
  <c r="G871" i="6"/>
  <c r="H871" i="6" s="1"/>
  <c r="N701" i="6"/>
  <c r="G701" i="6"/>
  <c r="H701" i="6" s="1"/>
  <c r="N524" i="6"/>
  <c r="G524" i="6"/>
  <c r="H524" i="6" s="1"/>
  <c r="N636" i="6"/>
  <c r="G636" i="6"/>
  <c r="H636" i="6" s="1"/>
  <c r="N198" i="6"/>
  <c r="G198" i="6"/>
  <c r="H198" i="6" s="1"/>
  <c r="N231" i="6"/>
  <c r="G231" i="6"/>
  <c r="H231" i="6" s="1"/>
  <c r="N40" i="6"/>
  <c r="G40" i="6"/>
  <c r="H40" i="6" s="1"/>
  <c r="N301" i="6"/>
  <c r="G301" i="6"/>
  <c r="H301" i="6" s="1"/>
  <c r="N756" i="6"/>
  <c r="G756" i="6"/>
  <c r="H756" i="6" s="1"/>
  <c r="N670" i="6"/>
  <c r="G670" i="6"/>
  <c r="H670" i="6" s="1"/>
  <c r="N774" i="6"/>
  <c r="G774" i="6"/>
  <c r="H774" i="6" s="1"/>
  <c r="N512" i="6"/>
  <c r="G512" i="6"/>
  <c r="H512" i="6" s="1"/>
  <c r="N147" i="6"/>
  <c r="G147" i="6"/>
  <c r="H147" i="6" s="1"/>
  <c r="N133" i="6"/>
  <c r="G133" i="6"/>
  <c r="H133" i="6" s="1"/>
  <c r="N229" i="6"/>
  <c r="G229" i="6"/>
  <c r="H229" i="6" s="1"/>
  <c r="N561" i="6"/>
  <c r="G561" i="6"/>
  <c r="H561" i="6" s="1"/>
  <c r="N125" i="6"/>
  <c r="G125" i="6"/>
  <c r="H125" i="6" s="1"/>
  <c r="N162" i="6"/>
  <c r="G162" i="6"/>
  <c r="H162" i="6" s="1"/>
  <c r="N110" i="6"/>
  <c r="G110" i="6"/>
  <c r="H110" i="6" s="1"/>
  <c r="N25" i="6"/>
  <c r="G25" i="6"/>
  <c r="H25" i="6" s="1"/>
  <c r="N160" i="6"/>
  <c r="G160" i="6"/>
  <c r="H160" i="6" s="1"/>
  <c r="N707" i="6"/>
  <c r="G707" i="6"/>
  <c r="H707" i="6" s="1"/>
  <c r="N657" i="6"/>
  <c r="G657" i="6"/>
  <c r="H657" i="6" s="1"/>
  <c r="N170" i="6"/>
  <c r="G170" i="6"/>
  <c r="H170" i="6" s="1"/>
  <c r="N139" i="6"/>
  <c r="G139" i="6"/>
  <c r="H139" i="6" s="1"/>
  <c r="N184" i="6"/>
  <c r="G184" i="6"/>
  <c r="H184" i="6" s="1"/>
  <c r="N335" i="6"/>
  <c r="G335" i="6"/>
  <c r="H335" i="6" s="1"/>
  <c r="N33" i="6"/>
  <c r="G33" i="6"/>
  <c r="H33" i="6" s="1"/>
  <c r="N735" i="6"/>
  <c r="G735" i="6"/>
  <c r="H735" i="6" s="1"/>
  <c r="N248" i="6"/>
  <c r="G248" i="6"/>
  <c r="H248" i="6" s="1"/>
  <c r="N483" i="6"/>
  <c r="G483" i="6"/>
  <c r="H483" i="6" s="1"/>
  <c r="N715" i="6"/>
  <c r="G715" i="6"/>
  <c r="H715" i="6" s="1"/>
  <c r="N560" i="6"/>
  <c r="G560" i="6"/>
  <c r="H560" i="6" s="1"/>
  <c r="N357" i="6"/>
  <c r="G357" i="6"/>
  <c r="H357" i="6" s="1"/>
  <c r="N473" i="6"/>
  <c r="G473" i="6"/>
  <c r="H473" i="6" s="1"/>
  <c r="N356" i="6"/>
  <c r="G356" i="6"/>
  <c r="H356" i="6" s="1"/>
  <c r="N783" i="6"/>
  <c r="G783" i="6"/>
  <c r="H783" i="6" s="1"/>
  <c r="N269" i="6"/>
  <c r="G269" i="6"/>
  <c r="H269" i="6" s="1"/>
  <c r="N159" i="6"/>
  <c r="G159" i="6"/>
  <c r="H159" i="6" s="1"/>
  <c r="N647" i="6"/>
  <c r="G647" i="6"/>
  <c r="H647" i="6" s="1"/>
  <c r="N28" i="6"/>
  <c r="G28" i="6"/>
  <c r="H28" i="6" s="1"/>
  <c r="N137" i="6"/>
  <c r="G137" i="6"/>
  <c r="H137" i="6" s="1"/>
  <c r="N780" i="6"/>
  <c r="G780" i="6"/>
  <c r="H780" i="6" s="1"/>
  <c r="N131" i="6"/>
  <c r="G131" i="6"/>
  <c r="H131" i="6" s="1"/>
  <c r="N600" i="6"/>
  <c r="G600" i="6"/>
  <c r="H600" i="6" s="1"/>
  <c r="N835" i="6"/>
  <c r="G835" i="6"/>
  <c r="H835" i="6" s="1"/>
  <c r="N91" i="6"/>
  <c r="G91" i="6"/>
  <c r="H91" i="6" s="1"/>
  <c r="N472" i="6"/>
  <c r="G472" i="6"/>
  <c r="H472" i="6" s="1"/>
  <c r="N290" i="6"/>
  <c r="G290" i="6"/>
  <c r="H290" i="6" s="1"/>
  <c r="N523" i="6"/>
  <c r="G523" i="6"/>
  <c r="H523" i="6" s="1"/>
  <c r="N499" i="6"/>
  <c r="G499" i="6"/>
  <c r="H499" i="6" s="1"/>
  <c r="N559" i="6"/>
  <c r="G559" i="6"/>
  <c r="H559" i="6" s="1"/>
  <c r="N565" i="6"/>
  <c r="G565" i="6"/>
  <c r="H565" i="6" s="1"/>
  <c r="N792" i="6"/>
  <c r="G792" i="6"/>
  <c r="H792" i="6" s="1"/>
  <c r="N527" i="6"/>
  <c r="G527" i="6"/>
  <c r="H527" i="6" s="1"/>
  <c r="N333" i="6"/>
  <c r="G333" i="6"/>
  <c r="H333" i="6" s="1"/>
  <c r="N178" i="6"/>
  <c r="G178" i="6"/>
  <c r="H178" i="6" s="1"/>
  <c r="N316" i="6"/>
  <c r="G316" i="6"/>
  <c r="H316" i="6" s="1"/>
  <c r="N180" i="6"/>
  <c r="G180" i="6"/>
  <c r="H180" i="6" s="1"/>
  <c r="N614" i="6"/>
  <c r="G614" i="6"/>
  <c r="H614" i="6" s="1"/>
  <c r="N679" i="6"/>
  <c r="G679" i="6"/>
  <c r="H679" i="6" s="1"/>
  <c r="N445" i="6"/>
  <c r="G445" i="6"/>
  <c r="H445" i="6" s="1"/>
  <c r="N148" i="6"/>
  <c r="G148" i="6"/>
  <c r="H148" i="6" s="1"/>
  <c r="N329" i="6"/>
  <c r="G329" i="6"/>
  <c r="H329" i="6" s="1"/>
  <c r="N308" i="6"/>
  <c r="G308" i="6"/>
  <c r="H308" i="6" s="1"/>
  <c r="N444" i="6"/>
  <c r="G444" i="6"/>
  <c r="H444" i="6" s="1"/>
  <c r="N813" i="6"/>
  <c r="G813" i="6"/>
  <c r="H813" i="6" s="1"/>
  <c r="N298" i="6"/>
  <c r="G298" i="6"/>
  <c r="H298" i="6" s="1"/>
  <c r="N50" i="6"/>
  <c r="G50" i="6"/>
  <c r="H50" i="6" s="1"/>
  <c r="N355" i="6"/>
  <c r="G355" i="6"/>
  <c r="H355" i="6" s="1"/>
  <c r="N179" i="6"/>
  <c r="G179" i="6"/>
  <c r="H179" i="6" s="1"/>
  <c r="N490" i="6"/>
  <c r="G490" i="6"/>
  <c r="H490" i="6" s="1"/>
  <c r="N340" i="6"/>
  <c r="G340" i="6"/>
  <c r="H340" i="6" s="1"/>
  <c r="N274" i="6"/>
  <c r="G274" i="6"/>
  <c r="H274" i="6" s="1"/>
  <c r="N367" i="6"/>
  <c r="G367" i="6"/>
  <c r="H367" i="6" s="1"/>
  <c r="N531" i="6"/>
  <c r="G531" i="6"/>
  <c r="H531" i="6" s="1"/>
  <c r="N407" i="6"/>
  <c r="G407" i="6"/>
  <c r="H407" i="6" s="1"/>
  <c r="N613" i="6"/>
  <c r="G613" i="6"/>
  <c r="H613" i="6" s="1"/>
  <c r="N646" i="6"/>
  <c r="G646" i="6"/>
  <c r="H646" i="6" s="1"/>
  <c r="N822" i="6"/>
  <c r="G822" i="6"/>
  <c r="H822" i="6" s="1"/>
  <c r="N442" i="6"/>
  <c r="G442" i="6"/>
  <c r="H442" i="6" s="1"/>
  <c r="N568" i="6"/>
  <c r="G568" i="6"/>
  <c r="H568" i="6" s="1"/>
  <c r="N471" i="6"/>
  <c r="G471" i="6"/>
  <c r="H471" i="6" s="1"/>
  <c r="N777" i="6"/>
  <c r="G777" i="6"/>
  <c r="H777" i="6" s="1"/>
  <c r="N447" i="6"/>
  <c r="G447" i="6"/>
  <c r="H447" i="6" s="1"/>
  <c r="N277" i="6"/>
  <c r="G277" i="6"/>
  <c r="H277" i="6" s="1"/>
  <c r="N408" i="6"/>
  <c r="G408" i="6"/>
  <c r="H408" i="6" s="1"/>
  <c r="N421" i="6"/>
  <c r="G421" i="6"/>
  <c r="H421" i="6" s="1"/>
  <c r="N288" i="6"/>
  <c r="G288" i="6"/>
  <c r="H288" i="6" s="1"/>
  <c r="N106" i="6"/>
  <c r="G106" i="6"/>
  <c r="H106" i="6" s="1"/>
  <c r="N692" i="6"/>
  <c r="G692" i="6"/>
  <c r="H692" i="6" s="1"/>
  <c r="N247" i="6"/>
  <c r="G247" i="6"/>
  <c r="H247" i="6" s="1"/>
  <c r="N659" i="6"/>
  <c r="G659" i="6"/>
  <c r="H659" i="6" s="1"/>
  <c r="N717" i="6"/>
  <c r="G717" i="6"/>
  <c r="H717" i="6" s="1"/>
  <c r="N538" i="6"/>
  <c r="G538" i="6"/>
  <c r="H538" i="6" s="1"/>
  <c r="N608" i="6"/>
  <c r="G608" i="6"/>
  <c r="H608" i="6" s="1"/>
  <c r="N373" i="6"/>
  <c r="G373" i="6"/>
  <c r="H373" i="6" s="1"/>
  <c r="N698" i="6"/>
  <c r="G698" i="6"/>
  <c r="H698" i="6" s="1"/>
  <c r="N286" i="6"/>
  <c r="G286" i="6"/>
  <c r="H286" i="6" s="1"/>
  <c r="N78" i="6"/>
  <c r="G78" i="6"/>
  <c r="H78" i="6" s="1"/>
  <c r="N553" i="6"/>
  <c r="G553" i="6"/>
  <c r="H553" i="6" s="1"/>
  <c r="N781" i="6"/>
  <c r="G781" i="6"/>
  <c r="H781" i="6" s="1"/>
  <c r="N8" i="6"/>
  <c r="G8" i="6"/>
  <c r="H8" i="6" s="1"/>
  <c r="N431" i="6"/>
  <c r="G431" i="6"/>
  <c r="H431" i="6" s="1"/>
  <c r="N398" i="6"/>
  <c r="G398" i="6"/>
  <c r="H398" i="6" s="1"/>
  <c r="N434" i="6"/>
  <c r="G434" i="6"/>
  <c r="H434" i="6" s="1"/>
  <c r="N166" i="6"/>
  <c r="G166" i="6"/>
  <c r="H166" i="6" s="1"/>
  <c r="N453" i="6"/>
  <c r="G453" i="6"/>
  <c r="H453" i="6" s="1"/>
  <c r="N819" i="6"/>
  <c r="G819" i="6"/>
  <c r="H819" i="6" s="1"/>
  <c r="N249" i="6"/>
  <c r="G249" i="6"/>
  <c r="H249" i="6" s="1"/>
  <c r="N861" i="6"/>
  <c r="G861" i="6"/>
  <c r="H861" i="6" s="1"/>
  <c r="N628" i="6"/>
  <c r="G628" i="6"/>
  <c r="H628" i="6" s="1"/>
  <c r="N362" i="6"/>
  <c r="G362" i="6"/>
  <c r="H362" i="6" s="1"/>
  <c r="N818" i="6"/>
  <c r="G818" i="6"/>
  <c r="H818" i="6" s="1"/>
  <c r="N767" i="6"/>
  <c r="G767" i="6"/>
  <c r="H767" i="6" s="1"/>
  <c r="N138" i="6"/>
  <c r="G138" i="6"/>
  <c r="H138" i="6" s="1"/>
  <c r="N310" i="6"/>
  <c r="G310" i="6"/>
  <c r="H310" i="6" s="1"/>
  <c r="N204" i="6"/>
  <c r="G204" i="6"/>
  <c r="H204" i="6" s="1"/>
  <c r="N740" i="6"/>
  <c r="G740" i="6"/>
  <c r="H740" i="6" s="1"/>
  <c r="N703" i="6"/>
  <c r="G703" i="6"/>
  <c r="H703" i="6" s="1"/>
  <c r="N344" i="6"/>
  <c r="G344" i="6"/>
  <c r="H344" i="6" s="1"/>
  <c r="N536" i="6"/>
  <c r="G536" i="6"/>
  <c r="H536" i="6" s="1"/>
  <c r="N577" i="6"/>
  <c r="G577" i="6"/>
  <c r="H577" i="6" s="1"/>
  <c r="N599" i="6"/>
  <c r="G599" i="6"/>
  <c r="H599" i="6" s="1"/>
  <c r="N794" i="6"/>
  <c r="G794" i="6"/>
  <c r="H794" i="6" s="1"/>
  <c r="N361" i="6"/>
  <c r="G361" i="6"/>
  <c r="H361" i="6" s="1"/>
  <c r="N282" i="6"/>
  <c r="G282" i="6"/>
  <c r="H282" i="6" s="1"/>
  <c r="N826" i="6"/>
  <c r="G826" i="6"/>
  <c r="H826" i="6" s="1"/>
  <c r="N279" i="6"/>
  <c r="G279" i="6"/>
  <c r="H279" i="6" s="1"/>
  <c r="N667" i="6"/>
  <c r="G667" i="6"/>
  <c r="H667" i="6" s="1"/>
  <c r="N850" i="6"/>
  <c r="G850" i="6"/>
  <c r="H850" i="6" s="1"/>
  <c r="N807" i="6"/>
  <c r="G807" i="6"/>
  <c r="H807" i="6" s="1"/>
  <c r="N253" i="6"/>
  <c r="G253" i="6"/>
  <c r="H253" i="6" s="1"/>
  <c r="N579" i="6"/>
  <c r="G579" i="6"/>
  <c r="H579" i="6" s="1"/>
  <c r="N396" i="6"/>
  <c r="G396" i="6"/>
  <c r="H396" i="6" s="1"/>
  <c r="N841" i="6"/>
  <c r="G841" i="6"/>
  <c r="H841" i="6" s="1"/>
  <c r="N806" i="6"/>
  <c r="G806" i="6"/>
  <c r="H806" i="6" s="1"/>
  <c r="N325" i="6"/>
  <c r="G325" i="6"/>
  <c r="H325" i="6" s="1"/>
  <c r="N415" i="6"/>
  <c r="G415" i="6"/>
  <c r="H415" i="6" s="1"/>
  <c r="N343" i="6"/>
  <c r="G343" i="6"/>
  <c r="H343" i="6" s="1"/>
  <c r="N588" i="6"/>
  <c r="G588" i="6"/>
  <c r="H588" i="6" s="1"/>
  <c r="N852" i="6"/>
  <c r="G852" i="6"/>
  <c r="H852" i="6" s="1"/>
  <c r="N165" i="6"/>
  <c r="G165" i="6"/>
  <c r="H165" i="6" s="1"/>
  <c r="N161" i="6"/>
  <c r="G161" i="6"/>
  <c r="H161" i="6" s="1"/>
  <c r="N558" i="6"/>
  <c r="G558" i="6"/>
  <c r="H558" i="6" s="1"/>
  <c r="N315" i="6"/>
  <c r="G315" i="6"/>
  <c r="H315" i="6" s="1"/>
  <c r="N868" i="6"/>
  <c r="G868" i="6"/>
  <c r="H868" i="6" s="1"/>
  <c r="N300" i="6"/>
  <c r="G300" i="6"/>
  <c r="H300" i="6" s="1"/>
  <c r="N299" i="6"/>
  <c r="G299" i="6"/>
  <c r="H299" i="6" s="1"/>
  <c r="N572" i="6"/>
  <c r="G572" i="6"/>
  <c r="H572" i="6" s="1"/>
  <c r="N511" i="6"/>
  <c r="G511" i="6"/>
  <c r="H511" i="6" s="1"/>
  <c r="N395" i="6"/>
  <c r="G395" i="6"/>
  <c r="H395" i="6" s="1"/>
  <c r="N375" i="6"/>
  <c r="G375" i="6"/>
  <c r="H375" i="6" s="1"/>
  <c r="N112" i="6"/>
  <c r="G112" i="6"/>
  <c r="H112" i="6" s="1"/>
  <c r="N455" i="6"/>
  <c r="G455" i="6"/>
  <c r="H455" i="6" s="1"/>
  <c r="N681" i="6"/>
  <c r="G681" i="6"/>
  <c r="H681" i="6" s="1"/>
  <c r="N592" i="6"/>
  <c r="G592" i="6"/>
  <c r="H592" i="6" s="1"/>
  <c r="N814" i="6"/>
  <c r="G814" i="6"/>
  <c r="H814" i="6" s="1"/>
  <c r="N662" i="6"/>
  <c r="G662" i="6"/>
  <c r="H662" i="6" s="1"/>
  <c r="N773" i="6"/>
  <c r="G773" i="6"/>
  <c r="H773" i="6" s="1"/>
  <c r="N394" i="6"/>
  <c r="G394" i="6"/>
  <c r="H394" i="6" s="1"/>
  <c r="N485" i="6"/>
  <c r="G485" i="6"/>
  <c r="H485" i="6" s="1"/>
  <c r="N575" i="6"/>
  <c r="G575" i="6"/>
  <c r="H575" i="6" s="1"/>
  <c r="N508" i="6"/>
  <c r="G508" i="6"/>
  <c r="H508" i="6" s="1"/>
  <c r="N379" i="6"/>
  <c r="G379" i="6"/>
  <c r="H379" i="6" s="1"/>
  <c r="N759" i="6"/>
  <c r="G759" i="6"/>
  <c r="H759" i="6" s="1"/>
  <c r="N624" i="6"/>
  <c r="G624" i="6"/>
  <c r="H624" i="6" s="1"/>
  <c r="N639" i="6"/>
  <c r="G639" i="6"/>
  <c r="H639" i="6" s="1"/>
  <c r="N346" i="6"/>
  <c r="G346" i="6"/>
  <c r="H346" i="6" s="1"/>
  <c r="N671" i="6"/>
  <c r="G671" i="6"/>
  <c r="H671" i="6" s="1"/>
  <c r="N802" i="6"/>
  <c r="G802" i="6"/>
  <c r="H802" i="6" s="1"/>
  <c r="N372" i="6"/>
  <c r="G372" i="6"/>
  <c r="H372" i="6" s="1"/>
  <c r="N393" i="6"/>
  <c r="G393" i="6"/>
  <c r="H393" i="6" s="1"/>
  <c r="N710" i="6"/>
  <c r="G710" i="6"/>
  <c r="H710" i="6" s="1"/>
  <c r="N271" i="6"/>
  <c r="G271" i="6"/>
  <c r="H271" i="6" s="1"/>
  <c r="N250" i="6"/>
  <c r="G250" i="6"/>
  <c r="H250" i="6" s="1"/>
  <c r="N313" i="6"/>
  <c r="G313" i="6"/>
  <c r="H313" i="6" s="1"/>
  <c r="N191" i="6"/>
  <c r="G191" i="6"/>
  <c r="H191" i="6" s="1"/>
  <c r="N412" i="6"/>
  <c r="G412" i="6"/>
  <c r="H412" i="6" s="1"/>
  <c r="N347" i="6"/>
  <c r="G347" i="6"/>
  <c r="H347" i="6" s="1"/>
  <c r="N856" i="6"/>
  <c r="G856" i="6"/>
  <c r="H856" i="6" s="1"/>
  <c r="N454" i="6"/>
  <c r="G454" i="6"/>
  <c r="H454" i="6" s="1"/>
  <c r="N709" i="6"/>
  <c r="G709" i="6"/>
  <c r="H709" i="6" s="1"/>
  <c r="N810" i="6"/>
  <c r="G810" i="6"/>
  <c r="H810" i="6" s="1"/>
  <c r="N689" i="6"/>
  <c r="G689" i="6"/>
  <c r="H689" i="6" s="1"/>
  <c r="N817" i="6"/>
  <c r="G817" i="6"/>
  <c r="H817" i="6" s="1"/>
  <c r="N582" i="6"/>
  <c r="G582" i="6"/>
  <c r="H582" i="6" s="1"/>
  <c r="N790" i="6"/>
  <c r="G790" i="6"/>
  <c r="H790" i="6" s="1"/>
  <c r="N799" i="6"/>
  <c r="G799" i="6"/>
  <c r="H799" i="6" s="1"/>
  <c r="N816" i="6"/>
  <c r="G816" i="6"/>
  <c r="H816" i="6" s="1"/>
  <c r="N195" i="6"/>
  <c r="G195" i="6"/>
  <c r="H195" i="6" s="1"/>
  <c r="N69" i="6"/>
  <c r="G69" i="6"/>
  <c r="H69" i="6" s="1"/>
  <c r="N175" i="6"/>
  <c r="G175" i="6"/>
  <c r="H175" i="6" s="1"/>
  <c r="N587" i="6"/>
  <c r="G587" i="6"/>
  <c r="H587" i="6" s="1"/>
  <c r="N563" i="6"/>
  <c r="G563" i="6"/>
  <c r="H563" i="6" s="1"/>
  <c r="N797" i="6"/>
  <c r="G797" i="6"/>
  <c r="H797" i="6" s="1"/>
  <c r="N532" i="6"/>
  <c r="G532" i="6"/>
  <c r="H532" i="6" s="1"/>
  <c r="N391" i="6"/>
  <c r="G391" i="6"/>
  <c r="H391" i="6" s="1"/>
  <c r="N489" i="6"/>
  <c r="G489" i="6"/>
  <c r="H489" i="6" s="1"/>
  <c r="N690" i="6"/>
  <c r="G690" i="6"/>
  <c r="H690" i="6" s="1"/>
  <c r="N537" i="6"/>
  <c r="G537" i="6"/>
  <c r="H537" i="6" s="1"/>
  <c r="N212" i="6"/>
  <c r="G212" i="6"/>
  <c r="H212" i="6" s="1"/>
  <c r="N389" i="6"/>
  <c r="G389" i="6"/>
  <c r="H389" i="6" s="1"/>
  <c r="N641" i="6"/>
  <c r="G641" i="6"/>
  <c r="H641" i="6" s="1"/>
  <c r="N368" i="6"/>
  <c r="G368" i="6"/>
  <c r="H368" i="6" s="1"/>
  <c r="N85" i="6"/>
  <c r="G85" i="6"/>
  <c r="H85" i="6" s="1"/>
  <c r="N404" i="6"/>
  <c r="G404" i="6"/>
  <c r="H404" i="6" s="1"/>
  <c r="N602" i="6"/>
  <c r="G602" i="6"/>
  <c r="H602" i="6" s="1"/>
  <c r="N424" i="6"/>
  <c r="G424" i="6"/>
  <c r="H424" i="6" s="1"/>
  <c r="N529" i="6"/>
  <c r="G529" i="6"/>
  <c r="H529" i="6" s="1"/>
  <c r="N167" i="6"/>
  <c r="G167" i="6"/>
  <c r="H167" i="6" s="1"/>
  <c r="N562" i="6"/>
  <c r="G562" i="6"/>
  <c r="H562" i="6" s="1"/>
  <c r="N635" i="6"/>
  <c r="G635" i="6"/>
  <c r="H635" i="6" s="1"/>
  <c r="N528" i="6"/>
  <c r="G528" i="6"/>
  <c r="H528" i="6" s="1"/>
  <c r="N517" i="6"/>
  <c r="G517" i="6"/>
  <c r="H517" i="6" s="1"/>
  <c r="N273" i="6"/>
  <c r="G273" i="6"/>
  <c r="H273" i="6" s="1"/>
  <c r="N449" i="6"/>
  <c r="G449" i="6"/>
  <c r="H449" i="6" s="1"/>
  <c r="N725" i="6"/>
  <c r="G725" i="6"/>
  <c r="H725" i="6" s="1"/>
  <c r="N317" i="6"/>
  <c r="G317" i="6"/>
  <c r="H317" i="6" s="1"/>
  <c r="N713" i="6"/>
  <c r="G713" i="6"/>
  <c r="H713" i="6" s="1"/>
  <c r="N71" i="6"/>
  <c r="G71" i="6"/>
  <c r="H71" i="6" s="1"/>
  <c r="N220" i="6"/>
  <c r="G220" i="6"/>
  <c r="H220" i="6" s="1"/>
  <c r="N117" i="6"/>
  <c r="G117" i="6"/>
  <c r="H117" i="6" s="1"/>
  <c r="N733" i="6"/>
  <c r="G733" i="6"/>
  <c r="H733" i="6" s="1"/>
  <c r="N353" i="6"/>
  <c r="G353" i="6"/>
  <c r="H353" i="6" s="1"/>
  <c r="N303" i="6"/>
  <c r="G303" i="6"/>
  <c r="H303" i="6" s="1"/>
  <c r="N618" i="6"/>
  <c r="G618" i="6"/>
  <c r="H618" i="6" s="1"/>
  <c r="N452" i="6"/>
  <c r="G452" i="6"/>
  <c r="H452" i="6" s="1"/>
  <c r="N352" i="6"/>
  <c r="G352" i="6"/>
  <c r="H352" i="6" s="1"/>
  <c r="N177" i="6"/>
  <c r="G177" i="6"/>
  <c r="H177" i="6" s="1"/>
  <c r="N423" i="6"/>
  <c r="G423" i="6"/>
  <c r="H423" i="6" s="1"/>
  <c r="N197" i="6"/>
  <c r="G197" i="6"/>
  <c r="H197" i="6" s="1"/>
  <c r="N495" i="6"/>
  <c r="G495" i="6"/>
  <c r="H495" i="6" s="1"/>
  <c r="N218" i="6"/>
  <c r="G218" i="6"/>
  <c r="H218" i="6" s="1"/>
  <c r="N281" i="6"/>
  <c r="G281" i="6"/>
  <c r="H281" i="6" s="1"/>
  <c r="N678" i="6"/>
  <c r="G678" i="6"/>
  <c r="H678" i="6" s="1"/>
  <c r="N732" i="6"/>
  <c r="G732" i="6"/>
  <c r="H732" i="6" s="1"/>
  <c r="N420" i="6"/>
  <c r="G420" i="6"/>
  <c r="H420" i="6" s="1"/>
  <c r="N548" i="6"/>
  <c r="G548" i="6"/>
  <c r="H548" i="6" s="1"/>
  <c r="N855" i="6"/>
  <c r="G855" i="6"/>
  <c r="H855" i="6" s="1"/>
  <c r="N542" i="6"/>
  <c r="G542" i="6"/>
  <c r="H542" i="6" s="1"/>
  <c r="N397" i="6"/>
  <c r="G397" i="6"/>
  <c r="H397" i="6" s="1"/>
  <c r="N276" i="6"/>
  <c r="G276" i="6"/>
  <c r="H276" i="6" s="1"/>
  <c r="N456" i="6"/>
  <c r="G456" i="6"/>
  <c r="H456" i="6" s="1"/>
  <c r="N731" i="6"/>
  <c r="G731" i="6"/>
  <c r="H731" i="6" s="1"/>
  <c r="AL12" i="6" a="1"/>
  <c r="W4" i="7" a="1"/>
  <c r="X4" i="7" a="1"/>
  <c r="AM12" i="6" a="1"/>
  <c r="AL2" i="4" l="1"/>
  <c r="AI10" i="7"/>
  <c r="AL12" i="6"/>
  <c r="AM12" i="6"/>
  <c r="AI2" i="6"/>
  <c r="AL15" i="6"/>
  <c r="AK204" i="4"/>
  <c r="AA2" i="5"/>
  <c r="X4" i="7"/>
  <c r="W4" i="7"/>
  <c r="AP7" i="6" l="1"/>
  <c r="AL8" i="6"/>
  <c r="AJ2" i="6"/>
  <c r="AP5" i="6" s="1"/>
  <c r="AO7" i="4"/>
  <c r="AM8" i="6"/>
  <c r="AL204" i="4"/>
  <c r="AN9" i="4"/>
  <c r="AO9" i="4" s="1"/>
  <c r="AB2" i="5"/>
  <c r="AD9" i="5"/>
  <c r="AE9" i="5" s="1"/>
  <c r="AC3" i="4"/>
  <c r="AQ7" i="4" a="1"/>
  <c r="AN5" i="6" a="1"/>
  <c r="AN5" i="6" l="1"/>
  <c r="AQ7" i="4"/>
  <c r="O713" i="4"/>
  <c r="H713" i="4"/>
  <c r="O397" i="4"/>
  <c r="H397" i="4"/>
  <c r="O349" i="4"/>
  <c r="H349" i="4"/>
  <c r="O158" i="4"/>
  <c r="H158" i="4"/>
  <c r="O647" i="4"/>
  <c r="H647" i="4"/>
  <c r="O565" i="4"/>
  <c r="H565" i="4"/>
  <c r="O857" i="4"/>
  <c r="H857" i="4"/>
  <c r="O874" i="4"/>
  <c r="H874" i="4"/>
  <c r="O279" i="4"/>
  <c r="H279" i="4"/>
  <c r="O706" i="4"/>
  <c r="H706" i="4"/>
  <c r="O705" i="4"/>
  <c r="H705" i="4"/>
  <c r="O703" i="4"/>
  <c r="H703" i="4"/>
  <c r="O707" i="4"/>
  <c r="H707" i="4"/>
  <c r="O627" i="4"/>
  <c r="H627" i="4"/>
  <c r="O252" i="4"/>
  <c r="H252" i="4"/>
  <c r="O324" i="4"/>
  <c r="H324" i="4"/>
  <c r="O323" i="4"/>
  <c r="H323" i="4"/>
  <c r="O322" i="4"/>
  <c r="H322" i="4"/>
  <c r="O321" i="4"/>
  <c r="H321" i="4"/>
  <c r="O320" i="4"/>
  <c r="H320" i="4"/>
  <c r="O319" i="4"/>
  <c r="H319" i="4"/>
  <c r="O400" i="4"/>
  <c r="H400" i="4"/>
  <c r="O378" i="4"/>
  <c r="H378" i="4"/>
  <c r="O829" i="4"/>
  <c r="H829" i="4"/>
  <c r="O412" i="4"/>
  <c r="H412" i="4"/>
  <c r="O405" i="4"/>
  <c r="H405" i="4"/>
  <c r="O811" i="4"/>
  <c r="H811" i="4"/>
  <c r="O561" i="4"/>
  <c r="H561" i="4"/>
  <c r="O364" i="4"/>
  <c r="H364" i="4"/>
  <c r="O365" i="4"/>
  <c r="O770" i="4"/>
  <c r="H770" i="4"/>
  <c r="O798" i="4"/>
  <c r="H798" i="4"/>
  <c r="O229" i="4"/>
  <c r="H229" i="4"/>
  <c r="O78" i="4"/>
  <c r="H78" i="4"/>
  <c r="O79" i="4"/>
  <c r="H79" i="4"/>
  <c r="O167" i="4"/>
  <c r="H167" i="4"/>
  <c r="H602" i="7"/>
  <c r="H350" i="7"/>
  <c r="H572" i="7"/>
  <c r="H665" i="7"/>
  <c r="H612" i="7"/>
  <c r="H790" i="7"/>
  <c r="H662" i="7"/>
  <c r="H200" i="7"/>
  <c r="H118" i="7"/>
  <c r="H236" i="7"/>
  <c r="H243" i="7"/>
  <c r="H472" i="7"/>
  <c r="H388" i="7"/>
  <c r="H400" i="7"/>
  <c r="H505" i="7"/>
  <c r="H735" i="7"/>
  <c r="H359" i="7"/>
  <c r="H467" i="7"/>
  <c r="H664" i="7"/>
  <c r="H581" i="7"/>
  <c r="H708" i="7"/>
  <c r="H672" i="7"/>
  <c r="H747" i="7"/>
  <c r="H270" i="7"/>
  <c r="H536" i="7"/>
  <c r="H471" i="7"/>
  <c r="H344" i="7"/>
  <c r="H259" i="7"/>
  <c r="H525" i="7"/>
  <c r="H327" i="7"/>
  <c r="H707" i="7"/>
  <c r="H145" i="7"/>
  <c r="H396" i="7"/>
  <c r="H261" i="7"/>
  <c r="H477" i="7"/>
  <c r="H452" i="7"/>
  <c r="H326" i="7"/>
  <c r="H618" i="7"/>
  <c r="H154" i="7"/>
  <c r="H225" i="7"/>
  <c r="H258" i="7"/>
  <c r="H290" i="7"/>
  <c r="H600" i="7"/>
  <c r="H753" i="7"/>
  <c r="H495" i="7"/>
  <c r="H504" i="7"/>
  <c r="H486" i="7"/>
  <c r="H371" i="7"/>
  <c r="H570" i="7"/>
  <c r="H551" i="7"/>
  <c r="H765" i="7"/>
  <c r="H447" i="7"/>
  <c r="H293" i="7"/>
  <c r="H339" i="7"/>
  <c r="H451" i="7"/>
  <c r="H416" i="7"/>
  <c r="H438" i="7"/>
  <c r="H2" i="7"/>
  <c r="H345" i="7"/>
  <c r="H369" i="7"/>
  <c r="H463" i="7"/>
  <c r="H426" i="7"/>
  <c r="H277" i="7"/>
  <c r="H368" i="7"/>
  <c r="H455" i="7"/>
  <c r="H720" i="7"/>
  <c r="H718" i="7"/>
  <c r="H433" i="7"/>
  <c r="H204" i="7"/>
  <c r="H461" i="7"/>
  <c r="H419" i="7"/>
  <c r="H443" i="7"/>
  <c r="H684" i="7"/>
  <c r="H643" i="7"/>
  <c r="H494" i="7"/>
  <c r="H629" i="7"/>
  <c r="H763" i="7"/>
  <c r="H806" i="7"/>
  <c r="H535" i="7"/>
  <c r="H645" i="7"/>
  <c r="H257" i="7"/>
  <c r="H784" i="7"/>
  <c r="H21" i="7"/>
  <c r="H303" i="7"/>
  <c r="H651" i="7"/>
  <c r="H367" i="7"/>
  <c r="H235" i="7"/>
  <c r="H519" i="7"/>
  <c r="H456" i="7"/>
  <c r="H454" i="7"/>
  <c r="H511" i="7"/>
  <c r="H637" i="7"/>
  <c r="H586" i="7"/>
  <c r="H483" i="7"/>
  <c r="H470" i="7"/>
  <c r="H222" i="7"/>
  <c r="H343" i="7"/>
  <c r="H252" i="7"/>
  <c r="H462" i="7"/>
  <c r="H313" i="7"/>
  <c r="H380" i="7"/>
  <c r="H510" i="7"/>
  <c r="H717" i="7"/>
  <c r="H689" i="7"/>
  <c r="H832" i="7"/>
  <c r="H738" i="7"/>
  <c r="H476" i="7"/>
  <c r="H349" i="7"/>
  <c r="H479" i="7"/>
  <c r="H420" i="7"/>
  <c r="H430" i="7"/>
  <c r="H354" i="7"/>
  <c r="H39" i="7"/>
  <c r="H732" i="7"/>
  <c r="H507" i="7"/>
  <c r="H414" i="7"/>
  <c r="H503" i="7"/>
  <c r="H702" i="7"/>
  <c r="H322" i="7"/>
  <c r="H742" i="7"/>
  <c r="H206" i="7"/>
  <c r="H804" i="7"/>
  <c r="H575" i="7"/>
  <c r="H716" i="7"/>
  <c r="H750" i="7"/>
  <c r="H88" i="7"/>
  <c r="H316" i="7"/>
  <c r="H453" i="7"/>
  <c r="H599" i="7"/>
  <c r="H824" i="7"/>
  <c r="H831" i="7"/>
  <c r="H406" i="7"/>
  <c r="H810" i="7"/>
  <c r="H836" i="7"/>
  <c r="H808" i="7"/>
  <c r="H318" i="7"/>
  <c r="H288" i="7"/>
  <c r="H555" i="7"/>
  <c r="H309" i="7"/>
  <c r="H475" i="7"/>
  <c r="H342" i="7"/>
  <c r="H524" i="7"/>
  <c r="H363" i="7"/>
  <c r="H387" i="7"/>
  <c r="H428" i="7"/>
  <c r="H112" i="7"/>
  <c r="H674" i="7"/>
  <c r="H487" i="7"/>
  <c r="H839" i="7"/>
  <c r="H544" i="7"/>
  <c r="H460" i="7"/>
  <c r="H362" i="7"/>
  <c r="H372" i="7"/>
  <c r="H816" i="7"/>
  <c r="H777" i="7"/>
  <c r="H399" i="7"/>
  <c r="H308" i="7"/>
  <c r="H644" i="7"/>
  <c r="H273" i="7"/>
  <c r="H582" i="7"/>
  <c r="H679" i="7"/>
  <c r="H554" i="7"/>
  <c r="H175" i="7"/>
  <c r="H366" i="7"/>
  <c r="H332" i="7"/>
  <c r="H329" i="7"/>
  <c r="H256" i="7"/>
  <c r="H199" i="7"/>
  <c r="H574" i="7"/>
  <c r="H358" i="7"/>
  <c r="H213" i="7"/>
  <c r="H81" i="7"/>
  <c r="H268" i="7"/>
  <c r="H635" i="7"/>
  <c r="H287" i="7"/>
  <c r="H474" i="7"/>
  <c r="H762" i="7"/>
  <c r="H531" i="7"/>
  <c r="H242" i="7"/>
  <c r="H660" i="7"/>
  <c r="H723" i="7"/>
  <c r="H234" i="7"/>
  <c r="H356" i="7"/>
  <c r="H493" i="7"/>
  <c r="H241" i="7"/>
  <c r="H232" i="7"/>
  <c r="H688" i="7"/>
  <c r="H285" i="7"/>
  <c r="H382" i="7"/>
  <c r="H143" i="7"/>
  <c r="H642" i="7"/>
  <c r="H442" i="7"/>
  <c r="H42" i="7"/>
  <c r="H787" i="7"/>
  <c r="H212" i="7"/>
  <c r="H701" i="7"/>
  <c r="H736" i="7"/>
  <c r="H341" i="7"/>
  <c r="H18" i="7"/>
  <c r="H59" i="7"/>
  <c r="H365" i="7"/>
  <c r="H569" i="7"/>
  <c r="H641" i="7"/>
  <c r="H482" i="7"/>
  <c r="H441" i="7"/>
  <c r="H278" i="7"/>
  <c r="H180" i="7"/>
  <c r="H93" i="7"/>
  <c r="H62" i="7"/>
  <c r="H237" i="7"/>
  <c r="H244" i="7"/>
  <c r="H153" i="7"/>
  <c r="H215" i="7"/>
  <c r="H424" i="7"/>
  <c r="H518" i="7"/>
  <c r="H249" i="7"/>
  <c r="H223" i="7"/>
  <c r="H211" i="7"/>
  <c r="H216" i="7"/>
  <c r="H335" i="7"/>
  <c r="H423" i="7"/>
  <c r="H393" i="7"/>
  <c r="H444" i="7"/>
  <c r="H142" i="7"/>
  <c r="H514" i="7"/>
  <c r="H478" i="7"/>
  <c r="H731" i="7"/>
  <c r="H846" i="7"/>
  <c r="H128" i="7"/>
  <c r="H844" i="7"/>
  <c r="H553" i="7"/>
  <c r="H822" i="7"/>
  <c r="H280" i="7"/>
  <c r="H56" i="7"/>
  <c r="H821" i="7"/>
  <c r="H604" i="7"/>
  <c r="H617" i="7"/>
  <c r="H41" i="7"/>
  <c r="H712" i="7"/>
  <c r="H528" i="7"/>
  <c r="H297" i="7"/>
  <c r="H338" i="7"/>
  <c r="H557" i="7"/>
  <c r="H552" i="7"/>
  <c r="H496" i="7"/>
  <c r="H247" i="7"/>
  <c r="H27" i="7"/>
  <c r="H597" i="7"/>
  <c r="H251" i="7"/>
  <c r="H267" i="7"/>
  <c r="H105" i="7"/>
  <c r="H214" i="7"/>
  <c r="H194" i="7"/>
  <c r="H706" i="7"/>
  <c r="H127" i="7"/>
  <c r="H819" i="7"/>
  <c r="H539" i="7"/>
  <c r="H830" i="7"/>
  <c r="H745" i="7"/>
  <c r="H523" i="7"/>
  <c r="H119" i="7"/>
  <c r="H440" i="7"/>
  <c r="H283" i="7"/>
  <c r="H295" i="7"/>
  <c r="H92" i="7"/>
  <c r="H22" i="7"/>
  <c r="H72" i="7"/>
  <c r="H7" i="7"/>
  <c r="H68" i="7"/>
  <c r="H250" i="7"/>
  <c r="H489" i="7"/>
  <c r="H228" i="7"/>
  <c r="H383" i="7"/>
  <c r="H379" i="7"/>
  <c r="H561" i="7"/>
  <c r="H299" i="7"/>
  <c r="H596" i="7"/>
  <c r="H619" i="7"/>
  <c r="H450" i="7"/>
  <c r="H640" i="7"/>
  <c r="H390" i="7"/>
  <c r="H437" i="7"/>
  <c r="H321" i="7"/>
  <c r="H292" i="7"/>
  <c r="H465" i="7"/>
  <c r="H269" i="7"/>
  <c r="H184" i="7"/>
  <c r="H782" i="7"/>
  <c r="H189" i="7"/>
  <c r="H422" i="7"/>
  <c r="H502" i="7"/>
  <c r="H548" i="7"/>
  <c r="H302" i="7"/>
  <c r="H813" i="7"/>
  <c r="H98" i="7"/>
  <c r="H578" i="7"/>
  <c r="H697" i="7"/>
  <c r="H780" i="7"/>
  <c r="H217" i="7"/>
  <c r="H432" i="7"/>
  <c r="H413" i="7"/>
  <c r="H683" i="7"/>
  <c r="H687" i="7"/>
  <c r="H491" i="7"/>
  <c r="H734" i="7"/>
  <c r="H161" i="7"/>
  <c r="H392" i="7"/>
  <c r="H97" i="7"/>
  <c r="H5" i="7"/>
  <c r="H255" i="7"/>
  <c r="H466" i="7"/>
  <c r="H336" i="7"/>
  <c r="H498" i="7"/>
  <c r="H111" i="7"/>
  <c r="H34" i="7"/>
  <c r="H279" i="7"/>
  <c r="H203" i="7"/>
  <c r="H36" i="7"/>
  <c r="H320" i="7"/>
  <c r="H183" i="7"/>
  <c r="H17" i="7"/>
  <c r="H29" i="7"/>
  <c r="H4" i="7"/>
  <c r="H838" i="7"/>
  <c r="H6" i="7"/>
  <c r="H96" i="7"/>
  <c r="H168" i="7"/>
  <c r="H773" i="7"/>
  <c r="H104" i="7"/>
  <c r="H231" i="7"/>
  <c r="H260" i="7"/>
  <c r="H730" i="7"/>
  <c r="H758" i="7"/>
  <c r="H534" i="7"/>
  <c r="H598" i="7"/>
  <c r="H221" i="7"/>
  <c r="H58" i="7"/>
  <c r="H254" i="7"/>
  <c r="H348" i="7"/>
  <c r="H312" i="7"/>
  <c r="H152" i="7"/>
  <c r="H131" i="7"/>
  <c r="H403" i="7"/>
  <c r="H12" i="7"/>
  <c r="H117" i="7"/>
  <c r="H566" i="7"/>
  <c r="H595" i="7"/>
  <c r="H377" i="7"/>
  <c r="H378" i="7"/>
  <c r="H331" i="7"/>
  <c r="H527" i="7"/>
  <c r="H492" i="7"/>
  <c r="H694" i="7"/>
  <c r="H459" i="7"/>
  <c r="H585" i="7"/>
  <c r="H108" i="7"/>
  <c r="H729" i="7"/>
  <c r="H647" i="7"/>
  <c r="H521" i="7"/>
  <c r="H693" i="7"/>
  <c r="H761" i="7"/>
  <c r="H530" i="7"/>
  <c r="H711" i="7"/>
  <c r="H545" i="7"/>
  <c r="H541" i="7"/>
  <c r="H571" i="7"/>
  <c r="H659" i="7"/>
  <c r="H673" i="7"/>
  <c r="H540" i="7"/>
  <c r="H563" i="7"/>
  <c r="H529" i="7"/>
  <c r="H230" i="7"/>
  <c r="H634" i="7"/>
  <c r="H591" i="7"/>
  <c r="H564" i="7"/>
  <c r="H584" i="7"/>
  <c r="H526" i="7"/>
  <c r="H490" i="7"/>
  <c r="H565" i="7"/>
  <c r="H631" i="7"/>
  <c r="H592" i="7"/>
  <c r="H614" i="7"/>
  <c r="H560" i="7"/>
  <c r="H485" i="7"/>
  <c r="H25" i="7"/>
  <c r="H266" i="7"/>
  <c r="H577" i="7"/>
  <c r="H446" i="7"/>
  <c r="H103" i="7"/>
  <c r="H80" i="7"/>
  <c r="H160" i="7"/>
  <c r="H253" i="7"/>
  <c r="H497" i="7"/>
  <c r="H19" i="7"/>
  <c r="H814" i="7"/>
  <c r="H633" i="7"/>
  <c r="H347" i="7"/>
  <c r="H547" i="7"/>
  <c r="H113" i="7"/>
  <c r="H533" i="7"/>
  <c r="H398" i="7"/>
  <c r="H126" i="7"/>
  <c r="H151" i="7"/>
  <c r="H473" i="7"/>
  <c r="H325" i="7"/>
  <c r="H99" i="7"/>
  <c r="H240" i="7"/>
  <c r="H121" i="7"/>
  <c r="H449" i="7"/>
  <c r="H198" i="7"/>
  <c r="H51" i="7"/>
  <c r="H164" i="7"/>
  <c r="H35" i="7"/>
  <c r="H3" i="7"/>
  <c r="H10" i="7"/>
  <c r="H220" i="7"/>
  <c r="H193" i="7"/>
  <c r="H739" i="7"/>
  <c r="H107" i="7"/>
  <c r="H323" i="7"/>
  <c r="H248" i="7"/>
  <c r="H500" i="7"/>
  <c r="H488" i="7"/>
  <c r="H94" i="7"/>
  <c r="H648" i="7"/>
  <c r="H656" i="7"/>
  <c r="H676" i="7"/>
  <c r="H370" i="7"/>
  <c r="H499" i="7"/>
  <c r="H116" i="7"/>
  <c r="H386" i="7"/>
  <c r="H436" i="7"/>
  <c r="H700" i="7"/>
  <c r="H134" i="7"/>
  <c r="H110" i="7"/>
  <c r="H334" i="7"/>
  <c r="H829" i="7"/>
  <c r="H661" i="7"/>
  <c r="H188" i="7"/>
  <c r="H705" i="7"/>
  <c r="H789" i="7"/>
  <c r="H807" i="7"/>
  <c r="H159" i="7"/>
  <c r="H272" i="7"/>
  <c r="H412" i="7"/>
  <c r="H294" i="7"/>
  <c r="H405" i="7"/>
  <c r="H281" i="7"/>
  <c r="H351" i="7"/>
  <c r="H174" i="7"/>
  <c r="H429" i="7"/>
  <c r="H192" i="7"/>
  <c r="H431" i="7"/>
  <c r="H307" i="7"/>
  <c r="H385" i="7"/>
  <c r="H834" i="7"/>
  <c r="H812" i="7"/>
  <c r="H177" i="7"/>
  <c r="H319" i="7"/>
  <c r="H355" i="7"/>
  <c r="H376" i="7"/>
  <c r="H506" i="7"/>
  <c r="H417" i="7"/>
  <c r="H286" i="7"/>
  <c r="H538" i="7"/>
  <c r="H576" i="7"/>
  <c r="H210" i="7"/>
  <c r="H381" i="7"/>
  <c r="H589" i="7"/>
  <c r="H590" i="7"/>
  <c r="H823" i="7"/>
  <c r="H811" i="7"/>
  <c r="H605" i="7"/>
  <c r="H337" i="7"/>
  <c r="H794" i="7"/>
  <c r="H522" i="7"/>
  <c r="H186" i="7"/>
  <c r="H480" i="7"/>
  <c r="H583" i="7"/>
  <c r="H818" i="7"/>
  <c r="H798" i="7"/>
  <c r="H115" i="7"/>
  <c r="H136" i="7"/>
  <c r="H364" i="7"/>
  <c r="H361" i="7"/>
  <c r="H481" i="7"/>
  <c r="H608" i="7"/>
  <c r="H537" i="7"/>
  <c r="H532" i="7"/>
  <c r="H691" i="7"/>
  <c r="H714" i="7"/>
  <c r="H517" i="7"/>
  <c r="H173" i="7"/>
  <c r="H133" i="7"/>
  <c r="H704" i="7"/>
  <c r="H746" i="7"/>
  <c r="H588" i="7"/>
  <c r="H624" i="7"/>
  <c r="H275" i="7"/>
  <c r="H330" i="7"/>
  <c r="H60" i="7"/>
  <c r="H501" i="7"/>
  <c r="H374" i="7"/>
  <c r="H515" i="7"/>
  <c r="H682" i="7"/>
  <c r="H15" i="7"/>
  <c r="H841" i="7"/>
  <c r="H835" i="7"/>
  <c r="H805" i="7"/>
  <c r="H144" i="7"/>
  <c r="H301" i="7"/>
  <c r="H209" i="7"/>
  <c r="H728" i="7"/>
  <c r="H87" i="7"/>
  <c r="H427" i="7"/>
  <c r="H311" i="7"/>
  <c r="H666" i="7"/>
  <c r="H38" i="7"/>
  <c r="H743" i="7"/>
  <c r="H568" i="7"/>
  <c r="H435" i="7"/>
  <c r="H90" i="7"/>
  <c r="H33" i="7"/>
  <c r="H135" i="7"/>
  <c r="H141" i="7"/>
  <c r="H678" i="7"/>
  <c r="H315" i="7"/>
  <c r="H353" i="7"/>
  <c r="H310" i="7"/>
  <c r="H37" i="7"/>
  <c r="H14" i="7"/>
  <c r="H291" i="7"/>
  <c r="H24" i="7"/>
  <c r="H827" i="7"/>
  <c r="H114" i="7"/>
  <c r="H670" i="7"/>
  <c r="H448" i="7"/>
  <c r="H542" i="7"/>
  <c r="H817" i="7"/>
  <c r="H607" i="7"/>
  <c r="H55" i="7"/>
  <c r="H756" i="7"/>
  <c r="H627" i="7"/>
  <c r="H791" i="7"/>
  <c r="H615" i="7"/>
  <c r="H23" i="7"/>
  <c r="H650" i="7"/>
  <c r="H57" i="7"/>
  <c r="H73" i="7"/>
  <c r="H457" i="7"/>
  <c r="H611" i="7"/>
  <c r="H298" i="7"/>
  <c r="H797" i="7"/>
  <c r="H63" i="7"/>
  <c r="H803" i="7"/>
  <c r="H402" i="7"/>
  <c r="H52" i="7"/>
  <c r="H44" i="7"/>
  <c r="H622" i="7"/>
  <c r="H271" i="7"/>
  <c r="H67" i="7"/>
  <c r="H77" i="7"/>
  <c r="H78" i="7"/>
  <c r="H48" i="7"/>
  <c r="H415" i="7"/>
  <c r="H75" i="7"/>
  <c r="H85" i="7"/>
  <c r="H668" i="7"/>
  <c r="H101" i="7"/>
  <c r="H265" i="7"/>
  <c r="H138" i="7"/>
  <c r="H122" i="7"/>
  <c r="H163" i="7"/>
  <c r="H663" i="7"/>
  <c r="H425" i="7"/>
  <c r="H178" i="7"/>
  <c r="H130" i="7"/>
  <c r="H219" i="7"/>
  <c r="H140" i="7"/>
  <c r="H587" i="7"/>
  <c r="H833" i="7"/>
  <c r="H150" i="7"/>
  <c r="H289" i="7"/>
  <c r="H224" i="7"/>
  <c r="H594" i="7"/>
  <c r="H685" i="7"/>
  <c r="H686" i="7"/>
  <c r="H66" i="7"/>
  <c r="H778" i="7"/>
  <c r="H95" i="7"/>
  <c r="H766" i="7"/>
  <c r="H26" i="7"/>
  <c r="H54" i="7"/>
  <c r="H71" i="7"/>
  <c r="H100" i="7"/>
  <c r="H360" i="7"/>
  <c r="H825" i="7"/>
  <c r="H760" i="7"/>
  <c r="H106" i="7"/>
  <c r="H613" i="7"/>
  <c r="H699" i="7"/>
  <c r="H74" i="7"/>
  <c r="H43" i="7"/>
  <c r="H46" i="7"/>
  <c r="H317" i="7"/>
  <c r="H218" i="7"/>
  <c r="H513" i="7"/>
  <c r="H623" i="7"/>
  <c r="H567" i="7"/>
  <c r="H692" i="7"/>
  <c r="H774" i="7"/>
  <c r="H79" i="7"/>
  <c r="H9" i="7"/>
  <c r="H781" i="7"/>
  <c r="H8" i="7"/>
  <c r="H384" i="7"/>
  <c r="H681" i="7"/>
  <c r="H698" i="7"/>
  <c r="H82" i="7"/>
  <c r="H61" i="7"/>
  <c r="H89" i="7"/>
  <c r="H165" i="7"/>
  <c r="H16" i="7"/>
  <c r="H125" i="7"/>
  <c r="H162" i="7"/>
  <c r="H227" i="7"/>
  <c r="H156" i="7"/>
  <c r="H124" i="7"/>
  <c r="H137" i="7"/>
  <c r="H182" i="7"/>
  <c r="H176" i="7"/>
  <c r="H246" i="7"/>
  <c r="H64" i="7"/>
  <c r="H690" i="7"/>
  <c r="H770" i="7"/>
  <c r="H840" i="7"/>
  <c r="H47" i="7"/>
  <c r="H653" i="7"/>
  <c r="H550" i="7"/>
  <c r="H752" i="7"/>
  <c r="H245" i="7"/>
  <c r="H603" i="7"/>
  <c r="H802" i="7"/>
  <c r="H149" i="7"/>
  <c r="H769" i="7"/>
  <c r="H757" i="7"/>
  <c r="H768" i="7"/>
  <c r="H655" i="7"/>
  <c r="H626" i="7"/>
  <c r="H620" i="7"/>
  <c r="H191" i="7"/>
  <c r="H820" i="7"/>
  <c r="H11" i="7"/>
  <c r="H658" i="7"/>
  <c r="H109" i="7"/>
  <c r="H695" i="7"/>
  <c r="H546" i="7"/>
  <c r="H741" i="7"/>
  <c r="H719" i="7"/>
  <c r="H759" i="7"/>
  <c r="H625" i="7"/>
  <c r="H172" i="7"/>
  <c r="H306" i="7"/>
  <c r="H630" i="7"/>
  <c r="H31" i="7"/>
  <c r="H49" i="7"/>
  <c r="H274" i="7"/>
  <c r="H842" i="7"/>
  <c r="H771" i="7"/>
  <c r="H793" i="7"/>
  <c r="H628" i="7"/>
  <c r="H646" i="7"/>
  <c r="H439" i="7"/>
  <c r="H120" i="7"/>
  <c r="H726" i="7"/>
  <c r="H744" i="7"/>
  <c r="H333" i="7"/>
  <c r="H508" i="7"/>
  <c r="H158" i="7"/>
  <c r="H828" i="7"/>
  <c r="H147" i="7"/>
  <c r="H197" i="7"/>
  <c r="H667" i="7"/>
  <c r="H139" i="7"/>
  <c r="H800" i="7"/>
  <c r="H815" i="7"/>
  <c r="H284" i="7"/>
  <c r="H638" i="7"/>
  <c r="H837" i="7"/>
  <c r="H826" i="7"/>
  <c r="H703" i="7"/>
  <c r="H621" i="7"/>
  <c r="H352" i="7"/>
  <c r="H276" i="7"/>
  <c r="H772" i="7"/>
  <c r="H709" i="7"/>
  <c r="H559" i="7"/>
  <c r="H395" i="7"/>
  <c r="H421" i="7"/>
  <c r="H520" i="7"/>
  <c r="H226" i="7"/>
  <c r="H401" i="7"/>
  <c r="H167" i="7"/>
  <c r="H263" i="7"/>
  <c r="H102" i="7"/>
  <c r="H84" i="7"/>
  <c r="H484" i="7"/>
  <c r="H169" i="7"/>
  <c r="H764" i="7"/>
  <c r="H740" i="7"/>
  <c r="H373" i="7"/>
  <c r="H239" i="7"/>
  <c r="H713" i="7"/>
  <c r="H749" i="7"/>
  <c r="H543" i="7"/>
  <c r="H801" i="7"/>
  <c r="H146" i="7"/>
  <c r="H190" i="7"/>
  <c r="H722" i="7"/>
  <c r="H606" i="7"/>
  <c r="H785" i="7"/>
  <c r="H65" i="7"/>
  <c r="H799" i="7"/>
  <c r="H208" i="7"/>
  <c r="H580" i="7"/>
  <c r="H305" i="7"/>
  <c r="H796" i="7"/>
  <c r="H409" i="7"/>
  <c r="H357" i="7"/>
  <c r="H166" i="7"/>
  <c r="H464" i="7"/>
  <c r="H418" i="7"/>
  <c r="H32" i="7"/>
  <c r="H737" i="7"/>
  <c r="H83" i="7"/>
  <c r="H76" i="7"/>
  <c r="H434" i="7"/>
  <c r="H238" i="7"/>
  <c r="H185" i="7"/>
  <c r="H408" i="7"/>
  <c r="H28" i="7"/>
  <c r="H202" i="7"/>
  <c r="H148" i="7"/>
  <c r="H50" i="7"/>
  <c r="H549" i="7"/>
  <c r="H725" i="7"/>
  <c r="H601" i="7"/>
  <c r="H783" i="7"/>
  <c r="H375" i="7"/>
  <c r="H715" i="7"/>
  <c r="H654" i="7"/>
  <c r="H610" i="7"/>
  <c r="H340" i="7"/>
  <c r="H404" i="7"/>
  <c r="H755" i="7"/>
  <c r="H155" i="7"/>
  <c r="H45" i="7"/>
  <c r="H86" i="7"/>
  <c r="H264" i="7"/>
  <c r="H181" i="7"/>
  <c r="H282" i="7"/>
  <c r="H179" i="7"/>
  <c r="H314" i="7"/>
  <c r="H788" i="7"/>
  <c r="H843" i="7"/>
  <c r="H775" i="7"/>
  <c r="H394" i="7"/>
  <c r="H205" i="7"/>
  <c r="H157" i="7"/>
  <c r="H196" i="7"/>
  <c r="H170" i="7"/>
  <c r="H809" i="7"/>
  <c r="H556" i="7"/>
  <c r="H669" i="7"/>
  <c r="H201" i="7"/>
  <c r="H207" i="7"/>
  <c r="H458" i="7"/>
  <c r="H397" i="7"/>
  <c r="H411" i="7"/>
  <c r="H710" i="7"/>
  <c r="H609" i="7"/>
  <c r="H795" i="7"/>
  <c r="H389" i="7"/>
  <c r="H786" i="7"/>
  <c r="H20" i="7"/>
  <c r="H30" i="7"/>
  <c r="H53" i="7"/>
  <c r="H132" i="7"/>
  <c r="H69" i="7"/>
  <c r="H171" i="7"/>
  <c r="H233" i="7"/>
  <c r="H391" i="7"/>
  <c r="H445" i="7"/>
  <c r="H573" i="7"/>
  <c r="H512" i="7"/>
  <c r="H300" i="7"/>
  <c r="H696" i="7"/>
  <c r="H469" i="7"/>
  <c r="H639" i="7"/>
  <c r="H13" i="7"/>
  <c r="H675" i="7"/>
  <c r="H721" i="7"/>
  <c r="H558" i="7"/>
  <c r="H652" i="7"/>
  <c r="H677" i="7"/>
  <c r="H632" i="7"/>
  <c r="H328" i="7"/>
  <c r="H724" i="7"/>
  <c r="H562" i="7"/>
  <c r="H187" i="7"/>
  <c r="H129" i="7"/>
  <c r="H91" i="7"/>
  <c r="H346" i="7"/>
  <c r="H748" i="7"/>
  <c r="H671" i="7"/>
  <c r="H410" i="7"/>
  <c r="H754" i="7"/>
  <c r="H324" i="7"/>
  <c r="H845" i="7"/>
  <c r="H779" i="7"/>
  <c r="H680" i="7"/>
  <c r="H579" i="7"/>
  <c r="H509" i="7"/>
  <c r="H636" i="7"/>
  <c r="H776" i="7"/>
  <c r="H616" i="7"/>
  <c r="H195" i="7"/>
  <c r="H229" i="7"/>
  <c r="H40" i="7"/>
  <c r="H296" i="7"/>
  <c r="H733" i="7"/>
  <c r="H649" i="7"/>
  <c r="H657" i="7"/>
  <c r="H304" i="7"/>
  <c r="H407" i="7"/>
  <c r="H516" i="7"/>
  <c r="H751" i="7"/>
  <c r="H767" i="7"/>
  <c r="H792" i="7"/>
  <c r="H468" i="7"/>
  <c r="H593" i="7"/>
  <c r="O622" i="4"/>
  <c r="H622" i="4"/>
  <c r="O362" i="4"/>
  <c r="H362" i="4"/>
  <c r="O591" i="4"/>
  <c r="H591" i="4"/>
  <c r="O687" i="4"/>
  <c r="H687" i="4"/>
  <c r="O633" i="4"/>
  <c r="H633" i="4"/>
  <c r="O819" i="4"/>
  <c r="H819" i="4"/>
  <c r="O684" i="4"/>
  <c r="H684" i="4"/>
  <c r="O203" i="4"/>
  <c r="H203" i="4"/>
  <c r="O120" i="4"/>
  <c r="H120" i="4"/>
  <c r="O240" i="4"/>
  <c r="H240" i="4"/>
  <c r="O247" i="4"/>
  <c r="H247" i="4"/>
  <c r="O490" i="4"/>
  <c r="H490" i="4"/>
  <c r="O404" i="4"/>
  <c r="H404" i="4"/>
  <c r="O418" i="4"/>
  <c r="H418" i="4"/>
  <c r="O523" i="4"/>
  <c r="H523" i="4"/>
  <c r="O761" i="4"/>
  <c r="H761" i="4"/>
  <c r="O372" i="4"/>
  <c r="H372" i="4"/>
  <c r="O485" i="4"/>
  <c r="H485" i="4"/>
  <c r="O686" i="4"/>
  <c r="H686" i="4"/>
  <c r="O601" i="4"/>
  <c r="H601" i="4"/>
  <c r="O735" i="4"/>
  <c r="H735" i="4"/>
  <c r="O694" i="4"/>
  <c r="H694" i="4"/>
  <c r="O774" i="4"/>
  <c r="H774" i="4"/>
  <c r="O274" i="4"/>
  <c r="H274" i="4"/>
  <c r="O554" i="4"/>
  <c r="H554" i="4"/>
  <c r="O489" i="4"/>
  <c r="H489" i="4"/>
  <c r="O356" i="4"/>
  <c r="H356" i="4"/>
  <c r="O264" i="4"/>
  <c r="H264" i="4"/>
  <c r="O543" i="4"/>
  <c r="H543" i="4"/>
  <c r="O338" i="4"/>
  <c r="H338" i="4"/>
  <c r="O734" i="4"/>
  <c r="H734" i="4"/>
  <c r="O146" i="4"/>
  <c r="H146" i="4"/>
  <c r="O414" i="4"/>
  <c r="H414" i="4"/>
  <c r="O266" i="4"/>
  <c r="H266" i="4"/>
  <c r="O495" i="4"/>
  <c r="H495" i="4"/>
  <c r="O470" i="4"/>
  <c r="H470" i="4"/>
  <c r="O337" i="4"/>
  <c r="H337" i="4"/>
  <c r="O639" i="4"/>
  <c r="H639" i="4"/>
  <c r="O155" i="4"/>
  <c r="H155" i="4"/>
  <c r="O228" i="4"/>
  <c r="H228" i="4"/>
  <c r="O263" i="4"/>
  <c r="H263" i="4"/>
  <c r="O295" i="4"/>
  <c r="H295" i="4"/>
  <c r="O620" i="4"/>
  <c r="H620" i="4"/>
  <c r="O780" i="4"/>
  <c r="H780" i="4"/>
  <c r="O513" i="4"/>
  <c r="H513" i="4"/>
  <c r="O522" i="4"/>
  <c r="H522" i="4"/>
  <c r="O504" i="4"/>
  <c r="H504" i="4"/>
  <c r="O385" i="4"/>
  <c r="H385" i="4"/>
  <c r="O590" i="4"/>
  <c r="H590" i="4"/>
  <c r="O571" i="4"/>
  <c r="H571" i="4"/>
  <c r="O792" i="4"/>
  <c r="H792" i="4"/>
  <c r="O465" i="4"/>
  <c r="H465" i="4"/>
  <c r="O298" i="4"/>
  <c r="H298" i="4"/>
  <c r="O351" i="4"/>
  <c r="H351" i="4"/>
  <c r="O469" i="4"/>
  <c r="H469" i="4"/>
  <c r="O434" i="4"/>
  <c r="H434" i="4"/>
  <c r="O456" i="4"/>
  <c r="H456" i="4"/>
  <c r="O2" i="4"/>
  <c r="H2" i="4"/>
  <c r="O357" i="4"/>
  <c r="H357" i="4"/>
  <c r="O376" i="4"/>
  <c r="H376" i="4"/>
  <c r="O481" i="4"/>
  <c r="H481" i="4"/>
  <c r="O444" i="4"/>
  <c r="H444" i="4"/>
  <c r="O282" i="4"/>
  <c r="H282" i="4"/>
  <c r="O383" i="4"/>
  <c r="H383" i="4"/>
  <c r="O473" i="4"/>
  <c r="H473" i="4"/>
  <c r="O747" i="4"/>
  <c r="H747" i="4"/>
  <c r="O745" i="4"/>
  <c r="H745" i="4"/>
  <c r="O451" i="4"/>
  <c r="H451" i="4"/>
  <c r="O207" i="4"/>
  <c r="H207" i="4"/>
  <c r="O479" i="4"/>
  <c r="H479" i="4"/>
  <c r="O437" i="4"/>
  <c r="H437" i="4"/>
  <c r="O461" i="4"/>
  <c r="H461" i="4"/>
  <c r="O710" i="4"/>
  <c r="H710" i="4"/>
  <c r="O665" i="4"/>
  <c r="H665" i="4"/>
  <c r="O512" i="4"/>
  <c r="H512" i="4"/>
  <c r="O653" i="4"/>
  <c r="H653" i="4"/>
  <c r="O790" i="4"/>
  <c r="H790" i="4"/>
  <c r="O836" i="4"/>
  <c r="H836" i="4"/>
  <c r="O553" i="4"/>
  <c r="H553" i="4"/>
  <c r="O667" i="4"/>
  <c r="H667" i="4"/>
  <c r="O262" i="4"/>
  <c r="H262" i="4"/>
  <c r="O813" i="4"/>
  <c r="H813" i="4"/>
  <c r="O21" i="4"/>
  <c r="H21" i="4"/>
  <c r="O305" i="4"/>
  <c r="H305" i="4"/>
  <c r="O673" i="4"/>
  <c r="H673" i="4"/>
  <c r="O382" i="4"/>
  <c r="H382" i="4"/>
  <c r="O239" i="4"/>
  <c r="H239" i="4"/>
  <c r="O537" i="4"/>
  <c r="H537" i="4"/>
  <c r="O474" i="4"/>
  <c r="H474" i="4"/>
  <c r="O472" i="4"/>
  <c r="H472" i="4"/>
  <c r="O529" i="4"/>
  <c r="H529" i="4"/>
  <c r="O659" i="4"/>
  <c r="H659" i="4"/>
  <c r="O606" i="4"/>
  <c r="H606" i="4"/>
  <c r="O501" i="4"/>
  <c r="H501" i="4"/>
  <c r="O487" i="4"/>
  <c r="H487" i="4"/>
  <c r="O225" i="4"/>
  <c r="H225" i="4"/>
  <c r="O355" i="4"/>
  <c r="H355" i="4"/>
  <c r="O257" i="4"/>
  <c r="H257" i="4"/>
  <c r="O480" i="4"/>
  <c r="H480" i="4"/>
  <c r="O318" i="4"/>
  <c r="H318" i="4"/>
  <c r="O394" i="4"/>
  <c r="H394" i="4"/>
  <c r="O528" i="4"/>
  <c r="H528" i="4"/>
  <c r="O744" i="4"/>
  <c r="H744" i="4"/>
  <c r="O716" i="4"/>
  <c r="H716" i="4"/>
  <c r="O863" i="4"/>
  <c r="H863" i="4"/>
  <c r="O764" i="4"/>
  <c r="H764" i="4"/>
  <c r="O494" i="4"/>
  <c r="H494" i="4"/>
  <c r="O361" i="4"/>
  <c r="H361" i="4"/>
  <c r="O497" i="4"/>
  <c r="H497" i="4"/>
  <c r="O438" i="4"/>
  <c r="H438" i="4"/>
  <c r="O448" i="4"/>
  <c r="H448" i="4"/>
  <c r="O367" i="4"/>
  <c r="H367" i="4"/>
  <c r="O39" i="4"/>
  <c r="H39" i="4"/>
  <c r="O758" i="4"/>
  <c r="H758" i="4"/>
  <c r="O525" i="4"/>
  <c r="H525" i="4"/>
  <c r="O432" i="4"/>
  <c r="H432" i="4"/>
  <c r="O521" i="4"/>
  <c r="H521" i="4"/>
  <c r="O729" i="4"/>
  <c r="H729" i="4"/>
  <c r="O333" i="4"/>
  <c r="H333" i="4"/>
  <c r="O768" i="4"/>
  <c r="H768" i="4"/>
  <c r="O209" i="4"/>
  <c r="H209" i="4"/>
  <c r="O834" i="4"/>
  <c r="H834" i="4"/>
  <c r="O595" i="4"/>
  <c r="H595" i="4"/>
  <c r="O743" i="4"/>
  <c r="H743" i="4"/>
  <c r="O777" i="4"/>
  <c r="H777" i="4"/>
  <c r="O90" i="4"/>
  <c r="H90" i="4"/>
  <c r="O327" i="4"/>
  <c r="H327" i="4"/>
  <c r="O471" i="4"/>
  <c r="H471" i="4"/>
  <c r="O619" i="4"/>
  <c r="H619" i="4"/>
  <c r="O854" i="4"/>
  <c r="H854" i="4"/>
  <c r="O862" i="4"/>
  <c r="H862" i="4"/>
  <c r="O424" i="4"/>
  <c r="H424" i="4"/>
  <c r="O840" i="4"/>
  <c r="H840" i="4"/>
  <c r="O867" i="4"/>
  <c r="H867" i="4"/>
  <c r="O838" i="4"/>
  <c r="H838" i="4"/>
  <c r="O329" i="4"/>
  <c r="H329" i="4"/>
  <c r="O293" i="4"/>
  <c r="H293" i="4"/>
  <c r="O575" i="4"/>
  <c r="H575" i="4"/>
  <c r="O314" i="4"/>
  <c r="H314" i="4"/>
  <c r="O492" i="4"/>
  <c r="H492" i="4"/>
  <c r="O354" i="4"/>
  <c r="H354" i="4"/>
  <c r="O542" i="4"/>
  <c r="H542" i="4"/>
  <c r="O381" i="4"/>
  <c r="H381" i="4"/>
  <c r="O403" i="4"/>
  <c r="H403" i="4"/>
  <c r="O446" i="4"/>
  <c r="H446" i="4"/>
  <c r="O111" i="4"/>
  <c r="H111" i="4"/>
  <c r="O696" i="4"/>
  <c r="H696" i="4"/>
  <c r="O505" i="4"/>
  <c r="H505" i="4"/>
  <c r="O870" i="4"/>
  <c r="H870" i="4"/>
  <c r="O563" i="4"/>
  <c r="H563" i="4"/>
  <c r="O478" i="4"/>
  <c r="H478" i="4"/>
  <c r="O373" i="4"/>
  <c r="H373" i="4"/>
  <c r="O386" i="4"/>
  <c r="H386" i="4"/>
  <c r="O846" i="4"/>
  <c r="H846" i="4"/>
  <c r="O805" i="4"/>
  <c r="H805" i="4"/>
  <c r="O415" i="4"/>
  <c r="H415" i="4"/>
  <c r="O309" i="4"/>
  <c r="H309" i="4"/>
  <c r="O666" i="4"/>
  <c r="H666" i="4"/>
  <c r="O277" i="4"/>
  <c r="H277" i="4"/>
  <c r="O602" i="4"/>
  <c r="H602" i="4"/>
  <c r="O701" i="4"/>
  <c r="H701" i="4"/>
  <c r="O574" i="4"/>
  <c r="H574" i="4"/>
  <c r="O178" i="4"/>
  <c r="H178" i="4"/>
  <c r="O379" i="4"/>
  <c r="H379" i="4"/>
  <c r="O343" i="4"/>
  <c r="H343" i="4"/>
  <c r="O340" i="4"/>
  <c r="H340" i="4"/>
  <c r="O261" i="4"/>
  <c r="H261" i="4"/>
  <c r="O202" i="4"/>
  <c r="H202" i="4"/>
  <c r="O594" i="4"/>
  <c r="H594" i="4"/>
  <c r="O371" i="4"/>
  <c r="H371" i="4"/>
  <c r="O216" i="4"/>
  <c r="H216" i="4"/>
  <c r="O83" i="4"/>
  <c r="H83" i="4"/>
  <c r="O272" i="4"/>
  <c r="H272" i="4"/>
  <c r="O657" i="4"/>
  <c r="H657" i="4"/>
  <c r="O292" i="4"/>
  <c r="H292" i="4"/>
  <c r="O493" i="4"/>
  <c r="H493" i="4"/>
  <c r="O789" i="4"/>
  <c r="H789" i="4"/>
  <c r="O549" i="4"/>
  <c r="H549" i="4"/>
  <c r="O246" i="4"/>
  <c r="H246" i="4"/>
  <c r="O682" i="4"/>
  <c r="H682" i="4"/>
  <c r="O750" i="4"/>
  <c r="H750" i="4"/>
  <c r="O238" i="4"/>
  <c r="H238" i="4"/>
  <c r="O369" i="4"/>
  <c r="H369" i="4"/>
  <c r="O510" i="4"/>
  <c r="H510" i="4"/>
  <c r="O245" i="4"/>
  <c r="H245" i="4"/>
  <c r="O236" i="4"/>
  <c r="H236" i="4"/>
  <c r="O714" i="4"/>
  <c r="H714" i="4"/>
  <c r="O290" i="4"/>
  <c r="H290" i="4"/>
  <c r="O396" i="4"/>
  <c r="H396" i="4"/>
  <c r="O144" i="4"/>
  <c r="H144" i="4"/>
  <c r="O664" i="4"/>
  <c r="H664" i="4"/>
  <c r="O460" i="4"/>
  <c r="H460" i="4"/>
  <c r="O42" i="4"/>
  <c r="H42" i="4"/>
  <c r="O816" i="4"/>
  <c r="H816" i="4"/>
  <c r="O215" i="4"/>
  <c r="H215" i="4"/>
  <c r="O728" i="4"/>
  <c r="H728" i="4"/>
  <c r="O762" i="4"/>
  <c r="H762" i="4"/>
  <c r="O352" i="4"/>
  <c r="H352" i="4"/>
  <c r="O18" i="4"/>
  <c r="H18" i="4"/>
  <c r="O59" i="4"/>
  <c r="H59" i="4"/>
  <c r="O380" i="4"/>
  <c r="H380" i="4"/>
  <c r="O589" i="4"/>
  <c r="H589" i="4"/>
  <c r="O662" i="4"/>
  <c r="H662" i="4"/>
  <c r="O500" i="4"/>
  <c r="H500" i="4"/>
  <c r="O459" i="4"/>
  <c r="H459" i="4"/>
  <c r="O283" i="4"/>
  <c r="H283" i="4"/>
  <c r="O183" i="4"/>
  <c r="H183" i="4"/>
  <c r="O95" i="4"/>
  <c r="H95" i="4"/>
  <c r="O62" i="4"/>
  <c r="H62" i="4"/>
  <c r="O241" i="4"/>
  <c r="H241" i="4"/>
  <c r="O248" i="4"/>
  <c r="H248" i="4"/>
  <c r="O154" i="4"/>
  <c r="H154" i="4"/>
  <c r="O218" i="4"/>
  <c r="H218" i="4"/>
  <c r="O442" i="4"/>
  <c r="H442" i="4"/>
  <c r="O536" i="4"/>
  <c r="H536" i="4"/>
  <c r="O254" i="4"/>
  <c r="H254" i="4"/>
  <c r="O226" i="4"/>
  <c r="H226" i="4"/>
  <c r="O214" i="4"/>
  <c r="H214" i="4"/>
  <c r="O220" i="4"/>
  <c r="H220" i="4"/>
  <c r="O344" i="4"/>
  <c r="H344" i="4"/>
  <c r="O441" i="4"/>
  <c r="H441" i="4"/>
  <c r="O410" i="4"/>
  <c r="H410" i="4"/>
  <c r="O462" i="4"/>
  <c r="H462" i="4"/>
  <c r="O143" i="4"/>
  <c r="H143" i="4"/>
  <c r="O532" i="4"/>
  <c r="H532" i="4"/>
  <c r="O496" i="4"/>
  <c r="H496" i="4"/>
  <c r="O757" i="4"/>
  <c r="H757" i="4"/>
  <c r="O878" i="4"/>
  <c r="H878" i="4"/>
  <c r="O129" i="4"/>
  <c r="H129" i="4"/>
  <c r="O876" i="4"/>
  <c r="H876" i="4"/>
  <c r="O573" i="4"/>
  <c r="H573" i="4"/>
  <c r="O852" i="4"/>
  <c r="H852" i="4"/>
  <c r="O285" i="4"/>
  <c r="H285" i="4"/>
  <c r="O56" i="4"/>
  <c r="H56" i="4"/>
  <c r="O851" i="4"/>
  <c r="H851" i="4"/>
  <c r="O624" i="4"/>
  <c r="H624" i="4"/>
  <c r="O638" i="4"/>
  <c r="H638" i="4"/>
  <c r="O41" i="4"/>
  <c r="H41" i="4"/>
  <c r="O739" i="4"/>
  <c r="H739" i="4"/>
  <c r="O546" i="4"/>
  <c r="H546" i="4"/>
  <c r="O302" i="4"/>
  <c r="H302" i="4"/>
  <c r="O348" i="4"/>
  <c r="H348" i="4"/>
  <c r="O576" i="4"/>
  <c r="H576" i="4"/>
  <c r="O572" i="4"/>
  <c r="H572" i="4"/>
  <c r="O514" i="4"/>
  <c r="H514" i="4"/>
  <c r="O249" i="4"/>
  <c r="H249" i="4"/>
  <c r="O27" i="4"/>
  <c r="H27" i="4"/>
  <c r="O617" i="4"/>
  <c r="H617" i="4"/>
  <c r="O256" i="4"/>
  <c r="H256" i="4"/>
  <c r="O267" i="4"/>
  <c r="H267" i="4"/>
  <c r="O107" i="4"/>
  <c r="H107" i="4"/>
  <c r="O217" i="4"/>
  <c r="H217" i="4"/>
  <c r="O197" i="4"/>
  <c r="H197" i="4"/>
  <c r="O733" i="4"/>
  <c r="H733" i="4"/>
  <c r="O128" i="4"/>
  <c r="H128" i="4"/>
  <c r="O849" i="4"/>
  <c r="H849" i="4"/>
  <c r="O557" i="4"/>
  <c r="H557" i="4"/>
  <c r="O861" i="4"/>
  <c r="H861" i="4"/>
  <c r="O772" i="4"/>
  <c r="H772" i="4"/>
  <c r="O541" i="4"/>
  <c r="H541" i="4"/>
  <c r="O121" i="4"/>
  <c r="H121" i="4"/>
  <c r="O457" i="4"/>
  <c r="H457" i="4"/>
  <c r="O288" i="4"/>
  <c r="H288" i="4"/>
  <c r="O299" i="4"/>
  <c r="H299" i="4"/>
  <c r="O94" i="4"/>
  <c r="H94" i="4"/>
  <c r="O22" i="4"/>
  <c r="H22" i="4"/>
  <c r="O73" i="4"/>
  <c r="H73" i="4"/>
  <c r="O7" i="4"/>
  <c r="H7" i="4"/>
  <c r="O68" i="4"/>
  <c r="H68" i="4"/>
  <c r="O255" i="4"/>
  <c r="H255" i="4"/>
  <c r="O507" i="4"/>
  <c r="H507" i="4"/>
  <c r="O232" i="4"/>
  <c r="H232" i="4"/>
  <c r="O398" i="4"/>
  <c r="H398" i="4"/>
  <c r="O392" i="4"/>
  <c r="H392" i="4"/>
  <c r="O581" i="4"/>
  <c r="H581" i="4"/>
  <c r="O304" i="4"/>
  <c r="H304" i="4"/>
  <c r="O616" i="4"/>
  <c r="H616" i="4"/>
  <c r="O640" i="4"/>
  <c r="H640" i="4"/>
  <c r="O468" i="4"/>
  <c r="H468" i="4"/>
  <c r="O663" i="4"/>
  <c r="H663" i="4"/>
  <c r="O407" i="4"/>
  <c r="H407" i="4"/>
  <c r="O455" i="4"/>
  <c r="H455" i="4"/>
  <c r="O332" i="4"/>
  <c r="H332" i="4"/>
  <c r="O297" i="4"/>
  <c r="H297" i="4"/>
  <c r="O483" i="4"/>
  <c r="H483" i="4"/>
  <c r="O273" i="4"/>
  <c r="H273" i="4"/>
  <c r="O187" i="4"/>
  <c r="H187" i="4"/>
  <c r="O810" i="4"/>
  <c r="H810" i="4"/>
  <c r="O190" i="4"/>
  <c r="H190" i="4"/>
  <c r="O440" i="4"/>
  <c r="H440" i="4"/>
  <c r="O519" i="4"/>
  <c r="H519" i="4"/>
  <c r="O566" i="4"/>
  <c r="H566" i="4"/>
  <c r="O308" i="4"/>
  <c r="H308" i="4"/>
  <c r="O843" i="4"/>
  <c r="H843" i="4"/>
  <c r="O100" i="4"/>
  <c r="H100" i="4"/>
  <c r="O598" i="4"/>
  <c r="H598" i="4"/>
  <c r="O724" i="4"/>
  <c r="H724" i="4"/>
  <c r="O808" i="4"/>
  <c r="H808" i="4"/>
  <c r="O219" i="4"/>
  <c r="H219" i="4"/>
  <c r="O450" i="4"/>
  <c r="H450" i="4"/>
  <c r="O431" i="4"/>
  <c r="H431" i="4"/>
  <c r="O709" i="4"/>
  <c r="H709" i="4"/>
  <c r="O715" i="4"/>
  <c r="H715" i="4"/>
  <c r="O509" i="4"/>
  <c r="H509" i="4"/>
  <c r="O760" i="4"/>
  <c r="H760" i="4"/>
  <c r="O160" i="4"/>
  <c r="H160" i="4"/>
  <c r="O409" i="4"/>
  <c r="H409" i="4"/>
  <c r="O99" i="4"/>
  <c r="H99" i="4"/>
  <c r="O5" i="4"/>
  <c r="H5" i="4"/>
  <c r="O260" i="4"/>
  <c r="H260" i="4"/>
  <c r="O484" i="4"/>
  <c r="H484" i="4"/>
  <c r="O347" i="4"/>
  <c r="H347" i="4"/>
  <c r="O516" i="4"/>
  <c r="H516" i="4"/>
  <c r="O114" i="4"/>
  <c r="H114" i="4"/>
  <c r="O34" i="4"/>
  <c r="H34" i="4"/>
  <c r="O284" i="4"/>
  <c r="H284" i="4"/>
  <c r="O206" i="4"/>
  <c r="H206" i="4"/>
  <c r="O36" i="4"/>
  <c r="H36" i="4"/>
  <c r="O330" i="4"/>
  <c r="H330" i="4"/>
  <c r="O186" i="4"/>
  <c r="H186" i="4"/>
  <c r="O17" i="4"/>
  <c r="H17" i="4"/>
  <c r="O29" i="4"/>
  <c r="H29" i="4"/>
  <c r="O4" i="4"/>
  <c r="H4" i="4"/>
  <c r="O869" i="4"/>
  <c r="H869" i="4"/>
  <c r="O6" i="4"/>
  <c r="H6" i="4"/>
  <c r="O98" i="4"/>
  <c r="H98" i="4"/>
  <c r="O171" i="4"/>
  <c r="H171" i="4"/>
  <c r="O801" i="4"/>
  <c r="H801" i="4"/>
  <c r="O106" i="4"/>
  <c r="H106" i="4"/>
  <c r="O235" i="4"/>
  <c r="H235" i="4"/>
  <c r="O265" i="4"/>
  <c r="H265" i="4"/>
  <c r="O756" i="4"/>
  <c r="H756" i="4"/>
  <c r="O785" i="4"/>
  <c r="H785" i="4"/>
  <c r="O552" i="4"/>
  <c r="H552" i="4"/>
  <c r="O618" i="4"/>
  <c r="H618" i="4"/>
  <c r="O224" i="4"/>
  <c r="H224" i="4"/>
  <c r="O58" i="4"/>
  <c r="H58" i="4"/>
  <c r="O259" i="4"/>
  <c r="H259" i="4"/>
  <c r="O360" i="4"/>
  <c r="H360" i="4"/>
  <c r="O317" i="4"/>
  <c r="H317" i="4"/>
  <c r="O153" i="4"/>
  <c r="H153" i="4"/>
  <c r="O132" i="4"/>
  <c r="H132" i="4"/>
  <c r="O421" i="4"/>
  <c r="H421" i="4"/>
  <c r="O12" i="4"/>
  <c r="H12" i="4"/>
  <c r="O119" i="4"/>
  <c r="H119" i="4"/>
  <c r="O586" i="4"/>
  <c r="H586" i="4"/>
  <c r="O615" i="4"/>
  <c r="H615" i="4"/>
  <c r="O391" i="4"/>
  <c r="H391" i="4"/>
  <c r="O393" i="4"/>
  <c r="H393" i="4"/>
  <c r="O342" i="4"/>
  <c r="H342" i="4"/>
  <c r="O545" i="4"/>
  <c r="H545" i="4"/>
  <c r="O511" i="4"/>
  <c r="H511" i="4"/>
  <c r="O721" i="4"/>
  <c r="H721" i="4"/>
  <c r="O477" i="4"/>
  <c r="H477" i="4"/>
  <c r="O605" i="4"/>
  <c r="H605" i="4"/>
  <c r="O110" i="4"/>
  <c r="H110" i="4"/>
  <c r="O755" i="4"/>
  <c r="H755" i="4"/>
  <c r="O669" i="4"/>
  <c r="H669" i="4"/>
  <c r="O539" i="4"/>
  <c r="H539" i="4"/>
  <c r="O719" i="4"/>
  <c r="H719" i="4"/>
  <c r="O788" i="4"/>
  <c r="H788" i="4"/>
  <c r="O548" i="4"/>
  <c r="H548" i="4"/>
  <c r="O737" i="4"/>
  <c r="H737" i="4"/>
  <c r="O564" i="4"/>
  <c r="H564" i="4"/>
  <c r="O559" i="4"/>
  <c r="H559" i="4"/>
  <c r="O592" i="4"/>
  <c r="H592" i="4"/>
  <c r="O681" i="4"/>
  <c r="H681" i="4"/>
  <c r="O695" i="4"/>
  <c r="H695" i="4"/>
  <c r="O558" i="4"/>
  <c r="H558" i="4"/>
  <c r="O583" i="4"/>
  <c r="H583" i="4"/>
  <c r="O547" i="4"/>
  <c r="H547" i="4"/>
  <c r="O234" i="4"/>
  <c r="H234" i="4"/>
  <c r="O656" i="4"/>
  <c r="H656" i="4"/>
  <c r="O611" i="4"/>
  <c r="H611" i="4"/>
  <c r="O584" i="4"/>
  <c r="H584" i="4"/>
  <c r="O604" i="4"/>
  <c r="H604" i="4"/>
  <c r="O544" i="4"/>
  <c r="H544" i="4"/>
  <c r="O508" i="4"/>
  <c r="H508" i="4"/>
  <c r="O585" i="4"/>
  <c r="H585" i="4"/>
  <c r="O652" i="4"/>
  <c r="H652" i="4"/>
  <c r="O612" i="4"/>
  <c r="H612" i="4"/>
  <c r="O635" i="4"/>
  <c r="H635" i="4"/>
  <c r="O580" i="4"/>
  <c r="H580" i="4"/>
  <c r="O503" i="4"/>
  <c r="H503" i="4"/>
  <c r="O23" i="4"/>
  <c r="H23" i="4"/>
  <c r="O271" i="4"/>
  <c r="H271" i="4"/>
  <c r="O597" i="4"/>
  <c r="H597" i="4"/>
  <c r="O464" i="4"/>
  <c r="H464" i="4"/>
  <c r="O105" i="4"/>
  <c r="H105" i="4"/>
  <c r="O82" i="4"/>
  <c r="H82" i="4"/>
  <c r="O159" i="4"/>
  <c r="H159" i="4"/>
  <c r="O258" i="4"/>
  <c r="H258" i="4"/>
  <c r="O515" i="4"/>
  <c r="H515" i="4"/>
  <c r="O19" i="4"/>
  <c r="H19" i="4"/>
  <c r="O844" i="4"/>
  <c r="H844" i="4"/>
  <c r="O655" i="4"/>
  <c r="H655" i="4"/>
  <c r="O358" i="4"/>
  <c r="H358" i="4"/>
  <c r="O568" i="4"/>
  <c r="H568" i="4"/>
  <c r="O115" i="4"/>
  <c r="H115" i="4"/>
  <c r="O551" i="4"/>
  <c r="H551" i="4"/>
  <c r="O417" i="4"/>
  <c r="H417" i="4"/>
  <c r="O124" i="4"/>
  <c r="H124" i="4"/>
  <c r="O152" i="4"/>
  <c r="H152" i="4"/>
  <c r="O491" i="4"/>
  <c r="H491" i="4"/>
  <c r="O336" i="4"/>
  <c r="H336" i="4"/>
  <c r="O101" i="4"/>
  <c r="H101" i="4"/>
  <c r="O244" i="4"/>
  <c r="H244" i="4"/>
  <c r="O123" i="4"/>
  <c r="H123" i="4"/>
  <c r="O467" i="4"/>
  <c r="H467" i="4"/>
  <c r="O201" i="4"/>
  <c r="H201" i="4"/>
  <c r="O52" i="4"/>
  <c r="H52" i="4"/>
  <c r="O166" i="4"/>
  <c r="H166" i="4"/>
  <c r="O35" i="4"/>
  <c r="H35" i="4"/>
  <c r="O3" i="4"/>
  <c r="H3" i="4"/>
  <c r="O10" i="4"/>
  <c r="H10" i="4"/>
  <c r="O223" i="4"/>
  <c r="H223" i="4"/>
  <c r="O196" i="4"/>
  <c r="H196" i="4"/>
  <c r="O765" i="4"/>
  <c r="H765" i="4"/>
  <c r="O109" i="4"/>
  <c r="H109" i="4"/>
  <c r="O334" i="4"/>
  <c r="H334" i="4"/>
  <c r="O253" i="4"/>
  <c r="H253" i="4"/>
  <c r="O518" i="4"/>
  <c r="H518" i="4"/>
  <c r="O506" i="4"/>
  <c r="H506" i="4"/>
  <c r="O96" i="4"/>
  <c r="H96" i="4"/>
  <c r="O670" i="4"/>
  <c r="H670" i="4"/>
  <c r="O678" i="4"/>
  <c r="H678" i="4"/>
  <c r="O698" i="4"/>
  <c r="H698" i="4"/>
  <c r="O384" i="4"/>
  <c r="H384" i="4"/>
  <c r="O517" i="4"/>
  <c r="H517" i="4"/>
  <c r="O118" i="4"/>
  <c r="H118" i="4"/>
  <c r="O402" i="4"/>
  <c r="H402" i="4"/>
  <c r="O454" i="4"/>
  <c r="H454" i="4"/>
  <c r="O727" i="4"/>
  <c r="H727" i="4"/>
  <c r="O134" i="4"/>
  <c r="H134" i="4"/>
  <c r="O112" i="4"/>
  <c r="H112" i="4"/>
  <c r="O346" i="4"/>
  <c r="H346" i="4"/>
  <c r="O860" i="4"/>
  <c r="H860" i="4"/>
  <c r="O683" i="4"/>
  <c r="H683" i="4"/>
  <c r="O192" i="4"/>
  <c r="H192" i="4"/>
  <c r="O732" i="4"/>
  <c r="H732" i="4"/>
  <c r="O818" i="4"/>
  <c r="H818" i="4"/>
  <c r="O837" i="4"/>
  <c r="H837" i="4"/>
  <c r="O161" i="4"/>
  <c r="H161" i="4"/>
  <c r="O275" i="4"/>
  <c r="H275" i="4"/>
  <c r="O430" i="4"/>
  <c r="H430" i="4"/>
  <c r="O300" i="4"/>
  <c r="H300" i="4"/>
  <c r="O423" i="4"/>
  <c r="H423" i="4"/>
  <c r="O286" i="4"/>
  <c r="H286" i="4"/>
  <c r="O363" i="4"/>
  <c r="H363" i="4"/>
  <c r="O177" i="4"/>
  <c r="H177" i="4"/>
  <c r="O447" i="4"/>
  <c r="H447" i="4"/>
  <c r="O195" i="4"/>
  <c r="H195" i="4"/>
  <c r="O449" i="4"/>
  <c r="H449" i="4"/>
  <c r="O313" i="4"/>
  <c r="H313" i="4"/>
  <c r="O399" i="4"/>
  <c r="H399" i="4"/>
  <c r="O865" i="4"/>
  <c r="H865" i="4"/>
  <c r="O842" i="4"/>
  <c r="H842" i="4"/>
  <c r="O180" i="4"/>
  <c r="H180" i="4"/>
  <c r="O331" i="4"/>
  <c r="H331" i="4"/>
  <c r="O368" i="4"/>
  <c r="H368" i="4"/>
  <c r="O390" i="4"/>
  <c r="H390" i="4"/>
  <c r="O524" i="4"/>
  <c r="H524" i="4"/>
  <c r="O435" i="4"/>
  <c r="H435" i="4"/>
  <c r="O291" i="4"/>
  <c r="H291" i="4"/>
  <c r="O556" i="4"/>
  <c r="H556" i="4"/>
  <c r="O596" i="4"/>
  <c r="H596" i="4"/>
  <c r="O213" i="4"/>
  <c r="H213" i="4"/>
  <c r="O395" i="4"/>
  <c r="H395" i="4"/>
  <c r="O609" i="4"/>
  <c r="H609" i="4"/>
  <c r="O610" i="4"/>
  <c r="H610" i="4"/>
  <c r="O853" i="4"/>
  <c r="H853" i="4"/>
  <c r="O841" i="4"/>
  <c r="H841" i="4"/>
  <c r="O625" i="4"/>
  <c r="H625" i="4"/>
  <c r="O350" i="4"/>
  <c r="H350" i="4"/>
  <c r="O823" i="4"/>
  <c r="H823" i="4"/>
  <c r="O540" i="4"/>
  <c r="H540" i="4"/>
  <c r="O189" i="4"/>
  <c r="H189" i="4"/>
  <c r="O498" i="4"/>
  <c r="H498" i="4"/>
  <c r="O603" i="4"/>
  <c r="H603" i="4"/>
  <c r="O848" i="4"/>
  <c r="H848" i="4"/>
  <c r="O827" i="4"/>
  <c r="H827" i="4"/>
  <c r="O117" i="4"/>
  <c r="H117" i="4"/>
  <c r="O137" i="4"/>
  <c r="H137" i="4"/>
  <c r="O377" i="4"/>
  <c r="H377" i="4"/>
  <c r="O375" i="4"/>
  <c r="H375" i="4"/>
  <c r="O499" i="4"/>
  <c r="H499" i="4"/>
  <c r="O628" i="4"/>
  <c r="H628" i="4"/>
  <c r="O555" i="4"/>
  <c r="H555" i="4"/>
  <c r="O550" i="4"/>
  <c r="H550" i="4"/>
  <c r="O718" i="4"/>
  <c r="H718" i="4"/>
  <c r="O741" i="4"/>
  <c r="H741" i="4"/>
  <c r="O535" i="4"/>
  <c r="H535" i="4"/>
  <c r="O176" i="4"/>
  <c r="H176" i="4"/>
  <c r="O135" i="4"/>
  <c r="H135" i="4"/>
  <c r="O731" i="4"/>
  <c r="H731" i="4"/>
  <c r="O773" i="4"/>
  <c r="H773" i="4"/>
  <c r="O607" i="4"/>
  <c r="H607" i="4"/>
  <c r="O645" i="4"/>
  <c r="H645" i="4"/>
  <c r="O280" i="4"/>
  <c r="H280" i="4"/>
  <c r="O341" i="4"/>
  <c r="H341" i="4"/>
  <c r="O60" i="4"/>
  <c r="H60" i="4"/>
  <c r="O520" i="4"/>
  <c r="H520" i="4"/>
  <c r="O388" i="4"/>
  <c r="H388" i="4"/>
  <c r="O533" i="4"/>
  <c r="H533" i="4"/>
  <c r="O704" i="4"/>
  <c r="H704" i="4"/>
  <c r="O15" i="4"/>
  <c r="H15" i="4"/>
  <c r="O872" i="4"/>
  <c r="H872" i="4"/>
  <c r="O866" i="4"/>
  <c r="H866" i="4"/>
  <c r="O835" i="4"/>
  <c r="H835" i="4"/>
  <c r="O145" i="4"/>
  <c r="H145" i="4"/>
  <c r="O307" i="4"/>
  <c r="H307" i="4"/>
  <c r="O212" i="4"/>
  <c r="H212" i="4"/>
  <c r="O754" i="4"/>
  <c r="H754" i="4"/>
  <c r="O89" i="4"/>
  <c r="H89" i="4"/>
  <c r="O445" i="4"/>
  <c r="H445" i="4"/>
  <c r="O316" i="4"/>
  <c r="H316" i="4"/>
  <c r="O688" i="4"/>
  <c r="H688" i="4"/>
  <c r="O38" i="4"/>
  <c r="H38" i="4"/>
  <c r="O769" i="4"/>
  <c r="H769" i="4"/>
  <c r="O588" i="4"/>
  <c r="H588" i="4"/>
  <c r="O453" i="4"/>
  <c r="H453" i="4"/>
  <c r="O92" i="4"/>
  <c r="H92" i="4"/>
  <c r="O32" i="4"/>
  <c r="H32" i="4"/>
  <c r="O136" i="4"/>
  <c r="H136" i="4"/>
  <c r="O142" i="4"/>
  <c r="H142" i="4"/>
  <c r="O700" i="4"/>
  <c r="H700" i="4"/>
  <c r="O326" i="4"/>
  <c r="H326" i="4"/>
  <c r="O366" i="4"/>
  <c r="H366" i="4"/>
  <c r="O315" i="4"/>
  <c r="H315" i="4"/>
  <c r="O37" i="4"/>
  <c r="H37" i="4"/>
  <c r="O14" i="4"/>
  <c r="H14" i="4"/>
  <c r="O296" i="4"/>
  <c r="H296" i="4"/>
  <c r="O25" i="4"/>
  <c r="H25" i="4"/>
  <c r="O858" i="4"/>
  <c r="H858" i="4"/>
  <c r="O116" i="4"/>
  <c r="H116" i="4"/>
  <c r="O692" i="4"/>
  <c r="H692" i="4"/>
  <c r="O466" i="4"/>
  <c r="H466" i="4"/>
  <c r="O560" i="4"/>
  <c r="H560" i="4"/>
  <c r="O847" i="4"/>
  <c r="H847" i="4"/>
  <c r="O629" i="4"/>
  <c r="H629" i="4"/>
  <c r="O55" i="4"/>
  <c r="H55" i="4"/>
  <c r="O783" i="4"/>
  <c r="H783" i="4"/>
  <c r="O649" i="4"/>
  <c r="H649" i="4"/>
  <c r="O820" i="4"/>
  <c r="H820" i="4"/>
  <c r="O636" i="4"/>
  <c r="H636" i="4"/>
  <c r="O24" i="4"/>
  <c r="H24" i="4"/>
  <c r="O671" i="4"/>
  <c r="H671" i="4"/>
  <c r="O57" i="4"/>
  <c r="H57" i="4"/>
  <c r="O72" i="4"/>
  <c r="H72" i="4"/>
  <c r="O476" i="4"/>
  <c r="H476" i="4"/>
  <c r="O632" i="4"/>
  <c r="H632" i="4"/>
  <c r="O303" i="4"/>
  <c r="H303" i="4"/>
  <c r="O826" i="4"/>
  <c r="H826" i="4"/>
  <c r="O63" i="4"/>
  <c r="H63" i="4"/>
  <c r="O833" i="4"/>
  <c r="H833" i="4"/>
  <c r="O419" i="4"/>
  <c r="H419" i="4"/>
  <c r="O51" i="4"/>
  <c r="H51" i="4"/>
  <c r="O44" i="4"/>
  <c r="H44" i="4"/>
  <c r="O643" i="4"/>
  <c r="H643" i="4"/>
  <c r="O276" i="4"/>
  <c r="H276" i="4"/>
  <c r="O67" i="4"/>
  <c r="H67" i="4"/>
  <c r="O77" i="4"/>
  <c r="H77" i="4"/>
  <c r="O80" i="4"/>
  <c r="H80" i="4"/>
  <c r="O48" i="4"/>
  <c r="H48" i="4"/>
  <c r="O433" i="4"/>
  <c r="H433" i="4"/>
  <c r="O75" i="4"/>
  <c r="H75" i="4"/>
  <c r="O87" i="4"/>
  <c r="H87" i="4"/>
  <c r="O691" i="4"/>
  <c r="H691" i="4"/>
  <c r="O103" i="4"/>
  <c r="H103" i="4"/>
  <c r="O270" i="4"/>
  <c r="H270" i="4"/>
  <c r="O138" i="4"/>
  <c r="H138" i="4"/>
  <c r="O127" i="4"/>
  <c r="H127" i="4"/>
  <c r="O165" i="4"/>
  <c r="H165" i="4"/>
  <c r="O685" i="4"/>
  <c r="H685" i="4"/>
  <c r="O443" i="4"/>
  <c r="H443" i="4"/>
  <c r="O181" i="4"/>
  <c r="H181" i="4"/>
  <c r="O131" i="4"/>
  <c r="H131" i="4"/>
  <c r="O222" i="4"/>
  <c r="H222" i="4"/>
  <c r="O141" i="4"/>
  <c r="H141" i="4"/>
  <c r="O608" i="4"/>
  <c r="H608" i="4"/>
  <c r="O864" i="4"/>
  <c r="H864" i="4"/>
  <c r="O151" i="4"/>
  <c r="H151" i="4"/>
  <c r="O294" i="4"/>
  <c r="H294" i="4"/>
  <c r="O227" i="4"/>
  <c r="H227" i="4"/>
  <c r="O613" i="4"/>
  <c r="H613" i="4"/>
  <c r="O711" i="4"/>
  <c r="H711" i="4"/>
  <c r="O712" i="4"/>
  <c r="H712" i="4"/>
  <c r="O66" i="4"/>
  <c r="H66" i="4"/>
  <c r="O806" i="4"/>
  <c r="H806" i="4"/>
  <c r="O97" i="4"/>
  <c r="H97" i="4"/>
  <c r="O793" i="4"/>
  <c r="H793" i="4"/>
  <c r="O26" i="4"/>
  <c r="H26" i="4"/>
  <c r="O54" i="4"/>
  <c r="H54" i="4"/>
  <c r="O71" i="4"/>
  <c r="H71" i="4"/>
  <c r="O102" i="4"/>
  <c r="H102" i="4"/>
  <c r="O374" i="4"/>
  <c r="H374" i="4"/>
  <c r="O855" i="4"/>
  <c r="H855" i="4"/>
  <c r="O787" i="4"/>
  <c r="H787" i="4"/>
  <c r="O108" i="4"/>
  <c r="H108" i="4"/>
  <c r="O634" i="4"/>
  <c r="H634" i="4"/>
  <c r="O726" i="4"/>
  <c r="H726" i="4"/>
  <c r="O74" i="4"/>
  <c r="H74" i="4"/>
  <c r="O43" i="4"/>
  <c r="H43" i="4"/>
  <c r="O46" i="4"/>
  <c r="H46" i="4"/>
  <c r="O328" i="4"/>
  <c r="H328" i="4"/>
  <c r="O221" i="4"/>
  <c r="H221" i="4"/>
  <c r="O531" i="4"/>
  <c r="H531" i="4"/>
  <c r="O644" i="4"/>
  <c r="H644" i="4"/>
  <c r="O587" i="4"/>
  <c r="H587" i="4"/>
  <c r="O720" i="4"/>
  <c r="H720" i="4"/>
  <c r="O802" i="4"/>
  <c r="H802" i="4"/>
  <c r="O81" i="4"/>
  <c r="H81" i="4"/>
  <c r="O9" i="4"/>
  <c r="H9" i="4"/>
  <c r="O809" i="4"/>
  <c r="H809" i="4"/>
  <c r="O8" i="4"/>
  <c r="H8" i="4"/>
  <c r="O401" i="4"/>
  <c r="H401" i="4"/>
  <c r="O708" i="4"/>
  <c r="H708" i="4"/>
  <c r="O725" i="4"/>
  <c r="H725" i="4"/>
  <c r="O84" i="4"/>
  <c r="H84" i="4"/>
  <c r="O61" i="4"/>
  <c r="H61" i="4"/>
  <c r="O91" i="4"/>
  <c r="H91" i="4"/>
  <c r="O168" i="4"/>
  <c r="H168" i="4"/>
  <c r="O16" i="4"/>
  <c r="H16" i="4"/>
  <c r="O126" i="4"/>
  <c r="H126" i="4"/>
  <c r="O164" i="4"/>
  <c r="H164" i="4"/>
  <c r="O231" i="4"/>
  <c r="H231" i="4"/>
  <c r="O157" i="4"/>
  <c r="H157" i="4"/>
  <c r="O125" i="4"/>
  <c r="H125" i="4"/>
  <c r="O139" i="4"/>
  <c r="H139" i="4"/>
  <c r="O184" i="4"/>
  <c r="H184" i="4"/>
  <c r="O179" i="4"/>
  <c r="H179" i="4"/>
  <c r="O250" i="4"/>
  <c r="H250" i="4"/>
  <c r="O65" i="4"/>
  <c r="H65" i="4"/>
  <c r="O717" i="4"/>
  <c r="H717" i="4"/>
  <c r="O797" i="4"/>
  <c r="H797" i="4"/>
  <c r="O871" i="4"/>
  <c r="H871" i="4"/>
  <c r="O47" i="4"/>
  <c r="H47" i="4"/>
  <c r="O675" i="4"/>
  <c r="H675" i="4"/>
  <c r="O570" i="4"/>
  <c r="H570" i="4"/>
  <c r="O779" i="4"/>
  <c r="H779" i="4"/>
  <c r="O251" i="4"/>
  <c r="H251" i="4"/>
  <c r="O623" i="4"/>
  <c r="H623" i="4"/>
  <c r="O832" i="4"/>
  <c r="H832" i="4"/>
  <c r="O149" i="4"/>
  <c r="H149" i="4"/>
  <c r="O795" i="4"/>
  <c r="H795" i="4"/>
  <c r="O784" i="4"/>
  <c r="H784" i="4"/>
  <c r="O796" i="4"/>
  <c r="H796" i="4"/>
  <c r="O677" i="4"/>
  <c r="H677" i="4"/>
  <c r="O648" i="4"/>
  <c r="H648" i="4"/>
  <c r="O641" i="4"/>
  <c r="H641" i="4"/>
  <c r="O194" i="4"/>
  <c r="H194" i="4"/>
  <c r="O850" i="4"/>
  <c r="H850" i="4"/>
  <c r="O11" i="4"/>
  <c r="H11" i="4"/>
  <c r="O679" i="4"/>
  <c r="H679" i="4"/>
  <c r="O113" i="4"/>
  <c r="H113" i="4"/>
  <c r="O722" i="4"/>
  <c r="H722" i="4"/>
  <c r="O567" i="4"/>
  <c r="H567" i="4"/>
  <c r="O767" i="4"/>
  <c r="H767" i="4"/>
  <c r="O746" i="4"/>
  <c r="H746" i="4"/>
  <c r="O786" i="4"/>
  <c r="H786" i="4"/>
  <c r="O646" i="4"/>
  <c r="H646" i="4"/>
  <c r="O175" i="4"/>
  <c r="H175" i="4"/>
  <c r="O312" i="4"/>
  <c r="H312" i="4"/>
  <c r="O651" i="4"/>
  <c r="H651" i="4"/>
  <c r="O31" i="4"/>
  <c r="H31" i="4"/>
  <c r="O49" i="4"/>
  <c r="H49" i="4"/>
  <c r="O278" i="4"/>
  <c r="H278" i="4"/>
  <c r="O873" i="4"/>
  <c r="H873" i="4"/>
  <c r="O799" i="4"/>
  <c r="H799" i="4"/>
  <c r="O822" i="4"/>
  <c r="H822" i="4"/>
  <c r="O650" i="4"/>
  <c r="H650" i="4"/>
  <c r="O668" i="4"/>
  <c r="H668" i="4"/>
  <c r="O458" i="4"/>
  <c r="H458" i="4"/>
  <c r="O122" i="4"/>
  <c r="H122" i="4"/>
  <c r="O753" i="4"/>
  <c r="H753" i="4"/>
  <c r="O771" i="4"/>
  <c r="H771" i="4"/>
  <c r="O345" i="4"/>
  <c r="H345" i="4"/>
  <c r="O526" i="4"/>
  <c r="H526" i="4"/>
  <c r="O162" i="4"/>
  <c r="H162" i="4"/>
  <c r="O859" i="4"/>
  <c r="H859" i="4"/>
  <c r="O148" i="4"/>
  <c r="H148" i="4"/>
  <c r="O200" i="4"/>
  <c r="H200" i="4"/>
  <c r="O689" i="4"/>
  <c r="H689" i="4"/>
  <c r="O140" i="4"/>
  <c r="H140" i="4"/>
  <c r="O830" i="4"/>
  <c r="H830" i="4"/>
  <c r="O845" i="4"/>
  <c r="H845" i="4"/>
  <c r="O289" i="4"/>
  <c r="H289" i="4"/>
  <c r="O660" i="4"/>
  <c r="H660" i="4"/>
  <c r="O868" i="4"/>
  <c r="H868" i="4"/>
  <c r="O856" i="4"/>
  <c r="H856" i="4"/>
  <c r="O730" i="4"/>
  <c r="H730" i="4"/>
  <c r="O642" i="4"/>
  <c r="H642" i="4"/>
  <c r="H365" i="4"/>
  <c r="O281" i="4"/>
  <c r="H281" i="4"/>
  <c r="O800" i="4"/>
  <c r="H800" i="4"/>
  <c r="O736" i="4"/>
  <c r="H736" i="4"/>
  <c r="O579" i="4"/>
  <c r="H579" i="4"/>
  <c r="O411" i="4"/>
  <c r="H411" i="4"/>
  <c r="O439" i="4"/>
  <c r="H439" i="4"/>
  <c r="O538" i="4"/>
  <c r="H538" i="4"/>
  <c r="O230" i="4"/>
  <c r="H230" i="4"/>
  <c r="O420" i="4"/>
  <c r="H420" i="4"/>
  <c r="O170" i="4"/>
  <c r="H170" i="4"/>
  <c r="O269" i="4"/>
  <c r="H269" i="4"/>
  <c r="O104" i="4"/>
  <c r="H104" i="4"/>
  <c r="O86" i="4"/>
  <c r="H86" i="4"/>
  <c r="O502" i="4"/>
  <c r="H502" i="4"/>
  <c r="O172" i="4"/>
  <c r="H172" i="4"/>
  <c r="O791" i="4"/>
  <c r="H791" i="4"/>
  <c r="O766" i="4"/>
  <c r="H766" i="4"/>
  <c r="O387" i="4"/>
  <c r="H387" i="4"/>
  <c r="O243" i="4"/>
  <c r="H243" i="4"/>
  <c r="O740" i="4"/>
  <c r="H740" i="4"/>
  <c r="O776" i="4"/>
  <c r="H776" i="4"/>
  <c r="O562" i="4"/>
  <c r="H562" i="4"/>
  <c r="O831" i="4"/>
  <c r="H831" i="4"/>
  <c r="O147" i="4"/>
  <c r="H147" i="4"/>
  <c r="O193" i="4"/>
  <c r="H193" i="4"/>
  <c r="O749" i="4"/>
  <c r="H749" i="4"/>
  <c r="O626" i="4"/>
  <c r="H626" i="4"/>
  <c r="O814" i="4"/>
  <c r="H814" i="4"/>
  <c r="O64" i="4"/>
  <c r="H64" i="4"/>
  <c r="O828" i="4"/>
  <c r="H828" i="4"/>
  <c r="O211" i="4"/>
  <c r="H211" i="4"/>
  <c r="O600" i="4"/>
  <c r="H600" i="4"/>
  <c r="O311" i="4"/>
  <c r="H311" i="4"/>
  <c r="O824" i="4"/>
  <c r="H824" i="4"/>
  <c r="O427" i="4"/>
  <c r="H427" i="4"/>
  <c r="O370" i="4"/>
  <c r="H370" i="4"/>
  <c r="O169" i="4"/>
  <c r="H169" i="4"/>
  <c r="O482" i="4"/>
  <c r="H482" i="4"/>
  <c r="O436" i="4"/>
  <c r="H436" i="4"/>
  <c r="O33" i="4"/>
  <c r="H33" i="4"/>
  <c r="O763" i="4"/>
  <c r="H763" i="4"/>
  <c r="O85" i="4"/>
  <c r="H85" i="4"/>
  <c r="O76" i="4"/>
  <c r="H76" i="4"/>
  <c r="O452" i="4"/>
  <c r="H452" i="4"/>
  <c r="O242" i="4"/>
  <c r="H242" i="4"/>
  <c r="O188" i="4"/>
  <c r="H188" i="4"/>
  <c r="O426" i="4"/>
  <c r="H426" i="4"/>
  <c r="O28" i="4"/>
  <c r="H28" i="4"/>
  <c r="O205" i="4"/>
  <c r="H205" i="4"/>
  <c r="O150" i="4"/>
  <c r="H150" i="4"/>
  <c r="O50" i="4"/>
  <c r="H50" i="4"/>
  <c r="O569" i="4"/>
  <c r="H569" i="4"/>
  <c r="O752" i="4"/>
  <c r="H752" i="4"/>
  <c r="O621" i="4"/>
  <c r="H621" i="4"/>
  <c r="O812" i="4"/>
  <c r="H812" i="4"/>
  <c r="O389" i="4"/>
  <c r="H389" i="4"/>
  <c r="O742" i="4"/>
  <c r="H742" i="4"/>
  <c r="O676" i="4"/>
  <c r="H676" i="4"/>
  <c r="O631" i="4"/>
  <c r="H631" i="4"/>
  <c r="O353" i="4"/>
  <c r="H353" i="4"/>
  <c r="O422" i="4"/>
  <c r="H422" i="4"/>
  <c r="O782" i="4"/>
  <c r="H782" i="4"/>
  <c r="O156" i="4"/>
  <c r="H156" i="4"/>
  <c r="O45" i="4"/>
  <c r="H45" i="4"/>
  <c r="O88" i="4"/>
  <c r="H88" i="4"/>
  <c r="O268" i="4"/>
  <c r="H268" i="4"/>
  <c r="O185" i="4"/>
  <c r="H185" i="4"/>
  <c r="O287" i="4"/>
  <c r="H287" i="4"/>
  <c r="O182" i="4"/>
  <c r="H182" i="4"/>
  <c r="O325" i="4"/>
  <c r="H325" i="4"/>
  <c r="O817" i="4"/>
  <c r="H817" i="4"/>
  <c r="O875" i="4"/>
  <c r="H875" i="4"/>
  <c r="O803" i="4"/>
  <c r="H803" i="4"/>
  <c r="O413" i="4"/>
  <c r="H413" i="4"/>
  <c r="O208" i="4"/>
  <c r="H208" i="4"/>
  <c r="O163" i="4"/>
  <c r="H163" i="4"/>
  <c r="O199" i="4"/>
  <c r="H199" i="4"/>
  <c r="O173" i="4"/>
  <c r="H173" i="4"/>
  <c r="O839" i="4"/>
  <c r="H839" i="4"/>
  <c r="O577" i="4"/>
  <c r="H577" i="4"/>
  <c r="O690" i="4"/>
  <c r="H690" i="4"/>
  <c r="O70" i="4"/>
  <c r="O204" i="4"/>
  <c r="H204" i="4"/>
  <c r="O210" i="4"/>
  <c r="H210" i="4"/>
  <c r="O475" i="4"/>
  <c r="H475" i="4"/>
  <c r="O416" i="4"/>
  <c r="H416" i="4"/>
  <c r="O429" i="4"/>
  <c r="H429" i="4"/>
  <c r="O738" i="4"/>
  <c r="H738" i="4"/>
  <c r="O630" i="4"/>
  <c r="H630" i="4"/>
  <c r="O825" i="4"/>
  <c r="H825" i="4"/>
  <c r="O406" i="4"/>
  <c r="H406" i="4"/>
  <c r="O815" i="4"/>
  <c r="H815" i="4"/>
  <c r="O20" i="4"/>
  <c r="H20" i="4"/>
  <c r="O30" i="4"/>
  <c r="H30" i="4"/>
  <c r="O53" i="4"/>
  <c r="H53" i="4"/>
  <c r="O133" i="4"/>
  <c r="H133" i="4"/>
  <c r="O69" i="4"/>
  <c r="H69" i="4"/>
  <c r="O174" i="4"/>
  <c r="H174" i="4"/>
  <c r="O237" i="4"/>
  <c r="H237" i="4"/>
  <c r="O408" i="4"/>
  <c r="H408" i="4"/>
  <c r="O463" i="4"/>
  <c r="H463" i="4"/>
  <c r="O593" i="4"/>
  <c r="H593" i="4"/>
  <c r="O530" i="4"/>
  <c r="H530" i="4"/>
  <c r="O306" i="4"/>
  <c r="H306" i="4"/>
  <c r="O723" i="4"/>
  <c r="H723" i="4"/>
  <c r="O488" i="4"/>
  <c r="H488" i="4"/>
  <c r="O661" i="4"/>
  <c r="H661" i="4"/>
  <c r="O13" i="4"/>
  <c r="H13" i="4"/>
  <c r="O697" i="4"/>
  <c r="H697" i="4"/>
  <c r="O748" i="4"/>
  <c r="H748" i="4"/>
  <c r="O578" i="4"/>
  <c r="H578" i="4"/>
  <c r="O674" i="4"/>
  <c r="H674" i="4"/>
  <c r="O699" i="4"/>
  <c r="H699" i="4"/>
  <c r="O654" i="4"/>
  <c r="H654" i="4"/>
  <c r="O339" i="4"/>
  <c r="H339" i="4"/>
  <c r="O751" i="4"/>
  <c r="H751" i="4"/>
  <c r="O582" i="4"/>
  <c r="H582" i="4"/>
  <c r="O191" i="4"/>
  <c r="H191" i="4"/>
  <c r="O130" i="4"/>
  <c r="H130" i="4"/>
  <c r="O93" i="4"/>
  <c r="H93" i="4"/>
  <c r="O359" i="4"/>
  <c r="H359" i="4"/>
  <c r="O775" i="4"/>
  <c r="H775" i="4"/>
  <c r="O693" i="4"/>
  <c r="H693" i="4"/>
  <c r="O428" i="4"/>
  <c r="H428" i="4"/>
  <c r="O781" i="4"/>
  <c r="H781" i="4"/>
  <c r="O335" i="4"/>
  <c r="H335" i="4"/>
  <c r="O877" i="4"/>
  <c r="H877" i="4"/>
  <c r="O807" i="4"/>
  <c r="H807" i="4"/>
  <c r="O702" i="4"/>
  <c r="H702" i="4"/>
  <c r="O599" i="4"/>
  <c r="H599" i="4"/>
  <c r="O527" i="4"/>
  <c r="H527" i="4"/>
  <c r="O658" i="4"/>
  <c r="H658" i="4"/>
  <c r="O804" i="4"/>
  <c r="H804" i="4"/>
  <c r="O637" i="4"/>
  <c r="H637" i="4"/>
  <c r="O198" i="4"/>
  <c r="H198" i="4"/>
  <c r="O233" i="4"/>
  <c r="H233" i="4"/>
  <c r="O40" i="4"/>
  <c r="H40" i="4"/>
  <c r="O301" i="4"/>
  <c r="H301" i="4"/>
  <c r="O759" i="4"/>
  <c r="H759" i="4"/>
  <c r="O672" i="4"/>
  <c r="H672" i="4"/>
  <c r="O680" i="4"/>
  <c r="H680" i="4"/>
  <c r="O310" i="4"/>
  <c r="H310" i="4"/>
  <c r="O425" i="4"/>
  <c r="H425" i="4"/>
  <c r="O534" i="4"/>
  <c r="H534" i="4"/>
  <c r="O778" i="4"/>
  <c r="H778" i="4"/>
  <c r="O794" i="4"/>
  <c r="H794" i="4"/>
  <c r="O821" i="4"/>
  <c r="H821" i="4"/>
  <c r="O486" i="4"/>
  <c r="H486" i="4"/>
  <c r="O614" i="4"/>
  <c r="H614" i="4"/>
  <c r="AB3" i="4" a="1"/>
  <c r="AA3" i="4" a="1"/>
  <c r="AB3" i="4" l="1"/>
  <c r="AA3" i="4"/>
  <c r="T199" i="1" l="1"/>
  <c r="W199" i="1" s="1"/>
  <c r="T195" i="1"/>
  <c r="W195" i="1" s="1"/>
  <c r="T192" i="1"/>
  <c r="W192" i="1" s="1"/>
  <c r="T190" i="1"/>
  <c r="W190" i="1" s="1"/>
  <c r="T188" i="1"/>
  <c r="W188" i="1" s="1"/>
  <c r="T186" i="1"/>
  <c r="W186" i="1" s="1"/>
  <c r="T185" i="1"/>
  <c r="W185" i="1" s="1"/>
  <c r="T182" i="1"/>
  <c r="W182" i="1" s="1"/>
  <c r="T180" i="1"/>
  <c r="W180" i="1" s="1"/>
  <c r="T181" i="1"/>
  <c r="W181" i="1" s="1"/>
  <c r="T179" i="1"/>
  <c r="W179" i="1" s="1"/>
  <c r="T178" i="1"/>
  <c r="W178" i="1" s="1"/>
  <c r="T175" i="1"/>
  <c r="W175" i="1" s="1"/>
  <c r="T174" i="1"/>
  <c r="W174" i="1" s="1"/>
  <c r="T172" i="1"/>
  <c r="W172" i="1" s="1"/>
  <c r="T170" i="1"/>
  <c r="W170" i="1" s="1"/>
  <c r="T169" i="1"/>
  <c r="W169" i="1" s="1"/>
  <c r="W168" i="1"/>
  <c r="T163" i="1"/>
  <c r="W163" i="1" s="1"/>
  <c r="T162" i="1"/>
  <c r="W162" i="1" s="1"/>
  <c r="T160" i="1"/>
  <c r="W160" i="1" s="1"/>
  <c r="T156" i="1"/>
  <c r="W156" i="1" s="1"/>
  <c r="T157" i="1"/>
  <c r="W157" i="1" s="1"/>
  <c r="T155" i="1"/>
  <c r="W155" i="1" s="1"/>
  <c r="T154" i="1"/>
  <c r="W154" i="1" s="1"/>
  <c r="T153" i="1"/>
  <c r="W153" i="1" s="1"/>
  <c r="T152" i="1"/>
  <c r="W152" i="1" s="1"/>
  <c r="T149" i="1"/>
  <c r="W149" i="1" s="1"/>
  <c r="T145" i="1"/>
  <c r="W145" i="1" s="1"/>
  <c r="W143" i="1"/>
  <c r="T135" i="1"/>
  <c r="W135" i="1" s="1"/>
  <c r="T134" i="1"/>
  <c r="W134" i="1" s="1"/>
  <c r="W132" i="1"/>
  <c r="T133" i="1"/>
  <c r="W133" i="1" s="1"/>
  <c r="W124" i="1"/>
  <c r="W125" i="1"/>
  <c r="T122" i="1"/>
  <c r="W122" i="1" s="1"/>
  <c r="T37" i="1"/>
  <c r="T38" i="1"/>
  <c r="W38" i="1" s="1"/>
  <c r="T17" i="1"/>
  <c r="W17" i="1" s="1"/>
  <c r="T119" i="1"/>
  <c r="W119" i="1" s="1"/>
  <c r="W126" i="1"/>
  <c r="W109" i="1"/>
  <c r="T115" i="1"/>
  <c r="W115" i="1" s="1"/>
  <c r="W101" i="1"/>
  <c r="W114" i="1"/>
  <c r="T111" i="1"/>
  <c r="W111" i="1" s="1"/>
  <c r="T110" i="1"/>
  <c r="W110" i="1" s="1"/>
  <c r="W108" i="1"/>
  <c r="Y4" i="1" a="1"/>
  <c r="Y4" i="1" l="1"/>
  <c r="Z4" i="1"/>
  <c r="AJ10" i="7" l="1"/>
  <c r="AG33" i="7" l="1"/>
  <c r="AL8" i="7" a="1"/>
  <c r="AL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ndorn1</author>
  </authors>
  <commentList>
    <comment ref="K2" authorId="0" shapeId="0" xr:uid="{3724F7B1-194B-4303-AF57-41E2F28C8165}">
      <text>
        <r>
          <rPr>
            <b/>
            <sz val="10"/>
            <color indexed="81"/>
            <rFont val="Tahoma"/>
            <family val="2"/>
          </rPr>
          <t>ndorn1:</t>
        </r>
        <r>
          <rPr>
            <sz val="10"/>
            <color indexed="81"/>
            <rFont val="Tahoma"/>
            <family val="2"/>
          </rPr>
          <t xml:space="preserve">
smallest measure of independent variable</t>
        </r>
      </text>
    </comment>
    <comment ref="L2" authorId="0" shapeId="0" xr:uid="{97079506-2601-4AAD-B552-7378BBDF072B}">
      <text>
        <r>
          <rPr>
            <b/>
            <sz val="10"/>
            <color indexed="81"/>
            <rFont val="Tahoma"/>
            <family val="2"/>
          </rPr>
          <t>ndorn1:</t>
        </r>
        <r>
          <rPr>
            <sz val="10"/>
            <color indexed="81"/>
            <rFont val="Tahoma"/>
            <family val="2"/>
          </rPr>
          <t xml:space="preserve">
highest measure of the independent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ndorn1</author>
  </authors>
  <commentList>
    <comment ref="AX1" authorId="0" shapeId="0" xr:uid="{B512888D-36CD-4055-A150-F6251904B3E3}">
      <text>
        <r>
          <rPr>
            <b/>
            <sz val="10"/>
            <color indexed="81"/>
            <rFont val="Tahoma"/>
            <family val="2"/>
          </rPr>
          <t>ndorn1:</t>
        </r>
        <r>
          <rPr>
            <sz val="10"/>
            <color indexed="81"/>
            <rFont val="Tahoma"/>
            <family val="2"/>
          </rPr>
          <t xml:space="preserve">
smallest measure of independent variable</t>
        </r>
      </text>
    </comment>
    <comment ref="AY1" authorId="0" shapeId="0" xr:uid="{306BA4F3-7ED6-4AF9-B883-054ACE83E459}">
      <text>
        <r>
          <rPr>
            <b/>
            <sz val="10"/>
            <color indexed="81"/>
            <rFont val="Tahoma"/>
            <family val="2"/>
          </rPr>
          <t>ndorn1:</t>
        </r>
        <r>
          <rPr>
            <sz val="10"/>
            <color indexed="81"/>
            <rFont val="Tahoma"/>
            <family val="2"/>
          </rPr>
          <t xml:space="preserve">
highest measure of the independent variable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<sst xmlns="http://schemas.openxmlformats.org/spreadsheetml/2006/main" count="15173" uniqueCount="1298">
  <si>
    <t>ID</t>
  </si>
  <si>
    <t>Region</t>
  </si>
  <si>
    <t>Site</t>
  </si>
  <si>
    <t>Year</t>
  </si>
  <si>
    <t>Month</t>
  </si>
  <si>
    <t>Day</t>
  </si>
  <si>
    <t>Mass.x</t>
  </si>
  <si>
    <t>TL</t>
  </si>
  <si>
    <t>size_class</t>
  </si>
  <si>
    <t>Diet_Item</t>
  </si>
  <si>
    <t>Count</t>
  </si>
  <si>
    <t>Mass.y</t>
  </si>
  <si>
    <t>Comments.y</t>
  </si>
  <si>
    <t>X_Variable (mm)</t>
  </si>
  <si>
    <t>X_variable_type</t>
  </si>
  <si>
    <t>transform</t>
  </si>
  <si>
    <t>slope</t>
  </si>
  <si>
    <t>intercept</t>
  </si>
  <si>
    <t>CL (mm)</t>
  </si>
  <si>
    <t>MA-011-DA</t>
  </si>
  <si>
    <t>SRS</t>
  </si>
  <si>
    <t>.</t>
  </si>
  <si>
    <t>d</t>
  </si>
  <si>
    <t>PROSPP</t>
  </si>
  <si>
    <t>TW=2.82</t>
  </si>
  <si>
    <t>MA-020-DA</t>
  </si>
  <si>
    <t>c</t>
  </si>
  <si>
    <t>MA-023-DA</t>
  </si>
  <si>
    <t>NA</t>
  </si>
  <si>
    <t>MA-101-DA</t>
  </si>
  <si>
    <t>WCA</t>
  </si>
  <si>
    <t>b</t>
  </si>
  <si>
    <t>TW,RL=NA</t>
  </si>
  <si>
    <t>MA-120-DA</t>
  </si>
  <si>
    <t>TW=4.37</t>
  </si>
  <si>
    <t>MA-122-DA</t>
  </si>
  <si>
    <t>CLAW=6.80</t>
  </si>
  <si>
    <t>MA-316-DA</t>
  </si>
  <si>
    <t>3B-7A</t>
  </si>
  <si>
    <t>RL=6.09, 5.82 TW=3.22, 3.45</t>
  </si>
  <si>
    <t>MA-334-DA</t>
  </si>
  <si>
    <t>TSL</t>
  </si>
  <si>
    <t>TSB</t>
  </si>
  <si>
    <t>RL=NA, TW=NA</t>
  </si>
  <si>
    <t>MA-381-DA</t>
  </si>
  <si>
    <t>PHD</t>
  </si>
  <si>
    <t>A62A</t>
  </si>
  <si>
    <t>TW=2.13</t>
  </si>
  <si>
    <t>MA-403-DA</t>
  </si>
  <si>
    <t>TSA</t>
  </si>
  <si>
    <t>MA-405-DA</t>
  </si>
  <si>
    <t>DPM</t>
  </si>
  <si>
    <t>CA6-Z</t>
  </si>
  <si>
    <t>TL=3.50, RL=4.89</t>
  </si>
  <si>
    <t>MA-411-DA</t>
  </si>
  <si>
    <t>8C</t>
  </si>
  <si>
    <t>RW=0.36</t>
  </si>
  <si>
    <t>MA-417-DA</t>
  </si>
  <si>
    <t>2B</t>
  </si>
  <si>
    <t>Chela=3.74</t>
  </si>
  <si>
    <t>MA-420-DA</t>
  </si>
  <si>
    <t>4A</t>
  </si>
  <si>
    <t>Chela=6.27</t>
  </si>
  <si>
    <t>MA-421-DA</t>
  </si>
  <si>
    <t>7C</t>
  </si>
  <si>
    <t>Chela=2.62, RW= 0.58</t>
  </si>
  <si>
    <t>MA-434-DA</t>
  </si>
  <si>
    <t>2A</t>
  </si>
  <si>
    <t>RW=0.49, TW=1.11</t>
  </si>
  <si>
    <t>MA-445-DA</t>
  </si>
  <si>
    <t>37C</t>
  </si>
  <si>
    <t>RL=0.95, TW=1.91</t>
  </si>
  <si>
    <t>MA-447-DA</t>
  </si>
  <si>
    <t>37B</t>
  </si>
  <si>
    <t>Chela = 2.92</t>
  </si>
  <si>
    <t>MA-450-DA</t>
  </si>
  <si>
    <t>1B</t>
  </si>
  <si>
    <t>Carapace L = 3.69, Chela:1.49</t>
  </si>
  <si>
    <t>MA-455-DA</t>
  </si>
  <si>
    <t>TW=1.44</t>
  </si>
  <si>
    <t>MA-456-DA</t>
  </si>
  <si>
    <t>TL=1.55mm , Chela = 3.15</t>
  </si>
  <si>
    <t>MA-457-DA</t>
  </si>
  <si>
    <t>2C</t>
  </si>
  <si>
    <t>TW=1.69, RL=2.63</t>
  </si>
  <si>
    <t>MA-112-DA</t>
  </si>
  <si>
    <t xml:space="preserve">PROFAL </t>
  </si>
  <si>
    <t>RL=5.62, FEMALE</t>
  </si>
  <si>
    <t>MA-114-DA</t>
  </si>
  <si>
    <t>TW=1.53, FEMALE</t>
  </si>
  <si>
    <t>MA-143-DA</t>
  </si>
  <si>
    <t>T5</t>
  </si>
  <si>
    <t>TW,RL=NA, FEMALE</t>
  </si>
  <si>
    <t>MA-439-DA</t>
  </si>
  <si>
    <t>1A</t>
  </si>
  <si>
    <t>(MALE) Carapace L= 12.07</t>
  </si>
  <si>
    <t>SD</t>
  </si>
  <si>
    <t>MA-542-DA</t>
  </si>
  <si>
    <t>MA-604-DA</t>
  </si>
  <si>
    <t>MA-606-DA</t>
  </si>
  <si>
    <t>MA-640-DA</t>
  </si>
  <si>
    <t>MA-647-DA</t>
  </si>
  <si>
    <t>MA-649-DA</t>
  </si>
  <si>
    <t>MA-689-DA</t>
  </si>
  <si>
    <t>MA-460-DA</t>
  </si>
  <si>
    <t>MA-467-DA</t>
  </si>
  <si>
    <t>MA-468-DA</t>
  </si>
  <si>
    <t>MA-476-DA</t>
  </si>
  <si>
    <t>MA-477-DA</t>
  </si>
  <si>
    <t>MA-481-DA</t>
  </si>
  <si>
    <t>MA-484-DA</t>
  </si>
  <si>
    <t>MA-486-DA</t>
  </si>
  <si>
    <t>MA-488-DA</t>
  </si>
  <si>
    <t>MA-490-DA</t>
  </si>
  <si>
    <t>MA-504-DA</t>
  </si>
  <si>
    <t>MA-509-DA</t>
  </si>
  <si>
    <t>MA-515-DA</t>
  </si>
  <si>
    <t>MA-529-DA</t>
  </si>
  <si>
    <t>MA-530-DA</t>
  </si>
  <si>
    <t>MA-538-DA</t>
  </si>
  <si>
    <t>MA-540-DA</t>
  </si>
  <si>
    <t>MA-541-DA</t>
  </si>
  <si>
    <t>MA-543-DA</t>
  </si>
  <si>
    <t>MA-548-DA</t>
  </si>
  <si>
    <t>MA-549-DA</t>
  </si>
  <si>
    <t>MA-551-DA</t>
  </si>
  <si>
    <t>MA-552-DA</t>
  </si>
  <si>
    <t>MA-555-DA</t>
  </si>
  <si>
    <t>MA-568-DA</t>
  </si>
  <si>
    <t>MA-573-DA</t>
  </si>
  <si>
    <t>MA-588-DA</t>
  </si>
  <si>
    <t>MA-589-DA</t>
  </si>
  <si>
    <t>MA-602-DA</t>
  </si>
  <si>
    <t>MA-611-DA</t>
  </si>
  <si>
    <t>MA-613-DA</t>
  </si>
  <si>
    <t>MA-616-DA</t>
  </si>
  <si>
    <t>MA-619-DA</t>
  </si>
  <si>
    <t>MA-628-DA</t>
  </si>
  <si>
    <t>MA-631-DA</t>
  </si>
  <si>
    <t>MA-632-DA</t>
  </si>
  <si>
    <t>MA-639-DA</t>
  </si>
  <si>
    <t>MA-642-DA</t>
  </si>
  <si>
    <t>MA-645-DA</t>
  </si>
  <si>
    <t>MA-646-DA</t>
  </si>
  <si>
    <t>MA-648-DA</t>
  </si>
  <si>
    <t>MA-650-DA</t>
  </si>
  <si>
    <t>MA-651-DA</t>
  </si>
  <si>
    <t>MA-655-DA</t>
  </si>
  <si>
    <t>MA-656-DA</t>
  </si>
  <si>
    <t>MA-659-DA</t>
  </si>
  <si>
    <t>MA-660-DA</t>
  </si>
  <si>
    <t>MA-661-DA</t>
  </si>
  <si>
    <t>MA-662-DA</t>
  </si>
  <si>
    <t>MA-665-DA</t>
  </si>
  <si>
    <t>MA-667-DA</t>
  </si>
  <si>
    <t>MA-677-DA</t>
  </si>
  <si>
    <t>MA-679-DA</t>
  </si>
  <si>
    <t>MA-684-DA</t>
  </si>
  <si>
    <t>MA-688-DA</t>
  </si>
  <si>
    <t>MA-692-DA</t>
  </si>
  <si>
    <t>Eel_Count</t>
  </si>
  <si>
    <t>Telson width = 2.70 mm</t>
  </si>
  <si>
    <t>Carapace L = 5.20 mm</t>
  </si>
  <si>
    <t>Chela Length = 9.76 mm</t>
  </si>
  <si>
    <t>Chela Length = 7.96 mm</t>
  </si>
  <si>
    <t>Carapace Length = 3.51 mm</t>
  </si>
  <si>
    <t>Chela Length = 8.46 mm</t>
  </si>
  <si>
    <t>Rostrum Width = 2.17 mm, 2.49 mm</t>
  </si>
  <si>
    <t>Telson Width = 1.44 mm</t>
  </si>
  <si>
    <t xml:space="preserve">Carapace Length = 8.40 mm </t>
  </si>
  <si>
    <t>Rostrum Width = 0.72 mm</t>
  </si>
  <si>
    <t>Chela Length = 4.31 mm</t>
  </si>
  <si>
    <t>Rostrum Width = 1.72 mm</t>
  </si>
  <si>
    <t>Chela Length = 6.10 mm</t>
  </si>
  <si>
    <t>Rostrum Width = 1.93 mm</t>
  </si>
  <si>
    <t>Rostrum Width = 2.09 mm, 1.43 mm; Telson Width = 3.28 mm</t>
  </si>
  <si>
    <t>Carapace Length = 12.05 mm, 12.94 mm</t>
  </si>
  <si>
    <t>Telson Width = 2.68 mm</t>
  </si>
  <si>
    <t>Carapace Length = 22.31 mm(FEMALE)</t>
  </si>
  <si>
    <t>Chela Length = 7.95 mm</t>
  </si>
  <si>
    <t>Rostrum Width = 1.80 mm; Chela Length = 15.11 mm</t>
  </si>
  <si>
    <t>Rostrum Width = 1.42 mm</t>
  </si>
  <si>
    <t>Chela Length = 3.23 mm</t>
  </si>
  <si>
    <t>Carapace Length = 12.92 mm</t>
  </si>
  <si>
    <t>Telson Width = 2.36 mm</t>
  </si>
  <si>
    <t>Chela Length = 6.97 mm</t>
  </si>
  <si>
    <t>Carapace Length = 11.15 mm</t>
  </si>
  <si>
    <t>1)Telson Width = 2.26 mm, 2) Chela Length = 9.07 mm</t>
  </si>
  <si>
    <t>Chela Length = 3.48 mm</t>
  </si>
  <si>
    <t>Carapace Length = 9.71 mm; Rostrum Width = 0.82 mm</t>
  </si>
  <si>
    <t>1) Rostrum Width = 1.59 mm; 2) Telson Width = 1.76 mm</t>
  </si>
  <si>
    <t>Telson Width = 3.92 mm; Rostrum Width = 1.68 mm</t>
  </si>
  <si>
    <t>Chela Length = 5.94 mm</t>
  </si>
  <si>
    <t>Chela Length = 5.46 mm</t>
  </si>
  <si>
    <t>Carapace Length = 5.28 mm</t>
  </si>
  <si>
    <t>Rostrum Width = 1.67 mm</t>
  </si>
  <si>
    <t>Carapace Length = 19.59 mm</t>
  </si>
  <si>
    <t>Telson Width = 3.45 mm</t>
  </si>
  <si>
    <t>Chela Length = 8.76 mm</t>
  </si>
  <si>
    <t xml:space="preserve">Carapace Length = 11.45 mm </t>
  </si>
  <si>
    <t>Rostrum Width = 1.09 mm</t>
  </si>
  <si>
    <t>Rostrum Width = 1.36 mm</t>
  </si>
  <si>
    <t>Rostrum Width = 2.28 mm</t>
  </si>
  <si>
    <t>Chela Length = 5.04 mm</t>
  </si>
  <si>
    <t>Chela Length = 2.90 mm</t>
  </si>
  <si>
    <t>Carapace Length = 5.49 mm</t>
  </si>
  <si>
    <t>Telson Width = 2.36 mm (FEMALE)</t>
  </si>
  <si>
    <t>Rostrum Width = 0.98 mm</t>
  </si>
  <si>
    <t>Rostrum Width = 0.82 mm; Chela Length =7.79 mm</t>
  </si>
  <si>
    <t>Telson Width = 2.89 mm</t>
  </si>
  <si>
    <t>Carapace Length = 11.95 mm</t>
  </si>
  <si>
    <t>Telson Width</t>
  </si>
  <si>
    <t>Chela Length</t>
  </si>
  <si>
    <t xml:space="preserve">Telson Width </t>
  </si>
  <si>
    <t xml:space="preserve">Rostrum Width </t>
  </si>
  <si>
    <t>Rostrum Width</t>
  </si>
  <si>
    <t>Carapace</t>
  </si>
  <si>
    <t>Carapace Length</t>
  </si>
  <si>
    <t>Rostrum</t>
  </si>
  <si>
    <t>Telson</t>
  </si>
  <si>
    <t>Chela</t>
  </si>
  <si>
    <t>Carapace Length = 13.44 mm</t>
  </si>
  <si>
    <t xml:space="preserve">Chela Length </t>
  </si>
  <si>
    <t>Mean</t>
  </si>
  <si>
    <t>SE</t>
  </si>
  <si>
    <t>WCA 3A</t>
  </si>
  <si>
    <t>WCA 3B</t>
  </si>
  <si>
    <t>4B</t>
  </si>
  <si>
    <t>7B</t>
  </si>
  <si>
    <t>10C</t>
  </si>
  <si>
    <t>17C</t>
  </si>
  <si>
    <t>8B</t>
  </si>
  <si>
    <t>23A</t>
  </si>
  <si>
    <t>37A</t>
  </si>
  <si>
    <t>6C</t>
  </si>
  <si>
    <t>5A</t>
  </si>
  <si>
    <t>EF62C</t>
  </si>
  <si>
    <t>3A</t>
  </si>
  <si>
    <t>EF59D</t>
  </si>
  <si>
    <t>MA-701-DA</t>
  </si>
  <si>
    <t>MA-704-DA</t>
  </si>
  <si>
    <t>MA-705-DA</t>
  </si>
  <si>
    <t>MA-708-DA</t>
  </si>
  <si>
    <t>MA-709-DA</t>
  </si>
  <si>
    <t>MA-721-DA</t>
  </si>
  <si>
    <t>MA-723-DA</t>
  </si>
  <si>
    <t>MA-730-DA</t>
  </si>
  <si>
    <t>MA-731-DA</t>
  </si>
  <si>
    <t>MA-732-DA</t>
  </si>
  <si>
    <t>MA-733-DA</t>
  </si>
  <si>
    <t>MA-734-DA</t>
  </si>
  <si>
    <t>MA-736-DA</t>
  </si>
  <si>
    <t>MA-737-DA</t>
  </si>
  <si>
    <t>MA-740-DA</t>
  </si>
  <si>
    <t>MA-741-DA</t>
  </si>
  <si>
    <t>MA-743-DA</t>
  </si>
  <si>
    <t>MA-744-DA</t>
  </si>
  <si>
    <t>MA-745-DA</t>
  </si>
  <si>
    <t>MA-746-DA</t>
  </si>
  <si>
    <t>MA-747-DA</t>
  </si>
  <si>
    <t>MA-748-DA</t>
  </si>
  <si>
    <t>MA-749-DA</t>
  </si>
  <si>
    <t>MA-750-DA</t>
  </si>
  <si>
    <t>MA-752-DA</t>
  </si>
  <si>
    <t>MA-753-DA</t>
  </si>
  <si>
    <t>MA-754-DA</t>
  </si>
  <si>
    <t>MA-755-DA</t>
  </si>
  <si>
    <t>MA-756-DA</t>
  </si>
  <si>
    <t>MA-758-DA</t>
  </si>
  <si>
    <t>MA-761-DA</t>
  </si>
  <si>
    <t>MA-766-DA</t>
  </si>
  <si>
    <t>MA-770-DA</t>
  </si>
  <si>
    <t>MA-771-DA</t>
  </si>
  <si>
    <t>MA-772-DA</t>
  </si>
  <si>
    <t>MA-773-DA</t>
  </si>
  <si>
    <t>MA-774-DA</t>
  </si>
  <si>
    <t>MA-775-DA</t>
  </si>
  <si>
    <t>MA-777-DA</t>
  </si>
  <si>
    <t>MA-778-DA</t>
  </si>
  <si>
    <t>MA-779-DA</t>
  </si>
  <si>
    <t>MA-784-DA</t>
  </si>
  <si>
    <t>MA-785-DA</t>
  </si>
  <si>
    <t>MA-787-DA</t>
  </si>
  <si>
    <t>MA-792-DA</t>
  </si>
  <si>
    <t>MA-793-DA</t>
  </si>
  <si>
    <t>MA-794-DA</t>
  </si>
  <si>
    <t>MA-795-DA</t>
  </si>
  <si>
    <t>MA-796-DA</t>
  </si>
  <si>
    <t>MA-798-DA</t>
  </si>
  <si>
    <t>MA-799-DA</t>
  </si>
  <si>
    <t>MA-800-DA</t>
  </si>
  <si>
    <t>MA-802-DA</t>
  </si>
  <si>
    <t>MA-803-DA</t>
  </si>
  <si>
    <t>MA-806-DA</t>
  </si>
  <si>
    <t>MA-807-DA</t>
  </si>
  <si>
    <t>MA-808-DA</t>
  </si>
  <si>
    <t>MA-809-DA</t>
  </si>
  <si>
    <t>MA-811-DA</t>
  </si>
  <si>
    <t>MA-812-DA</t>
  </si>
  <si>
    <t>MA-813-DA</t>
  </si>
  <si>
    <t>MA-814-DA</t>
  </si>
  <si>
    <t>MA-818-DA</t>
  </si>
  <si>
    <t>MA-820-DA</t>
  </si>
  <si>
    <t>MA-821-DA</t>
  </si>
  <si>
    <t>MA-822-DA</t>
  </si>
  <si>
    <t>MA-823-DA</t>
  </si>
  <si>
    <t>MA-824-DA</t>
  </si>
  <si>
    <t>MA-825-DA</t>
  </si>
  <si>
    <t>MA-826-DA</t>
  </si>
  <si>
    <t>MA-829-DA</t>
  </si>
  <si>
    <t>MA-830-DA</t>
  </si>
  <si>
    <t>MA-831-DA</t>
  </si>
  <si>
    <t>MA-855-DA</t>
  </si>
  <si>
    <t>MA-858-DA</t>
  </si>
  <si>
    <t>MA-859-DA</t>
  </si>
  <si>
    <t>MA-860-DA</t>
  </si>
  <si>
    <t>MA-862-DA</t>
  </si>
  <si>
    <t>A62</t>
  </si>
  <si>
    <t>TS</t>
  </si>
  <si>
    <t>Common name</t>
  </si>
  <si>
    <t>Species</t>
  </si>
  <si>
    <t>from</t>
  </si>
  <si>
    <t>to</t>
  </si>
  <si>
    <r>
      <t>R</t>
    </r>
    <r>
      <rPr>
        <b/>
        <vertAlign val="superscript"/>
        <sz val="10"/>
        <rFont val="Arial"/>
        <family val="2"/>
      </rPr>
      <t>2</t>
    </r>
  </si>
  <si>
    <t xml:space="preserve">N </t>
  </si>
  <si>
    <t>low ind</t>
  </si>
  <si>
    <t>high ind</t>
  </si>
  <si>
    <t>low CL</t>
  </si>
  <si>
    <t>high CL</t>
  </si>
  <si>
    <t>Procambarus fallax</t>
  </si>
  <si>
    <t>Slough crayfish</t>
  </si>
  <si>
    <t>profal</t>
  </si>
  <si>
    <t>LN_rostrumwidth(mm)</t>
  </si>
  <si>
    <t>CL(mm)</t>
  </si>
  <si>
    <t>*unchanged from last year*</t>
  </si>
  <si>
    <t>LOG chela length (mm)</t>
  </si>
  <si>
    <t>LOG CL (mm)</t>
  </si>
  <si>
    <t>*have*</t>
  </si>
  <si>
    <t>log carapace length (mm)</t>
  </si>
  <si>
    <t>log dry weight (grams)</t>
  </si>
  <si>
    <t>*new parameters for 2008</t>
  </si>
  <si>
    <t>Procambarus alleni</t>
  </si>
  <si>
    <t>Everglades crayfish</t>
  </si>
  <si>
    <t>proall</t>
    <phoneticPr fontId="3" type="noConversion"/>
  </si>
  <si>
    <t>LN rostrum width (mm)</t>
  </si>
  <si>
    <t>LN carapace length (mm)</t>
  </si>
  <si>
    <t>0.74 mm</t>
  </si>
  <si>
    <t>Carapace L = 9.62 mm</t>
  </si>
  <si>
    <t>Telson width = 3.29 mm</t>
  </si>
  <si>
    <t>Carapace L = 4.46 mm</t>
  </si>
  <si>
    <t>Carapace L = 10.25 mm</t>
  </si>
  <si>
    <t>Carapace L = 16.42 mm</t>
  </si>
  <si>
    <t>Carapace L = 10.83 mm</t>
  </si>
  <si>
    <t>Rostrum Width = 1.27 mm</t>
  </si>
  <si>
    <t>Carapace L = 18.97 mm</t>
  </si>
  <si>
    <t>Carapace L = 11.79 mm</t>
  </si>
  <si>
    <t>Telson Width = 3.66 mm</t>
  </si>
  <si>
    <t>Chela L = 8.41 mm</t>
  </si>
  <si>
    <t>Rostrum Width = 0.53 mm</t>
  </si>
  <si>
    <t>Carapace L = 6.56 mm</t>
  </si>
  <si>
    <t>Telson Width = 3.64 mm</t>
  </si>
  <si>
    <t>Rostrum Width = 1.20 mm</t>
  </si>
  <si>
    <t>Telson Width = 1.98 mm</t>
  </si>
  <si>
    <t>Rostrum Width = 1.49 mm</t>
  </si>
  <si>
    <t>Teslon Width = 1.40 mm</t>
  </si>
  <si>
    <t>Carapace L = 11.40 mm</t>
  </si>
  <si>
    <t>Carapace L = 9.54 mm</t>
  </si>
  <si>
    <t>Rostrum Width = 0.77 mm</t>
  </si>
  <si>
    <t>Telson Width = 2.63 mm</t>
  </si>
  <si>
    <t>Telson Width = 2.95 mm</t>
  </si>
  <si>
    <t>Carapace L = 9.93 mm</t>
  </si>
  <si>
    <t>Carapace L = 9.94 mm</t>
  </si>
  <si>
    <t>Carapace L= 9.10 mm</t>
  </si>
  <si>
    <t>Telson Width = 4.08 mm</t>
  </si>
  <si>
    <t>Rostrum Width = 1.29 mm</t>
  </si>
  <si>
    <t>Rostrum Width = 0.83 mm</t>
  </si>
  <si>
    <t>Rostrum Width = 0.87 mm</t>
  </si>
  <si>
    <t>Rostrum Width = 0.86 mm</t>
  </si>
  <si>
    <t>Rostrum Width = 0.92 mm</t>
  </si>
  <si>
    <t>Carapace L = 8.75 mm</t>
  </si>
  <si>
    <t>Carapace L = 10.91 mm</t>
  </si>
  <si>
    <t>Carapace L = 15.09 mm</t>
  </si>
  <si>
    <t>Telson Width = 1.77 mm</t>
  </si>
  <si>
    <t>Rostrum Width = 0.76 mm</t>
  </si>
  <si>
    <t>Rostrum Width = 0.93 mm</t>
  </si>
  <si>
    <t>Carapace L = 9.72 mm</t>
  </si>
  <si>
    <t>Rostrum Width = 0.85 mm</t>
  </si>
  <si>
    <t>Rostrum Width = 0.91 mm</t>
  </si>
  <si>
    <t>Carapace L = 8.15 mm</t>
  </si>
  <si>
    <t>Rostrum Width = 1.02 mm</t>
  </si>
  <si>
    <t>Rostrum Width = 1.12 mm</t>
  </si>
  <si>
    <t>Chela L = 6.59 mm</t>
  </si>
  <si>
    <t>Carapace L =2.94 mm</t>
  </si>
  <si>
    <t>Carapace L =4.02 mm</t>
  </si>
  <si>
    <t>Carapace L =4.29 mm</t>
  </si>
  <si>
    <t>Telson Width = 2.94 mm</t>
  </si>
  <si>
    <t>Rostrum Width = 0.64 mm</t>
  </si>
  <si>
    <t>Chela L = 4.72 mm</t>
  </si>
  <si>
    <t>Carapace L = 12.57 mm</t>
  </si>
  <si>
    <t>Carapace L = 7.29 mm</t>
  </si>
  <si>
    <t>Rostrum Width = 1.05 mm</t>
  </si>
  <si>
    <t>Carapace L = 8.78 mm</t>
  </si>
  <si>
    <t>Rostrum Width = 1.01 mm</t>
  </si>
  <si>
    <t>Rostrum Width = 1.55 mm</t>
  </si>
  <si>
    <t>Rostrum Width = 0.78 mm</t>
  </si>
  <si>
    <t>Rostrum Width = 0.58 mm</t>
  </si>
  <si>
    <t>Rostrum Width = 1.33 mm</t>
  </si>
  <si>
    <t>Rostrum Width = 0.68 mm</t>
  </si>
  <si>
    <t>Rostrum Width = 0.74 mm</t>
  </si>
  <si>
    <t>Carapace L =11.06 mm</t>
  </si>
  <si>
    <t>Rostrum Width = 0.80 mm</t>
  </si>
  <si>
    <t>Carapace L = 8.86 mm</t>
  </si>
  <si>
    <t>Rostrum Width = 0.94 mm</t>
  </si>
  <si>
    <t>Chela L = 8.19 mm</t>
  </si>
  <si>
    <t>Common Name</t>
  </si>
  <si>
    <t>Species Code</t>
  </si>
  <si>
    <t>low</t>
  </si>
  <si>
    <t>high</t>
  </si>
  <si>
    <t>Lucania goodei</t>
  </si>
  <si>
    <t>Bluefin Killifish</t>
  </si>
  <si>
    <t>lucgoo</t>
  </si>
  <si>
    <t>logSL (mm)</t>
  </si>
  <si>
    <t>log dry mass(mg)</t>
  </si>
  <si>
    <t>Palaemonetes paludosus</t>
  </si>
  <si>
    <t>Grass shrimp</t>
  </si>
  <si>
    <t>palpal</t>
  </si>
  <si>
    <t>log CL (mm)</t>
  </si>
  <si>
    <t>logWt (dry mg)</t>
  </si>
  <si>
    <t>Pelocoris femoratus</t>
  </si>
  <si>
    <t>Alligator flea</t>
  </si>
  <si>
    <t>pelfem</t>
  </si>
  <si>
    <t>log TL (mm)</t>
  </si>
  <si>
    <t>genera Aeschnid and Libellulid</t>
  </si>
  <si>
    <t>Dragonfly larvae</t>
  </si>
  <si>
    <t>anisop</t>
  </si>
  <si>
    <t>log head width (mm)</t>
  </si>
  <si>
    <t>Eel_ID</t>
  </si>
  <si>
    <t>Season</t>
  </si>
  <si>
    <t>Invasion_Year</t>
  </si>
  <si>
    <t>Years_Since_Invasion</t>
  </si>
  <si>
    <t>Site and Plot</t>
  </si>
  <si>
    <t>Mass_g</t>
  </si>
  <si>
    <t>TL_mm</t>
  </si>
  <si>
    <t>Region_Specific_Years_Since_Invasion</t>
  </si>
  <si>
    <t>MA-001-DA</t>
  </si>
  <si>
    <t>MA-002-DA</t>
  </si>
  <si>
    <t>MA-003-DA</t>
  </si>
  <si>
    <t>MA-004-DA</t>
  </si>
  <si>
    <t>MA-005-DA</t>
  </si>
  <si>
    <t>MA-006-DA</t>
  </si>
  <si>
    <t>MA-007-DA</t>
  </si>
  <si>
    <t>MA-008-DA</t>
  </si>
  <si>
    <t>MA-009-DA</t>
  </si>
  <si>
    <t>MA-010-DA</t>
  </si>
  <si>
    <t>MA-012-DA</t>
  </si>
  <si>
    <t>MA-013-DA</t>
  </si>
  <si>
    <t>MA-014-DA</t>
  </si>
  <si>
    <t>MA-015-DA</t>
  </si>
  <si>
    <t>CP</t>
  </si>
  <si>
    <t>MA-016-DA</t>
  </si>
  <si>
    <t>MA-017-DA</t>
  </si>
  <si>
    <t>MD</t>
  </si>
  <si>
    <t>MA-018-DA</t>
  </si>
  <si>
    <t>MA-019-DA</t>
  </si>
  <si>
    <t>MA-021-DA</t>
  </si>
  <si>
    <t>MA-022-DA</t>
  </si>
  <si>
    <t>MA-024-DA</t>
  </si>
  <si>
    <t>MA-025-DA</t>
  </si>
  <si>
    <t>MA-026-DA</t>
  </si>
  <si>
    <t>MA-027-DA</t>
  </si>
  <si>
    <t>MA-028-DA</t>
  </si>
  <si>
    <t>MA-029-DA</t>
  </si>
  <si>
    <t>MA-030-DA</t>
  </si>
  <si>
    <t>MA-031-DA</t>
  </si>
  <si>
    <t>MA-032-DA</t>
  </si>
  <si>
    <t>MA-033-DA</t>
  </si>
  <si>
    <t>MA-034-DA</t>
  </si>
  <si>
    <t>MA-035-DA</t>
  </si>
  <si>
    <t>MA-036-DA</t>
  </si>
  <si>
    <t>MA-037-DA</t>
  </si>
  <si>
    <t>MA-038-DA</t>
  </si>
  <si>
    <t>MA-039-DA</t>
  </si>
  <si>
    <t>MA-040-DA</t>
  </si>
  <si>
    <t>MA-041-DA</t>
  </si>
  <si>
    <t>MA-042-DA</t>
  </si>
  <si>
    <t>MA-043-DA</t>
  </si>
  <si>
    <t>MA-044-DA</t>
  </si>
  <si>
    <t>MA-045-DA</t>
  </si>
  <si>
    <t>A59</t>
  </si>
  <si>
    <t>MA-046-DA</t>
  </si>
  <si>
    <t>MA-047-DA</t>
  </si>
  <si>
    <t>MA-048-DA</t>
  </si>
  <si>
    <t>MA-049-DA</t>
  </si>
  <si>
    <t>MA-050-DA</t>
  </si>
  <si>
    <t>MA-051-DA</t>
  </si>
  <si>
    <t>MA-052-DA</t>
  </si>
  <si>
    <t>MA-053-DA</t>
  </si>
  <si>
    <t>MA-054-DA</t>
  </si>
  <si>
    <t>MA-055-DA</t>
  </si>
  <si>
    <t>MA-056-DA</t>
  </si>
  <si>
    <t>MA-057-DA</t>
  </si>
  <si>
    <t>MA-058-DA</t>
  </si>
  <si>
    <t>MA-059-DA</t>
  </si>
  <si>
    <t>MA-060-DA</t>
  </si>
  <si>
    <t>MA-061-DA</t>
  </si>
  <si>
    <t>MA-062-DA</t>
  </si>
  <si>
    <t>MA-063-DA</t>
  </si>
  <si>
    <t>MA-064-DA</t>
  </si>
  <si>
    <t>MA-065-DA</t>
  </si>
  <si>
    <t>CPA</t>
  </si>
  <si>
    <t>MA-066-DA</t>
  </si>
  <si>
    <t>MA-067-DA</t>
  </si>
  <si>
    <t>A55</t>
  </si>
  <si>
    <t>MA-068-DA</t>
  </si>
  <si>
    <t>MA-069-DA</t>
  </si>
  <si>
    <t>MA-070-DA</t>
  </si>
  <si>
    <t>MA-071-DA</t>
  </si>
  <si>
    <t>MA-072-DA</t>
  </si>
  <si>
    <t>MA-073-DA</t>
  </si>
  <si>
    <t>MA-074-DA</t>
  </si>
  <si>
    <t>MA-075-DA</t>
  </si>
  <si>
    <t>MA-076-DA</t>
  </si>
  <si>
    <t>MA-077-DA</t>
  </si>
  <si>
    <t>MA-078-DA</t>
  </si>
  <si>
    <t>MA-079-DA</t>
  </si>
  <si>
    <t>MA-080-DA</t>
  </si>
  <si>
    <t>MA-081-DA</t>
  </si>
  <si>
    <t>MA-082-DA</t>
  </si>
  <si>
    <t>MA-083-DA</t>
  </si>
  <si>
    <t>MA-084-DA</t>
  </si>
  <si>
    <t>MA-085-DA</t>
  </si>
  <si>
    <t>MA-086-DA</t>
  </si>
  <si>
    <t>MA-087-DA</t>
  </si>
  <si>
    <t>MA-088-DA</t>
  </si>
  <si>
    <t>MA-089-DA</t>
  </si>
  <si>
    <t>MA-090-DA</t>
  </si>
  <si>
    <t>MA-091-DA</t>
  </si>
  <si>
    <t>MA-092-DA</t>
  </si>
  <si>
    <t>MA-093-DA</t>
  </si>
  <si>
    <t>MA-094-DA</t>
  </si>
  <si>
    <t>MA-095-DA</t>
  </si>
  <si>
    <t>MDA</t>
  </si>
  <si>
    <t>MA-096-DA</t>
  </si>
  <si>
    <t>MA-097-DA</t>
  </si>
  <si>
    <t>MDB</t>
  </si>
  <si>
    <t>MA-098-DA</t>
  </si>
  <si>
    <t>AH10</t>
  </si>
  <si>
    <t>MA-099-DA</t>
  </si>
  <si>
    <t>MA-100-DA</t>
  </si>
  <si>
    <t>MA-102-DA</t>
  </si>
  <si>
    <t>MA-103-DA</t>
  </si>
  <si>
    <t>MDC</t>
  </si>
  <si>
    <t>MA-104-DA</t>
  </si>
  <si>
    <t>MA-105-DA</t>
  </si>
  <si>
    <t>MA-106-DA</t>
  </si>
  <si>
    <t>MA-107-DA</t>
  </si>
  <si>
    <t>MA-108-DA</t>
  </si>
  <si>
    <t>MA-109-DA</t>
  </si>
  <si>
    <t>MA-110-DA</t>
  </si>
  <si>
    <t>MA-111-DA</t>
  </si>
  <si>
    <t>MA-113-DA</t>
  </si>
  <si>
    <t>MA-115-DA</t>
  </si>
  <si>
    <t>MA-116-DA</t>
  </si>
  <si>
    <t>MA-117-DA</t>
  </si>
  <si>
    <t>MA-118-DA</t>
  </si>
  <si>
    <t>MA-119-DA</t>
  </si>
  <si>
    <t>MA-121-DA</t>
  </si>
  <si>
    <t>MA-123-DA</t>
  </si>
  <si>
    <t>AH2</t>
  </si>
  <si>
    <t>MA-124-DA</t>
  </si>
  <si>
    <t>MA-125-DA</t>
  </si>
  <si>
    <t>MA-126-DA</t>
  </si>
  <si>
    <t>MA-127-DA</t>
  </si>
  <si>
    <t>MA-128-DA</t>
  </si>
  <si>
    <t>MA-129-DA</t>
  </si>
  <si>
    <t>MA-130-DA</t>
  </si>
  <si>
    <t>MA-131-DA</t>
  </si>
  <si>
    <t>MA-132-DA</t>
  </si>
  <si>
    <t>MA-133-DA</t>
  </si>
  <si>
    <t>MA-134-DA</t>
  </si>
  <si>
    <t>MA-135-DA</t>
  </si>
  <si>
    <t>MA-136-DA</t>
  </si>
  <si>
    <t>MA-137-DA</t>
  </si>
  <si>
    <t>TSC</t>
  </si>
  <si>
    <t>MA-138-DA</t>
  </si>
  <si>
    <t>MA-139-DA</t>
  </si>
  <si>
    <t>MA-140-DA</t>
  </si>
  <si>
    <t>MA-141-DA</t>
  </si>
  <si>
    <t>MA-142-DA</t>
  </si>
  <si>
    <t>MA-144-DA</t>
  </si>
  <si>
    <t>MA-145-DA</t>
  </si>
  <si>
    <t>MA-146-DA</t>
  </si>
  <si>
    <t>MA-147-DA</t>
  </si>
  <si>
    <t>MA-148-DA</t>
  </si>
  <si>
    <t>MA-149-DA</t>
  </si>
  <si>
    <t>MA-150-DA</t>
  </si>
  <si>
    <t>MA-151-DA</t>
  </si>
  <si>
    <t>MA-152-DA</t>
  </si>
  <si>
    <t>MA-153-DA</t>
  </si>
  <si>
    <t>MA-154-DA</t>
  </si>
  <si>
    <t>MA-155-DA</t>
  </si>
  <si>
    <t>MA-156-DA</t>
  </si>
  <si>
    <t>EF62</t>
  </si>
  <si>
    <t>MA-157-DA</t>
  </si>
  <si>
    <t>MA-158-DA</t>
  </si>
  <si>
    <t>MA-159-DA</t>
  </si>
  <si>
    <t>MA-160-DA</t>
  </si>
  <si>
    <t>MA-161-DA</t>
  </si>
  <si>
    <t>AHTSB</t>
  </si>
  <si>
    <t>MA-162-DA</t>
  </si>
  <si>
    <t>AHA62A</t>
  </si>
  <si>
    <t>MA-163-DA</t>
  </si>
  <si>
    <t>MA-164-DA</t>
  </si>
  <si>
    <t>MA-165-DA</t>
  </si>
  <si>
    <t>MA-166-DA</t>
  </si>
  <si>
    <t>EF62B</t>
  </si>
  <si>
    <t>MA-167-DA</t>
  </si>
  <si>
    <t>MA-168-DA</t>
  </si>
  <si>
    <t>MA-169-DA</t>
  </si>
  <si>
    <t>MA-170-DA</t>
  </si>
  <si>
    <t>MA-171-DA</t>
  </si>
  <si>
    <t>MA-172-DA</t>
  </si>
  <si>
    <t>MA-173-DA</t>
  </si>
  <si>
    <t>AH1</t>
  </si>
  <si>
    <t>MA-174-DA</t>
  </si>
  <si>
    <t>MA-175-DA</t>
  </si>
  <si>
    <t>MA-176-DA</t>
  </si>
  <si>
    <t>MA-177-DA</t>
  </si>
  <si>
    <t>MA-178-DA</t>
  </si>
  <si>
    <t>MA-179-DA</t>
  </si>
  <si>
    <t>MA-180-DA</t>
  </si>
  <si>
    <t>MA-181-DA</t>
  </si>
  <si>
    <t>A62B</t>
  </si>
  <si>
    <t>MA-182-DA</t>
  </si>
  <si>
    <t>MA-183-DA</t>
  </si>
  <si>
    <t>MA-184-DA</t>
  </si>
  <si>
    <t>MA-185-DA</t>
  </si>
  <si>
    <t>MA-186-DA</t>
  </si>
  <si>
    <t>MA-187-DA</t>
  </si>
  <si>
    <t>MA-188-DA</t>
  </si>
  <si>
    <t>MA-189-DA</t>
  </si>
  <si>
    <t>MA-190-DA</t>
  </si>
  <si>
    <t>MA-191-DA</t>
  </si>
  <si>
    <t>MA-192-DA</t>
  </si>
  <si>
    <t>A59A</t>
  </si>
  <si>
    <t>MA-193-DA</t>
  </si>
  <si>
    <t>MA-194-DA</t>
  </si>
  <si>
    <t>A62C</t>
  </si>
  <si>
    <t>MA-195-DA</t>
  </si>
  <si>
    <t>MA-196-DA</t>
  </si>
  <si>
    <t>MA-197-DA</t>
  </si>
  <si>
    <t>MA-198-DA</t>
  </si>
  <si>
    <t>MA-199-DA</t>
  </si>
  <si>
    <t>MA-200-DA</t>
  </si>
  <si>
    <t>MA-201-DA</t>
  </si>
  <si>
    <t>MA-202-DA</t>
  </si>
  <si>
    <t>MA-203-DA</t>
  </si>
  <si>
    <t>A59D</t>
  </si>
  <si>
    <t>MA-204-DA</t>
  </si>
  <si>
    <t>MA-205-DA</t>
  </si>
  <si>
    <t>MA-206-DA</t>
  </si>
  <si>
    <t>MA-207-DA</t>
  </si>
  <si>
    <t>A59C</t>
  </si>
  <si>
    <t>MA-208-DA</t>
  </si>
  <si>
    <t>MA-209-DA</t>
  </si>
  <si>
    <t>MA-210-DA</t>
  </si>
  <si>
    <t>MA-211-DA</t>
  </si>
  <si>
    <t>A55A</t>
  </si>
  <si>
    <t>MA-212-DA</t>
  </si>
  <si>
    <t>CPC</t>
  </si>
  <si>
    <t>MA-213-DA</t>
  </si>
  <si>
    <t>A55B</t>
  </si>
  <si>
    <t>MA-214-DA</t>
  </si>
  <si>
    <t>MA-215-DA</t>
  </si>
  <si>
    <t>MA-216-DA</t>
  </si>
  <si>
    <t>MA-217-DA</t>
  </si>
  <si>
    <t>MA-218-DA</t>
  </si>
  <si>
    <t>MA-219-DA</t>
  </si>
  <si>
    <t>MA-220-DA</t>
  </si>
  <si>
    <t>MA-221-DA</t>
  </si>
  <si>
    <t>MA-222-DA</t>
  </si>
  <si>
    <t>MA-223-DA</t>
  </si>
  <si>
    <t>MA-224-DA</t>
  </si>
  <si>
    <t>MA-225-DA</t>
  </si>
  <si>
    <t>MA-226-DA</t>
  </si>
  <si>
    <t>MA-227-DA</t>
  </si>
  <si>
    <t>MA-228-DA</t>
  </si>
  <si>
    <t>MA-229-DA</t>
  </si>
  <si>
    <t>MA-230-DA</t>
  </si>
  <si>
    <t>MA-231-DA</t>
  </si>
  <si>
    <t>MA-232-DA</t>
  </si>
  <si>
    <t>MA-233-DA</t>
  </si>
  <si>
    <t>MA-234-DA</t>
  </si>
  <si>
    <t>MA-235-DA</t>
  </si>
  <si>
    <t>MA-236-DA</t>
  </si>
  <si>
    <t>MA-237-DA</t>
  </si>
  <si>
    <t>MA-238-DA</t>
  </si>
  <si>
    <t>MA-239-DA</t>
  </si>
  <si>
    <t>MA-240-DA</t>
  </si>
  <si>
    <t>MA-241-DA</t>
  </si>
  <si>
    <t>MA-242-DA</t>
  </si>
  <si>
    <t>MA-243-DA</t>
  </si>
  <si>
    <t>MA-244-DA</t>
  </si>
  <si>
    <t>MA-245-DA</t>
  </si>
  <si>
    <t>MA-246-DA</t>
  </si>
  <si>
    <t>MA-247-DA</t>
  </si>
  <si>
    <t>MA-248-DA</t>
  </si>
  <si>
    <t>MA-249-DA</t>
  </si>
  <si>
    <t>MA-250-DA</t>
  </si>
  <si>
    <t>MA-251-DA</t>
  </si>
  <si>
    <t>MA-252-DA</t>
  </si>
  <si>
    <t>A55C</t>
  </si>
  <si>
    <t>MA-253-DA</t>
  </si>
  <si>
    <t>MA-254-DA</t>
  </si>
  <si>
    <t>MA-255-DA</t>
  </si>
  <si>
    <t>MA-256-DA</t>
  </si>
  <si>
    <t>AH9</t>
  </si>
  <si>
    <t>MA-257-DA</t>
  </si>
  <si>
    <t>62A</t>
  </si>
  <si>
    <t>MA-258-DA</t>
  </si>
  <si>
    <t>MA-259-DA</t>
  </si>
  <si>
    <t>MA-260-DA</t>
  </si>
  <si>
    <t>MA-261-DA</t>
  </si>
  <si>
    <t>MA-262-DA</t>
  </si>
  <si>
    <t>MA-263-DA</t>
  </si>
  <si>
    <t>MA-264-DA</t>
  </si>
  <si>
    <t>MA-265-DA</t>
  </si>
  <si>
    <t>MA-266-DA</t>
  </si>
  <si>
    <t>MA-267-DA</t>
  </si>
  <si>
    <t>MA-268-DA</t>
  </si>
  <si>
    <t>MA-269-DA</t>
  </si>
  <si>
    <t>55C</t>
  </si>
  <si>
    <t>MA-270-DA</t>
  </si>
  <si>
    <t>MA-271-DA</t>
  </si>
  <si>
    <t>MA-272-DA</t>
  </si>
  <si>
    <t>MA-273-DA</t>
  </si>
  <si>
    <t>MA-274-DA</t>
  </si>
  <si>
    <t>MA-275-DA</t>
  </si>
  <si>
    <t>MA-276-DA</t>
  </si>
  <si>
    <t>MA-277-DA</t>
  </si>
  <si>
    <t>AH59A</t>
  </si>
  <si>
    <t>MA-278-DA</t>
  </si>
  <si>
    <t>A59B</t>
  </si>
  <si>
    <t>MA-279-DA</t>
  </si>
  <si>
    <t>MA-280-DA</t>
  </si>
  <si>
    <t>MA-281-DA</t>
  </si>
  <si>
    <t>MA-282-DA</t>
  </si>
  <si>
    <t>MA-283-DA</t>
  </si>
  <si>
    <t>MA-284-DA</t>
  </si>
  <si>
    <t xml:space="preserve">A62 </t>
  </si>
  <si>
    <t>MA-285-DA</t>
  </si>
  <si>
    <t>MA-286-DA</t>
  </si>
  <si>
    <t>MA-287-DA</t>
  </si>
  <si>
    <t>MA-288-DA</t>
  </si>
  <si>
    <t>MA-289-DA</t>
  </si>
  <si>
    <t>CPB</t>
  </si>
  <si>
    <t>MA-290-DA</t>
  </si>
  <si>
    <t>MA-291-DA</t>
  </si>
  <si>
    <t>MA-292-DA</t>
  </si>
  <si>
    <t>MA-293-DA</t>
  </si>
  <si>
    <t>MA-294-DA</t>
  </si>
  <si>
    <t>MA-295-DA</t>
  </si>
  <si>
    <t>MA-296-DA</t>
  </si>
  <si>
    <t>MA-297-DA</t>
  </si>
  <si>
    <t>MA-298-DA</t>
  </si>
  <si>
    <t>MA-299-DA</t>
  </si>
  <si>
    <t>MA-300-DA</t>
  </si>
  <si>
    <t>MA-301-DA</t>
  </si>
  <si>
    <t>MA-302-DA</t>
  </si>
  <si>
    <t>MA-303-DA</t>
  </si>
  <si>
    <t>MA-304-DA</t>
  </si>
  <si>
    <t>MA-305-DA</t>
  </si>
  <si>
    <t>MA-306-DA</t>
  </si>
  <si>
    <t>MA-307-DA</t>
  </si>
  <si>
    <t>MA-308-DA</t>
  </si>
  <si>
    <t>MA-309-DA</t>
  </si>
  <si>
    <t>MA-310-DA</t>
  </si>
  <si>
    <t>MA-311-DA</t>
  </si>
  <si>
    <t>BJB</t>
  </si>
  <si>
    <t>MA-312-DA</t>
  </si>
  <si>
    <t>MA-313-DA</t>
  </si>
  <si>
    <t>MA-314-DA</t>
  </si>
  <si>
    <t>MA-315-DA</t>
  </si>
  <si>
    <t>7A</t>
  </si>
  <si>
    <t>MA-317-DA</t>
  </si>
  <si>
    <t>MA-318-DA</t>
  </si>
  <si>
    <t>MA-319-DA</t>
  </si>
  <si>
    <t>MA-320-DA</t>
  </si>
  <si>
    <t>MA-321-DA</t>
  </si>
  <si>
    <t>MA-322-DA</t>
  </si>
  <si>
    <t>MA-323-DA</t>
  </si>
  <si>
    <t>MA-324-DA</t>
  </si>
  <si>
    <t>MA-325-DA</t>
  </si>
  <si>
    <t>MA-326-DA</t>
  </si>
  <si>
    <t>MA-327-DA</t>
  </si>
  <si>
    <t>MA-328-DA</t>
  </si>
  <si>
    <t>MA-329-DA</t>
  </si>
  <si>
    <t>MA-330-DA</t>
  </si>
  <si>
    <t>MA-331-DA</t>
  </si>
  <si>
    <t>MA-332-DA</t>
  </si>
  <si>
    <t>MA-333-DA</t>
  </si>
  <si>
    <t>MA-335-DA</t>
  </si>
  <si>
    <t>MA-336-DA</t>
  </si>
  <si>
    <t>MA-337-DA</t>
  </si>
  <si>
    <t>MA-338-DA</t>
  </si>
  <si>
    <t>MA-339-DA</t>
  </si>
  <si>
    <t>MA-340-DA</t>
  </si>
  <si>
    <t>MA-341-DA</t>
  </si>
  <si>
    <t>MA-342-DA</t>
  </si>
  <si>
    <t>MA-343-DA</t>
  </si>
  <si>
    <t>MA-344-DA</t>
  </si>
  <si>
    <t>MA-345-DA</t>
  </si>
  <si>
    <t>MA-346-DA</t>
  </si>
  <si>
    <t>MA-347-DA</t>
  </si>
  <si>
    <t>MA-348-DA</t>
  </si>
  <si>
    <t>MA-349-DA</t>
  </si>
  <si>
    <t>MA-350-DA</t>
  </si>
  <si>
    <t>MA-351-DA</t>
  </si>
  <si>
    <t>MA-352-DA</t>
  </si>
  <si>
    <t>MA-353-DA</t>
  </si>
  <si>
    <t>MA-354-DA</t>
  </si>
  <si>
    <t>MA-355-DA</t>
  </si>
  <si>
    <t>MA-356-DA</t>
  </si>
  <si>
    <t>MA-357-DA</t>
  </si>
  <si>
    <t>MA-358-DA</t>
  </si>
  <si>
    <t>MA-359-DA</t>
  </si>
  <si>
    <t>MA-360-DA</t>
  </si>
  <si>
    <t>MA-361-DA</t>
  </si>
  <si>
    <t>MA-362-DA</t>
  </si>
  <si>
    <t>MA-363-DA</t>
  </si>
  <si>
    <t>MA-364-DA</t>
  </si>
  <si>
    <t>MA-365-DA</t>
  </si>
  <si>
    <t>MA-366-DA</t>
  </si>
  <si>
    <t>MA-367-DA</t>
  </si>
  <si>
    <t>MA-368-DA</t>
  </si>
  <si>
    <t>MA-369-DA</t>
  </si>
  <si>
    <t>MA-370-DA</t>
  </si>
  <si>
    <t>MA-371-DA</t>
  </si>
  <si>
    <t>MA-372-DA</t>
  </si>
  <si>
    <t>MA-373-DA</t>
  </si>
  <si>
    <t>MA-374-DA</t>
  </si>
  <si>
    <t>MA-375-DA</t>
  </si>
  <si>
    <t>MA-376-DA</t>
  </si>
  <si>
    <t>MA-377-DA</t>
  </si>
  <si>
    <t>MA-378-DA</t>
  </si>
  <si>
    <t>MA-379-DA</t>
  </si>
  <si>
    <t>MA-380-DA</t>
  </si>
  <si>
    <t>MA-382-DA</t>
  </si>
  <si>
    <t>MA-383-DA</t>
  </si>
  <si>
    <t>MA-384-DA</t>
  </si>
  <si>
    <t>MA-385-DA</t>
  </si>
  <si>
    <t>MA-386-DA</t>
  </si>
  <si>
    <t>MA-387-DA</t>
  </si>
  <si>
    <t>MA-388-DA</t>
  </si>
  <si>
    <t>MA-389-DA</t>
  </si>
  <si>
    <t>MA-390-DA</t>
  </si>
  <si>
    <t>MA-391-DA</t>
  </si>
  <si>
    <t>MA-392-DA</t>
  </si>
  <si>
    <t>MA-393-DA</t>
  </si>
  <si>
    <t>MA-394-DA</t>
  </si>
  <si>
    <t>MA-395-DA</t>
  </si>
  <si>
    <t>MA-396-DA</t>
  </si>
  <si>
    <t>MA-397-DA</t>
  </si>
  <si>
    <t>MA-398-DA</t>
  </si>
  <si>
    <t>MA-399-DA</t>
  </si>
  <si>
    <t>62B</t>
  </si>
  <si>
    <t>MA-400-DA</t>
  </si>
  <si>
    <t>MA-401-DA</t>
  </si>
  <si>
    <t>MA-402-DA</t>
  </si>
  <si>
    <t>MA-404-DA</t>
  </si>
  <si>
    <t>MA-406-DA</t>
  </si>
  <si>
    <t>MA-407-DA</t>
  </si>
  <si>
    <t>MA-408-DA</t>
  </si>
  <si>
    <t>MA-409-DA</t>
  </si>
  <si>
    <t>MA-410-DA</t>
  </si>
  <si>
    <t>MA-412-DA</t>
  </si>
  <si>
    <t>MA-413-DA</t>
  </si>
  <si>
    <t>MA-414-DA</t>
  </si>
  <si>
    <t>AHS 72</t>
  </si>
  <si>
    <t>MA-415-DA</t>
  </si>
  <si>
    <t>MA-416-DA</t>
  </si>
  <si>
    <t>MA-418-DA</t>
  </si>
  <si>
    <t>MA-419-DA</t>
  </si>
  <si>
    <t>MA-422-DA</t>
  </si>
  <si>
    <t>MA-423-DA</t>
  </si>
  <si>
    <t>MA-424-DA</t>
  </si>
  <si>
    <t>MA-425-DA</t>
  </si>
  <si>
    <t>MA-426-DA</t>
  </si>
  <si>
    <t>MA-427-DA</t>
  </si>
  <si>
    <t>MA-428-DA</t>
  </si>
  <si>
    <t>MA-429-DA</t>
  </si>
  <si>
    <t>MA-430-DA</t>
  </si>
  <si>
    <t>MA-431-DA</t>
  </si>
  <si>
    <t>MA-432-DA</t>
  </si>
  <si>
    <t>MA-433-DA</t>
  </si>
  <si>
    <t>MA-435-DA</t>
  </si>
  <si>
    <t>5B</t>
  </si>
  <si>
    <t>MA-436-DA</t>
  </si>
  <si>
    <t>4C</t>
  </si>
  <si>
    <t>MA-437-DA</t>
  </si>
  <si>
    <t>MA-438-DA</t>
  </si>
  <si>
    <t>MA-440-DA</t>
  </si>
  <si>
    <t>MA-441-DA</t>
  </si>
  <si>
    <t>MA-442-DA</t>
  </si>
  <si>
    <t>MA-443-DA</t>
  </si>
  <si>
    <t>MA-444-DA</t>
  </si>
  <si>
    <t>MA-446-DA</t>
  </si>
  <si>
    <t>MA-448-DA</t>
  </si>
  <si>
    <t>MA-449-DA</t>
  </si>
  <si>
    <t>MA-451-DA</t>
  </si>
  <si>
    <t>MA-452-DA</t>
  </si>
  <si>
    <t>MA-453-DA</t>
  </si>
  <si>
    <t>MA-454-DA</t>
  </si>
  <si>
    <t>MA-458-DA</t>
  </si>
  <si>
    <t>23B</t>
  </si>
  <si>
    <t>MA-459-DA</t>
  </si>
  <si>
    <t>DL</t>
  </si>
  <si>
    <t>MA-461-DA</t>
  </si>
  <si>
    <t>MA-462-DA</t>
  </si>
  <si>
    <t>MA-463-DA</t>
  </si>
  <si>
    <t>C2B</t>
  </si>
  <si>
    <t>MA-464-DA</t>
  </si>
  <si>
    <t>MA-465-DA</t>
  </si>
  <si>
    <t>MA-466-DA</t>
  </si>
  <si>
    <t>MA-469-DA</t>
  </si>
  <si>
    <t>MA-470-DA</t>
  </si>
  <si>
    <t>MA-471-DA</t>
  </si>
  <si>
    <t>C1C</t>
  </si>
  <si>
    <t>MA-472-DA</t>
  </si>
  <si>
    <t>DB3</t>
  </si>
  <si>
    <t>MA-473-DA</t>
  </si>
  <si>
    <t>MA-474-DA</t>
  </si>
  <si>
    <t>MA-475-DA</t>
  </si>
  <si>
    <t>MA-478-DA</t>
  </si>
  <si>
    <t>MA-479-DA</t>
  </si>
  <si>
    <t>MA-480-DA</t>
  </si>
  <si>
    <t>RS1S</t>
  </si>
  <si>
    <t>MA-482-DA</t>
  </si>
  <si>
    <t>MA-483-DA</t>
  </si>
  <si>
    <t>NCU</t>
  </si>
  <si>
    <t>MA-485-DA</t>
  </si>
  <si>
    <t>MA-487-DA</t>
  </si>
  <si>
    <t>C1E</t>
  </si>
  <si>
    <t>MA-489-DA</t>
  </si>
  <si>
    <t>SCU</t>
  </si>
  <si>
    <t>MA-491-DA</t>
  </si>
  <si>
    <t>MA-492-DA</t>
  </si>
  <si>
    <t>MA-493-DA</t>
  </si>
  <si>
    <t>MA-494-DA</t>
  </si>
  <si>
    <t>MA-495-DA</t>
  </si>
  <si>
    <t>MA-496-DA</t>
  </si>
  <si>
    <t>MA-497-DA</t>
  </si>
  <si>
    <t>MA-498-DA</t>
  </si>
  <si>
    <t>MA-499-DA</t>
  </si>
  <si>
    <t>MA-500-DA</t>
  </si>
  <si>
    <t>MA-501-DA</t>
  </si>
  <si>
    <t>MA-502-DA</t>
  </si>
  <si>
    <t>MA-503-DA</t>
  </si>
  <si>
    <t>AH3</t>
  </si>
  <si>
    <t>MA-505-DA</t>
  </si>
  <si>
    <t>MA-506-DA</t>
  </si>
  <si>
    <t>MA-507-DA</t>
  </si>
  <si>
    <t>MA-508-DA</t>
  </si>
  <si>
    <t>MA-510-DA</t>
  </si>
  <si>
    <t>MA-511-DA</t>
  </si>
  <si>
    <t>MA-512-DA</t>
  </si>
  <si>
    <t>MA-513-DA</t>
  </si>
  <si>
    <t>MA-514-DA</t>
  </si>
  <si>
    <t>MA-516-DA</t>
  </si>
  <si>
    <t>MA-517-DA</t>
  </si>
  <si>
    <t>MA-518-DA</t>
  </si>
  <si>
    <t>MA-519-DA</t>
  </si>
  <si>
    <t>MA-520-DA</t>
  </si>
  <si>
    <t>MA-521-DA</t>
  </si>
  <si>
    <t>MA-522-DA</t>
  </si>
  <si>
    <t>MA-523-DA</t>
  </si>
  <si>
    <t>MA-524-DA</t>
  </si>
  <si>
    <t>AH62A</t>
  </si>
  <si>
    <t>MA-525-DA</t>
  </si>
  <si>
    <t>9B</t>
  </si>
  <si>
    <t>MA-526-DA</t>
  </si>
  <si>
    <t>MA-527-DA</t>
  </si>
  <si>
    <t>MA-528-DA</t>
  </si>
  <si>
    <t>MA-531-DA</t>
  </si>
  <si>
    <t>MA-532-DA</t>
  </si>
  <si>
    <t>MA-533-DA</t>
  </si>
  <si>
    <t>MA-534-DA</t>
  </si>
  <si>
    <t>MA-535-DA</t>
  </si>
  <si>
    <t>AH72</t>
  </si>
  <si>
    <t>MA-536-DA</t>
  </si>
  <si>
    <t>EF62A</t>
  </si>
  <si>
    <t>MA-537-DA</t>
  </si>
  <si>
    <t>MA-539-DA</t>
  </si>
  <si>
    <t>MA-544-DA</t>
  </si>
  <si>
    <t>MA-545-DA</t>
  </si>
  <si>
    <t>MA-546-DA</t>
  </si>
  <si>
    <t>MA-547-DA</t>
  </si>
  <si>
    <t>MA-550-DA</t>
  </si>
  <si>
    <t>AHCFP</t>
  </si>
  <si>
    <t>MA-553-DA</t>
  </si>
  <si>
    <t>MA-554-DA</t>
  </si>
  <si>
    <t>MA-556-DA</t>
  </si>
  <si>
    <t>MA-557-DA</t>
  </si>
  <si>
    <t>MA-558-DA</t>
  </si>
  <si>
    <t>MA-559-DA</t>
  </si>
  <si>
    <t>MA-560-DA</t>
  </si>
  <si>
    <t>MA-561-DA</t>
  </si>
  <si>
    <t>MA-562-DA</t>
  </si>
  <si>
    <t>MA-563-DA</t>
  </si>
  <si>
    <t>MA-564-DA</t>
  </si>
  <si>
    <t>MA-565-DA</t>
  </si>
  <si>
    <t>MA-566-DA</t>
  </si>
  <si>
    <t>MA-567-DA</t>
  </si>
  <si>
    <t>MA-569-DA</t>
  </si>
  <si>
    <t>MA-570-DA</t>
  </si>
  <si>
    <t>MA-571-DA</t>
  </si>
  <si>
    <t>MA-572-DA</t>
  </si>
  <si>
    <t>MA-574-DA</t>
  </si>
  <si>
    <t>1C</t>
  </si>
  <si>
    <t>MA-575-DA</t>
  </si>
  <si>
    <t>MA-576-DA</t>
  </si>
  <si>
    <t>MA-577-DA</t>
  </si>
  <si>
    <t>MA-578-DA</t>
  </si>
  <si>
    <t>MA-579-DA</t>
  </si>
  <si>
    <t>MA-580-DA</t>
  </si>
  <si>
    <t>MA-581-DA</t>
  </si>
  <si>
    <t>MA-582-DA</t>
  </si>
  <si>
    <t>MA-583-DA</t>
  </si>
  <si>
    <t>MA-584-DA</t>
  </si>
  <si>
    <t>MA-585-DA</t>
  </si>
  <si>
    <t>MA-586-DA</t>
  </si>
  <si>
    <t>AHMDB</t>
  </si>
  <si>
    <t>MA-587-DA</t>
  </si>
  <si>
    <t>MA-590-DA</t>
  </si>
  <si>
    <t>MA-591-DA</t>
  </si>
  <si>
    <t>AH01D2X</t>
  </si>
  <si>
    <t>MA-592-DA</t>
  </si>
  <si>
    <t>MA-593-DA</t>
  </si>
  <si>
    <t>MA-594-DA</t>
  </si>
  <si>
    <t>MA-595-DA</t>
  </si>
  <si>
    <t>MA-596-DA</t>
  </si>
  <si>
    <t>MA-597-DA</t>
  </si>
  <si>
    <t>MA-598-DA</t>
  </si>
  <si>
    <t>MA-599-DA</t>
  </si>
  <si>
    <t>MA-600-DA</t>
  </si>
  <si>
    <t>MA-601-DA</t>
  </si>
  <si>
    <t>MA-603-DA</t>
  </si>
  <si>
    <t>MA-605-DA</t>
  </si>
  <si>
    <t>23C</t>
  </si>
  <si>
    <t>MA-607-DA</t>
  </si>
  <si>
    <t>MA-608-DA</t>
  </si>
  <si>
    <t>MA-609-DA</t>
  </si>
  <si>
    <t>MA-610-DA</t>
  </si>
  <si>
    <t>MA-612-DA</t>
  </si>
  <si>
    <t>MA-614-DA</t>
  </si>
  <si>
    <t>MA-615-DA</t>
  </si>
  <si>
    <t>MA-617-DA</t>
  </si>
  <si>
    <t>MA-618-DA</t>
  </si>
  <si>
    <t>MA-620-DA</t>
  </si>
  <si>
    <t>MA-621-DA</t>
  </si>
  <si>
    <t>MA-622-DA</t>
  </si>
  <si>
    <t>MA-623-DA</t>
  </si>
  <si>
    <t>EF55</t>
  </si>
  <si>
    <t>MA-624-DA</t>
  </si>
  <si>
    <t>MA-625-DA</t>
  </si>
  <si>
    <t>MA-626-DA</t>
  </si>
  <si>
    <t>MA-627-DA</t>
  </si>
  <si>
    <t>MA-629-DA</t>
  </si>
  <si>
    <t>MA-630-DA</t>
  </si>
  <si>
    <t>MA-633-DA</t>
  </si>
  <si>
    <t>MA-634-DA</t>
  </si>
  <si>
    <t>MA-635-DA</t>
  </si>
  <si>
    <t>MA-636-DA</t>
  </si>
  <si>
    <t>MA-637-DA</t>
  </si>
  <si>
    <t>MA-638-DA</t>
  </si>
  <si>
    <t>MA-641-DA</t>
  </si>
  <si>
    <t>3B</t>
  </si>
  <si>
    <t>MA-643-DA</t>
  </si>
  <si>
    <t>MA-644-DA</t>
  </si>
  <si>
    <t>MA-652-DA</t>
  </si>
  <si>
    <t>MA-653-DA</t>
  </si>
  <si>
    <t>MA-654-DA</t>
  </si>
  <si>
    <t>MA-657-DA</t>
  </si>
  <si>
    <t>MA-658-DA</t>
  </si>
  <si>
    <t>MA-663-DA</t>
  </si>
  <si>
    <t>MA-664-DA</t>
  </si>
  <si>
    <t>MA-666-DA</t>
  </si>
  <si>
    <t>MA-668-DA</t>
  </si>
  <si>
    <t>AH 7X1</t>
  </si>
  <si>
    <t>MA-669-DA</t>
  </si>
  <si>
    <t>9C</t>
  </si>
  <si>
    <t>MA-670-DA</t>
  </si>
  <si>
    <t>MA-671-DA</t>
  </si>
  <si>
    <t>AH 2SE</t>
  </si>
  <si>
    <t>MA-672-DA</t>
  </si>
  <si>
    <t>MA-673-DA</t>
  </si>
  <si>
    <t>MA-674-DA</t>
  </si>
  <si>
    <t>MA-675-DA</t>
  </si>
  <si>
    <t>MA-676-DA</t>
  </si>
  <si>
    <t>MA-678-DA</t>
  </si>
  <si>
    <t>EF 59D</t>
  </si>
  <si>
    <t>MA-680-DA</t>
  </si>
  <si>
    <t>MA-681-DA</t>
  </si>
  <si>
    <t>MA-682-DA</t>
  </si>
  <si>
    <t>MA-683-DA</t>
  </si>
  <si>
    <t>EF 62C</t>
  </si>
  <si>
    <t>MA-685-DA</t>
  </si>
  <si>
    <t>MA-686-DA</t>
  </si>
  <si>
    <t>MA-687-DA</t>
  </si>
  <si>
    <t>MA-690-DA</t>
  </si>
  <si>
    <t>EF 62B</t>
  </si>
  <si>
    <t>MA-691-DA</t>
  </si>
  <si>
    <t>MA-693-DA</t>
  </si>
  <si>
    <t>MA-694-DA</t>
  </si>
  <si>
    <t>MA-695-DA</t>
  </si>
  <si>
    <t>MA-696-DA</t>
  </si>
  <si>
    <t>MA-697-DA</t>
  </si>
  <si>
    <t>MA-698-DA</t>
  </si>
  <si>
    <t>MA-699-DA</t>
  </si>
  <si>
    <t>AH D10</t>
  </si>
  <si>
    <t>MA-700-DA</t>
  </si>
  <si>
    <t>MA-702-DA</t>
  </si>
  <si>
    <t>MA-703-DA</t>
  </si>
  <si>
    <t>MA-706-DA</t>
  </si>
  <si>
    <t>MA-707-DA</t>
  </si>
  <si>
    <t>MA-710-DA</t>
  </si>
  <si>
    <t>AHS 2E</t>
  </si>
  <si>
    <t>MA-711-DA</t>
  </si>
  <si>
    <t>MA-712-DA</t>
  </si>
  <si>
    <t>MA-713-DA</t>
  </si>
  <si>
    <t>MA-714-DA</t>
  </si>
  <si>
    <t>MA-715-DA</t>
  </si>
  <si>
    <t>MA-716-DA</t>
  </si>
  <si>
    <t>MA-717-DA</t>
  </si>
  <si>
    <t>MA-718-DA</t>
  </si>
  <si>
    <t>MA-719-DA</t>
  </si>
  <si>
    <t>MA-720-DA</t>
  </si>
  <si>
    <t>AHS3XA</t>
  </si>
  <si>
    <t>MA-722-DA</t>
  </si>
  <si>
    <t>AHS4Y</t>
  </si>
  <si>
    <t>MA-724-DA</t>
  </si>
  <si>
    <t>MA-725-DA</t>
  </si>
  <si>
    <t>MA-726-DA</t>
  </si>
  <si>
    <t>MA-727-DA</t>
  </si>
  <si>
    <t>MA-728-DA</t>
  </si>
  <si>
    <t>MA-729-DA</t>
  </si>
  <si>
    <t>MA-735-DA</t>
  </si>
  <si>
    <t>MA-738-DA</t>
  </si>
  <si>
    <t>MA-739-DA</t>
  </si>
  <si>
    <t>MA-742-DA</t>
  </si>
  <si>
    <t>MA-751-DA</t>
  </si>
  <si>
    <t>MA-757-DA</t>
  </si>
  <si>
    <t>MA-759-DA</t>
  </si>
  <si>
    <t>MA-760-DA</t>
  </si>
  <si>
    <t>MA-762-DA</t>
  </si>
  <si>
    <t>MA-763-DA</t>
  </si>
  <si>
    <t>MA-764-DA</t>
  </si>
  <si>
    <t>MA-765-DA</t>
  </si>
  <si>
    <t>MA-767-DA</t>
  </si>
  <si>
    <t>MA-768-DA</t>
  </si>
  <si>
    <t>MA-769-DA</t>
  </si>
  <si>
    <t>MA-776-DA</t>
  </si>
  <si>
    <t>3C</t>
  </si>
  <si>
    <t>MA-780-DA</t>
  </si>
  <si>
    <t>MA-781-DA</t>
  </si>
  <si>
    <t>MA-782-DA</t>
  </si>
  <si>
    <t>MA-783-DA</t>
  </si>
  <si>
    <t>MA-786-DA</t>
  </si>
  <si>
    <t>MA-788-DA</t>
  </si>
  <si>
    <t>MA-789-DA</t>
  </si>
  <si>
    <t>MA-790-DA</t>
  </si>
  <si>
    <t>MA-791-DA</t>
  </si>
  <si>
    <t>MA-797-DA</t>
  </si>
  <si>
    <t>MA-801-DA</t>
  </si>
  <si>
    <t>MA-804-DA</t>
  </si>
  <si>
    <t>MA-805-DA</t>
  </si>
  <si>
    <t>MA-810-DA</t>
  </si>
  <si>
    <t>MA-815-DA</t>
  </si>
  <si>
    <t>MA-816-DA</t>
  </si>
  <si>
    <t>MA-817-DA</t>
  </si>
  <si>
    <t>MA-819-DA</t>
  </si>
  <si>
    <t>MA-827-DA</t>
  </si>
  <si>
    <t>MA-828-DA</t>
  </si>
  <si>
    <t>MA-832-DA</t>
  </si>
  <si>
    <t>MA-833-DA</t>
  </si>
  <si>
    <t>MA-834-DA</t>
  </si>
  <si>
    <t>MA-856-DA</t>
  </si>
  <si>
    <t>MA-857-DA</t>
  </si>
  <si>
    <t>MA-861-DA</t>
  </si>
  <si>
    <t>Eel_count</t>
  </si>
  <si>
    <t>COENAG</t>
  </si>
  <si>
    <t>ANAJUN</t>
  </si>
  <si>
    <t>CELSPP</t>
  </si>
  <si>
    <t>ERYSPP</t>
  </si>
  <si>
    <t>PACLON</t>
  </si>
  <si>
    <t>ERYSIM</t>
  </si>
  <si>
    <t>BRAGRA</t>
  </si>
  <si>
    <t>ODONAT</t>
  </si>
  <si>
    <t>LUCGOO</t>
  </si>
  <si>
    <t>BELSPP</t>
  </si>
  <si>
    <t>BELNYM</t>
  </si>
  <si>
    <t>PELSPP</t>
  </si>
  <si>
    <t>PELFEM</t>
  </si>
  <si>
    <t>PELBAL</t>
  </si>
  <si>
    <t>LIBSPP</t>
  </si>
  <si>
    <t>N</t>
  </si>
  <si>
    <t>Shrimp</t>
  </si>
  <si>
    <t>2013</t>
  </si>
  <si>
    <t>2011</t>
  </si>
  <si>
    <t>2021</t>
  </si>
  <si>
    <t>2007</t>
  </si>
  <si>
    <t>2017</t>
  </si>
  <si>
    <t>2012</t>
  </si>
  <si>
    <t>2020</t>
  </si>
  <si>
    <t>2018</t>
  </si>
  <si>
    <t>2009</t>
  </si>
  <si>
    <t>2022</t>
  </si>
  <si>
    <t>2019</t>
  </si>
  <si>
    <t>2023</t>
  </si>
  <si>
    <t>Min</t>
  </si>
  <si>
    <t>Max</t>
  </si>
  <si>
    <t>MONALB</t>
  </si>
  <si>
    <t>HETFOR</t>
  </si>
  <si>
    <t>GAMHOL</t>
  </si>
  <si>
    <t>ELAEVE</t>
  </si>
  <si>
    <t>UNIFIS</t>
  </si>
  <si>
    <t>FUNCHR</t>
  </si>
  <si>
    <t>CICURO</t>
  </si>
  <si>
    <t>ENNGLO</t>
  </si>
  <si>
    <t>CICSPP</t>
  </si>
  <si>
    <t>JORFLO</t>
  </si>
  <si>
    <t>HEMLET</t>
  </si>
  <si>
    <t>Cal for Mean Mass:</t>
  </si>
  <si>
    <t>Mean mass (g):</t>
  </si>
  <si>
    <t>Median mass (g):</t>
  </si>
  <si>
    <t>Cal for Median Mass:</t>
  </si>
  <si>
    <t>Regression</t>
  </si>
  <si>
    <t>Reverse Log</t>
  </si>
  <si>
    <t>Mg to g</t>
  </si>
  <si>
    <t>Mean Mass (g):</t>
  </si>
  <si>
    <t>Median Mass (g):</t>
  </si>
  <si>
    <t>Carapace Lengths</t>
  </si>
  <si>
    <t>Mass</t>
  </si>
  <si>
    <t>Fish</t>
  </si>
  <si>
    <t>Crayfish</t>
  </si>
  <si>
    <t>Odonata</t>
  </si>
  <si>
    <t>Calories</t>
  </si>
  <si>
    <t>Mean Carapace Length</t>
  </si>
  <si>
    <t>Prey Type</t>
  </si>
  <si>
    <t>Hemipteran</t>
  </si>
  <si>
    <t>Crayfish Length to Weight Regression (using lengths of different body parts)</t>
  </si>
  <si>
    <t>Length-to-weight regressions for 5 prey types</t>
  </si>
  <si>
    <t>Gambusia holbrooki</t>
  </si>
  <si>
    <t>Eastern mosquitofish</t>
  </si>
  <si>
    <t>gamhol</t>
  </si>
  <si>
    <t>Heterandria formosa</t>
  </si>
  <si>
    <t>Least killifish</t>
  </si>
  <si>
    <t>hetfor</t>
  </si>
  <si>
    <t>Fundulus chrysotus</t>
  </si>
  <si>
    <t>Golden topminnow</t>
  </si>
  <si>
    <t>funchr</t>
  </si>
  <si>
    <t>log wet mass(g)</t>
  </si>
  <si>
    <t>Enneacanthus gloriosus</t>
  </si>
  <si>
    <t>bluespotted sunfish</t>
  </si>
  <si>
    <t>ennglo</t>
  </si>
  <si>
    <t>Standard error</t>
  </si>
  <si>
    <t>STDERR</t>
  </si>
  <si>
    <t>std error</t>
  </si>
  <si>
    <t>stderr</t>
  </si>
  <si>
    <t>mean Mass (mg)</t>
  </si>
  <si>
    <t>median mass (mg)</t>
  </si>
  <si>
    <t>CALORIC ESTIMATE</t>
  </si>
  <si>
    <t>Hemiptera</t>
  </si>
  <si>
    <t>stdev mass</t>
  </si>
  <si>
    <t>ST DEV for mass</t>
  </si>
  <si>
    <t>STDEV mass</t>
  </si>
  <si>
    <t>STDEV calories</t>
  </si>
  <si>
    <t>STDEV Calories</t>
  </si>
  <si>
    <t>STDEV Mass</t>
  </si>
  <si>
    <t>stdev cal</t>
  </si>
  <si>
    <t>STERR calories</t>
  </si>
  <si>
    <t>Stderr mass</t>
  </si>
  <si>
    <t>St dev calories</t>
  </si>
  <si>
    <t>Average Sized Crayfish Consumed</t>
  </si>
  <si>
    <t>CLAWS=2.68</t>
  </si>
  <si>
    <t>Head Capsule Width (mm)</t>
  </si>
  <si>
    <t>Carapace Length (mm)</t>
  </si>
  <si>
    <t>Standard Length (mm)</t>
  </si>
  <si>
    <t>Total Length (mm)</t>
  </si>
  <si>
    <t>Hemipterans</t>
  </si>
  <si>
    <t>Mean body length</t>
  </si>
  <si>
    <t>paclon, perten, erysim, erymin</t>
  </si>
  <si>
    <t>From</t>
  </si>
  <si>
    <t>To</t>
  </si>
  <si>
    <t>CALORIES</t>
  </si>
  <si>
    <t xml:space="preserve">Belostoma spp. &amp; Lethocerus spp. </t>
  </si>
  <si>
    <t>Giant Water Bug &amp; Toe biter</t>
  </si>
  <si>
    <t>belost &amp; lethoc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</si>
</sst>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2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4" borderId="0" xfId="0" applyFill="1" applyAlignment="1">
      <alignment horizontal="left"/>
    </xf>
    <xf numFmtId="0" fontId="16" fillId="34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left"/>
    </xf>
    <xf numFmtId="0" fontId="0" fillId="0" borderId="11" xfId="0" applyBorder="1"/>
    <xf numFmtId="0" fontId="23" fillId="0" borderId="0" xfId="0" applyFont="1"/>
    <xf numFmtId="2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35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16" fillId="0" borderId="0" xfId="0" applyFont="1"/>
    <xf numFmtId="0" fontId="16" fillId="0" borderId="12" xfId="0" applyFont="1" applyBorder="1"/>
    <xf numFmtId="0" fontId="16" fillId="0" borderId="13" xfId="0" applyFont="1" applyBorder="1"/>
    <xf numFmtId="0" fontId="0" fillId="0" borderId="14" xfId="0" applyBorder="1"/>
    <xf numFmtId="0" fontId="0" fillId="0" borderId="15" xfId="0" applyBorder="1"/>
    <xf numFmtId="0" fontId="16" fillId="0" borderId="14" xfId="0" applyFont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0" fillId="0" borderId="10" xfId="0" applyBorder="1"/>
    <xf numFmtId="0" fontId="16" fillId="35" borderId="0" xfId="0" applyFont="1" applyFill="1"/>
    <xf numFmtId="0" fontId="0" fillId="0" borderId="19" xfId="0" applyBorder="1"/>
    <xf numFmtId="0" fontId="18" fillId="0" borderId="11" xfId="0" applyFont="1" applyBorder="1"/>
    <xf numFmtId="0" fontId="16" fillId="35" borderId="0" xfId="0" applyFont="1" applyFill="1" applyAlignment="1">
      <alignment horizontal="left"/>
    </xf>
    <xf numFmtId="0" fontId="0" fillId="35" borderId="0" xfId="0" applyFill="1" applyAlignment="1">
      <alignment horizontal="left"/>
    </xf>
    <xf numFmtId="0" fontId="0" fillId="35" borderId="0" xfId="0" applyFill="1"/>
    <xf numFmtId="0" fontId="0" fillId="0" borderId="10" xfId="0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16" fillId="0" borderId="13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16" fillId="36" borderId="0" xfId="0" applyFont="1" applyFill="1" applyAlignment="1">
      <alignment horizontal="left"/>
    </xf>
    <xf numFmtId="0" fontId="0" fillId="36" borderId="0" xfId="0" applyFill="1" applyAlignment="1">
      <alignment horizontal="left"/>
    </xf>
    <xf numFmtId="0" fontId="0" fillId="36" borderId="0" xfId="0" applyFill="1"/>
    <xf numFmtId="0" fontId="16" fillId="35" borderId="12" xfId="0" applyFont="1" applyFill="1" applyBorder="1"/>
    <xf numFmtId="0" fontId="18" fillId="0" borderId="18" xfId="0" applyFont="1" applyBorder="1"/>
    <xf numFmtId="0" fontId="16" fillId="0" borderId="18" xfId="0" applyFont="1" applyBorder="1"/>
    <xf numFmtId="0" fontId="18" fillId="0" borderId="18" xfId="0" applyFont="1" applyBorder="1" applyAlignment="1">
      <alignment horizontal="center"/>
    </xf>
    <xf numFmtId="0" fontId="0" fillId="35" borderId="16" xfId="0" applyFill="1" applyBorder="1"/>
    <xf numFmtId="0" fontId="0" fillId="0" borderId="10" xfId="0" applyBorder="1" applyAlignment="1">
      <alignment horizontal="center"/>
    </xf>
    <xf numFmtId="0" fontId="16" fillId="35" borderId="12" xfId="0" applyFont="1" applyFill="1" applyBorder="1" applyAlignment="1">
      <alignment horizontal="left"/>
    </xf>
    <xf numFmtId="0" fontId="18" fillId="0" borderId="13" xfId="0" applyFont="1" applyBorder="1" applyAlignment="1">
      <alignment horizontal="center"/>
    </xf>
    <xf numFmtId="0" fontId="0" fillId="35" borderId="14" xfId="0" applyFill="1" applyBorder="1" applyAlignment="1">
      <alignment horizontal="left"/>
    </xf>
    <xf numFmtId="0" fontId="20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35" borderId="16" xfId="0" applyFill="1" applyBorder="1" applyAlignment="1">
      <alignment horizontal="left"/>
    </xf>
    <xf numFmtId="0" fontId="20" fillId="0" borderId="10" xfId="0" applyFont="1" applyBorder="1"/>
    <xf numFmtId="0" fontId="16" fillId="0" borderId="0" xfId="0" applyFont="1" applyBorder="1"/>
    <xf numFmtId="0" fontId="16" fillId="0" borderId="22" xfId="0" applyFont="1" applyBorder="1"/>
    <xf numFmtId="0" fontId="0" fillId="0" borderId="21" xfId="0" applyBorder="1"/>
    <xf numFmtId="0" fontId="0" fillId="0" borderId="20" xfId="0" applyBorder="1"/>
    <xf numFmtId="0" fontId="1" fillId="36" borderId="0" xfId="0" applyFont="1" applyFill="1" applyAlignment="1">
      <alignment horizontal="left"/>
    </xf>
    <xf numFmtId="0" fontId="0" fillId="0" borderId="12" xfId="0" applyBorder="1"/>
    <xf numFmtId="0" fontId="0" fillId="36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yssa\AppData\Roaming\Microsoft\AddIns\XRealStats.xlam" TargetMode="External"/><Relationship Id="rId1" Type="http://schemas.openxmlformats.org/officeDocument/2006/relationships/externalLinkPath" Target="/Users/Alyssa/AppData/Roaming/Microsoft/AddIns/XRealStats.xla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yssa\AppData\Roaming\Microsoft\AddIns\XRealStats.xlam" TargetMode="External"/><Relationship Id="rId1" Type="http://schemas.openxmlformats.org/officeDocument/2006/relationships/externalLinkPath" Target="file:///C:\Users\Alyssa\AppData\Roaming\Microsoft\AddIn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XRealStats"/>
    </sheetNames>
    <definedNames>
      <definedName name="MEAN"/>
      <definedName name="STDER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</sheetNames>
    <definedNames>
      <definedName name="MEAN"/>
      <definedName name="STDER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B0ED-2217-4EE3-BAD7-073DA4AB7FA2}">
  <dimension ref="A1:O15"/>
  <sheetViews>
    <sheetView workbookViewId="0">
      <selection activeCell="A9" sqref="A9"/>
    </sheetView>
  </sheetViews>
  <sheetFormatPr defaultColWidth="8" defaultRowHeight="15.5" x14ac:dyDescent="0.35"/>
  <cols>
    <col min="1" max="1" width="26.25" customWidth="1"/>
    <col min="2" max="2" width="15.33203125" bestFit="1" customWidth="1"/>
    <col min="3" max="3" width="15.58203125" bestFit="1" customWidth="1"/>
    <col min="4" max="5" width="21.75" bestFit="1" customWidth="1"/>
    <col min="6" max="6" width="21.4140625" bestFit="1" customWidth="1"/>
  </cols>
  <sheetData>
    <row r="1" spans="1:15" x14ac:dyDescent="0.35">
      <c r="A1" s="30" t="s">
        <v>1250</v>
      </c>
    </row>
    <row r="2" spans="1:15" x14ac:dyDescent="0.35">
      <c r="B2" s="7" t="s">
        <v>319</v>
      </c>
      <c r="C2" s="7" t="s">
        <v>320</v>
      </c>
      <c r="D2" s="7" t="s">
        <v>320</v>
      </c>
      <c r="E2" s="7" t="s">
        <v>321</v>
      </c>
      <c r="F2" s="7" t="s">
        <v>322</v>
      </c>
      <c r="G2" s="7" t="s">
        <v>16</v>
      </c>
      <c r="H2" s="7" t="s">
        <v>17</v>
      </c>
      <c r="I2" s="8" t="s">
        <v>323</v>
      </c>
      <c r="J2" s="8" t="s">
        <v>324</v>
      </c>
      <c r="K2" s="8" t="s">
        <v>325</v>
      </c>
      <c r="L2" s="8" t="s">
        <v>326</v>
      </c>
      <c r="M2" s="8" t="s">
        <v>327</v>
      </c>
      <c r="N2" s="8" t="s">
        <v>328</v>
      </c>
    </row>
    <row r="3" spans="1:15" x14ac:dyDescent="0.35">
      <c r="B3" s="9" t="s">
        <v>329</v>
      </c>
      <c r="C3" t="s">
        <v>330</v>
      </c>
      <c r="D3" t="s">
        <v>331</v>
      </c>
      <c r="E3" t="s">
        <v>332</v>
      </c>
      <c r="F3" t="s">
        <v>333</v>
      </c>
      <c r="G3">
        <v>17.120999999999999</v>
      </c>
      <c r="H3">
        <v>16.844000000000001</v>
      </c>
      <c r="I3" s="10">
        <v>0.94140000000000001</v>
      </c>
      <c r="J3">
        <v>37</v>
      </c>
      <c r="K3">
        <v>0.55000000000000004</v>
      </c>
      <c r="L3">
        <v>1.9</v>
      </c>
      <c r="M3">
        <v>6.9</v>
      </c>
      <c r="N3">
        <v>29.5</v>
      </c>
      <c r="O3" t="s">
        <v>334</v>
      </c>
    </row>
    <row r="4" spans="1:15" x14ac:dyDescent="0.35">
      <c r="B4" s="9" t="s">
        <v>329</v>
      </c>
      <c r="C4" t="s">
        <v>330</v>
      </c>
      <c r="D4" t="s">
        <v>331</v>
      </c>
      <c r="E4" t="s">
        <v>335</v>
      </c>
      <c r="F4" t="s">
        <v>336</v>
      </c>
      <c r="G4">
        <v>0.75049999999999994</v>
      </c>
      <c r="H4">
        <v>0.53800000000000003</v>
      </c>
      <c r="I4" s="10">
        <v>0.93120000000000003</v>
      </c>
      <c r="J4">
        <v>37</v>
      </c>
      <c r="M4">
        <v>5.5</v>
      </c>
      <c r="N4">
        <v>27</v>
      </c>
      <c r="O4" t="s">
        <v>334</v>
      </c>
    </row>
    <row r="5" spans="1:15" x14ac:dyDescent="0.35">
      <c r="A5" t="s">
        <v>337</v>
      </c>
      <c r="B5" s="9" t="s">
        <v>329</v>
      </c>
      <c r="C5" t="s">
        <v>330</v>
      </c>
      <c r="D5" t="s">
        <v>331</v>
      </c>
      <c r="E5" t="s">
        <v>338</v>
      </c>
      <c r="F5" t="s">
        <v>339</v>
      </c>
      <c r="G5" s="10">
        <v>3.2273999999999998</v>
      </c>
      <c r="H5" s="10">
        <v>-4.6577999999999999</v>
      </c>
      <c r="I5" s="2">
        <v>0.98</v>
      </c>
      <c r="J5" s="2">
        <v>87</v>
      </c>
      <c r="M5" s="2">
        <v>5.3</v>
      </c>
      <c r="N5" s="2">
        <v>33.5</v>
      </c>
      <c r="O5" t="s">
        <v>340</v>
      </c>
    </row>
    <row r="6" spans="1:15" x14ac:dyDescent="0.35">
      <c r="B6" s="9" t="s">
        <v>341</v>
      </c>
      <c r="C6" t="s">
        <v>342</v>
      </c>
      <c r="D6" t="s">
        <v>343</v>
      </c>
      <c r="E6" t="s">
        <v>338</v>
      </c>
      <c r="F6" t="s">
        <v>339</v>
      </c>
      <c r="G6">
        <v>3.2696999999999998</v>
      </c>
      <c r="H6">
        <v>-4.6056999999999997</v>
      </c>
    </row>
    <row r="7" spans="1:15" x14ac:dyDescent="0.35">
      <c r="B7" s="9" t="s">
        <v>341</v>
      </c>
      <c r="C7" t="s">
        <v>342</v>
      </c>
      <c r="D7" t="s">
        <v>343</v>
      </c>
      <c r="E7" t="s">
        <v>344</v>
      </c>
      <c r="F7" t="s">
        <v>345</v>
      </c>
      <c r="G7">
        <v>1.109367</v>
      </c>
      <c r="H7">
        <v>2.5956190000000001</v>
      </c>
      <c r="I7">
        <v>0.90680000000000005</v>
      </c>
      <c r="J7">
        <v>26</v>
      </c>
      <c r="K7" t="s">
        <v>346</v>
      </c>
      <c r="L7">
        <v>2.79</v>
      </c>
      <c r="M7">
        <v>9.89</v>
      </c>
      <c r="N7">
        <v>37.85</v>
      </c>
    </row>
    <row r="8" spans="1:15" x14ac:dyDescent="0.35">
      <c r="B8" s="9"/>
    </row>
    <row r="9" spans="1:15" x14ac:dyDescent="0.35">
      <c r="A9" s="30" t="s">
        <v>1251</v>
      </c>
    </row>
    <row r="10" spans="1:15" x14ac:dyDescent="0.35">
      <c r="A10" s="7" t="s">
        <v>320</v>
      </c>
      <c r="B10" s="7" t="s">
        <v>414</v>
      </c>
      <c r="C10" s="7" t="s">
        <v>415</v>
      </c>
      <c r="D10" s="8" t="s">
        <v>321</v>
      </c>
      <c r="E10" s="8" t="s">
        <v>322</v>
      </c>
      <c r="F10" s="8" t="s">
        <v>16</v>
      </c>
      <c r="G10" s="8" t="s">
        <v>17</v>
      </c>
      <c r="H10" s="8" t="s">
        <v>323</v>
      </c>
      <c r="I10" s="8" t="s">
        <v>324</v>
      </c>
      <c r="J10" s="8" t="s">
        <v>416</v>
      </c>
      <c r="K10" s="8" t="s">
        <v>417</v>
      </c>
    </row>
    <row r="11" spans="1:15" x14ac:dyDescent="0.35">
      <c r="A11" s="9" t="s">
        <v>418</v>
      </c>
      <c r="B11" t="s">
        <v>419</v>
      </c>
      <c r="C11" s="12" t="s">
        <v>420</v>
      </c>
      <c r="D11" s="12" t="s">
        <v>421</v>
      </c>
      <c r="E11" s="12" t="s">
        <v>422</v>
      </c>
      <c r="F11" s="12">
        <v>2.9746999999999999</v>
      </c>
      <c r="G11" s="12">
        <v>-2.3607999999999998</v>
      </c>
      <c r="H11" s="12">
        <v>0.90549999999999997</v>
      </c>
      <c r="I11" s="12">
        <v>81</v>
      </c>
      <c r="J11" s="12">
        <v>16.559999999999999</v>
      </c>
      <c r="K11" s="12">
        <v>39.9</v>
      </c>
    </row>
    <row r="12" spans="1:15" x14ac:dyDescent="0.35">
      <c r="A12" s="9" t="s">
        <v>423</v>
      </c>
      <c r="B12" t="s">
        <v>424</v>
      </c>
      <c r="C12" t="s">
        <v>425</v>
      </c>
      <c r="D12" t="s">
        <v>426</v>
      </c>
      <c r="E12" t="s">
        <v>427</v>
      </c>
      <c r="F12" s="10">
        <v>2.5150000000000001</v>
      </c>
      <c r="G12" s="10">
        <v>-1.2267999999999999</v>
      </c>
      <c r="H12" s="10">
        <v>0.86939999999999995</v>
      </c>
      <c r="I12" s="10">
        <v>136</v>
      </c>
      <c r="J12" s="10">
        <v>5.0999999999999996</v>
      </c>
      <c r="K12" s="10">
        <v>16.3</v>
      </c>
    </row>
    <row r="13" spans="1:15" x14ac:dyDescent="0.35">
      <c r="A13" s="9" t="s">
        <v>428</v>
      </c>
      <c r="B13" t="s">
        <v>429</v>
      </c>
      <c r="C13" t="s">
        <v>430</v>
      </c>
      <c r="D13" t="s">
        <v>431</v>
      </c>
      <c r="E13" t="s">
        <v>427</v>
      </c>
      <c r="F13" s="10">
        <v>2.2071000000000001</v>
      </c>
      <c r="G13" s="10">
        <v>-0.90839999999999999</v>
      </c>
      <c r="H13" s="10">
        <v>0.38109999999999999</v>
      </c>
      <c r="I13" s="10">
        <v>35</v>
      </c>
      <c r="J13" s="10">
        <v>6.5</v>
      </c>
      <c r="K13" s="10">
        <v>10</v>
      </c>
    </row>
    <row r="14" spans="1:15" x14ac:dyDescent="0.35">
      <c r="A14" s="9" t="s">
        <v>329</v>
      </c>
      <c r="B14" t="s">
        <v>330</v>
      </c>
      <c r="C14" t="s">
        <v>331</v>
      </c>
      <c r="D14" t="s">
        <v>338</v>
      </c>
      <c r="E14" t="s">
        <v>339</v>
      </c>
      <c r="F14" s="10">
        <v>3.2273999999999998</v>
      </c>
      <c r="G14" s="10">
        <v>-4.6577999999999999</v>
      </c>
      <c r="H14" s="2">
        <v>0.98</v>
      </c>
      <c r="I14" s="2">
        <v>87</v>
      </c>
      <c r="L14" s="2">
        <v>5.3</v>
      </c>
      <c r="M14" s="2">
        <v>33.5</v>
      </c>
    </row>
    <row r="15" spans="1:15" x14ac:dyDescent="0.35">
      <c r="A15" t="s">
        <v>432</v>
      </c>
      <c r="B15" t="s">
        <v>433</v>
      </c>
      <c r="C15" t="s">
        <v>434</v>
      </c>
      <c r="D15" t="s">
        <v>435</v>
      </c>
      <c r="E15" t="s">
        <v>427</v>
      </c>
      <c r="F15" s="10">
        <v>2.4380000000000002</v>
      </c>
      <c r="G15" s="10">
        <v>-0.49540000000000001</v>
      </c>
      <c r="H15" s="10">
        <v>0.56100000000000005</v>
      </c>
      <c r="I15" s="10">
        <v>84</v>
      </c>
      <c r="J15" s="10">
        <v>2.2000000000000002</v>
      </c>
      <c r="K15" s="10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0"/>
  <sheetViews>
    <sheetView topLeftCell="X1" zoomScale="85" zoomScaleNormal="85" workbookViewId="0">
      <pane ySplit="1" topLeftCell="A2" activePane="bottomLeft" state="frozen"/>
      <selection pane="bottomLeft" activeCell="O5" sqref="O5"/>
    </sheetView>
  </sheetViews>
  <sheetFormatPr defaultColWidth="10.83203125" defaultRowHeight="15.5" x14ac:dyDescent="0.35"/>
  <cols>
    <col min="1" max="1" width="10.83203125" style="2"/>
    <col min="2" max="2" width="9.6640625" style="2" customWidth="1"/>
    <col min="3" max="3" width="10.83203125" style="2"/>
    <col min="4" max="4" width="7.58203125" style="2" customWidth="1"/>
    <col min="5" max="5" width="7.58203125" style="49" customWidth="1"/>
    <col min="6" max="6" width="8.33203125" style="2" customWidth="1"/>
    <col min="7" max="7" width="7.9140625" style="2" customWidth="1"/>
    <col min="8" max="8" width="6.1640625" style="2" customWidth="1"/>
    <col min="9" max="9" width="8.4140625" style="2" customWidth="1"/>
    <col min="10" max="10" width="8" style="2" customWidth="1"/>
    <col min="11" max="11" width="10.83203125" style="49"/>
    <col min="12" max="12" width="9.4140625" style="2" customWidth="1"/>
    <col min="13" max="13" width="9.58203125" style="2" customWidth="1"/>
    <col min="14" max="14" width="6.1640625" style="2" customWidth="1"/>
    <col min="15" max="15" width="8.83203125" style="2" customWidth="1"/>
    <col min="16" max="16" width="8.83203125" style="49" customWidth="1"/>
    <col min="17" max="17" width="52.83203125" style="2" customWidth="1"/>
    <col min="18" max="18" width="15.33203125" style="2" bestFit="1" customWidth="1"/>
    <col min="19" max="19" width="15.4140625" style="2" customWidth="1"/>
    <col min="20" max="20" width="12.4140625" style="2" customWidth="1"/>
    <col min="21" max="21" width="7.1640625" style="2" bestFit="1" customWidth="1"/>
    <col min="22" max="22" width="8.5" style="2" bestFit="1" customWidth="1"/>
    <col min="23" max="23" width="12.1640625" style="1" bestFit="1" customWidth="1"/>
    <col min="24" max="24" width="10.83203125" style="2"/>
    <col min="25" max="25" width="19.83203125" style="2" bestFit="1" customWidth="1"/>
    <col min="26" max="27" width="10.83203125" style="2"/>
    <col min="28" max="28" width="10.83203125" style="34"/>
    <col min="29" max="43" width="10.83203125" style="2"/>
    <col min="44" max="44" width="21.83203125" style="2" bestFit="1" customWidth="1"/>
    <col min="45" max="45" width="19.1640625" style="2" bestFit="1" customWidth="1"/>
    <col min="46" max="16384" width="10.83203125" style="2"/>
  </cols>
  <sheetData>
    <row r="1" spans="1:53" s="1" customFormat="1" x14ac:dyDescent="0.35">
      <c r="A1" s="1" t="s">
        <v>0</v>
      </c>
      <c r="B1" s="1" t="s">
        <v>160</v>
      </c>
      <c r="C1" s="1" t="s">
        <v>1</v>
      </c>
      <c r="D1" s="1" t="s">
        <v>2</v>
      </c>
      <c r="E1" s="48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48"/>
      <c r="L1" s="1" t="s">
        <v>8</v>
      </c>
      <c r="M1" s="1" t="s">
        <v>9</v>
      </c>
      <c r="N1" s="1" t="s">
        <v>10</v>
      </c>
      <c r="O1" s="1" t="s">
        <v>11</v>
      </c>
      <c r="P1" s="48"/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AB1" s="33" t="s">
        <v>1271</v>
      </c>
      <c r="AC1" s="1" t="s">
        <v>1241</v>
      </c>
      <c r="AD1" s="1" t="s">
        <v>1236</v>
      </c>
      <c r="AE1" s="1" t="s">
        <v>1242</v>
      </c>
      <c r="AF1" s="1" t="s">
        <v>1246</v>
      </c>
      <c r="AN1" s="57" t="s">
        <v>1236</v>
      </c>
      <c r="AO1" s="52" t="s">
        <v>319</v>
      </c>
      <c r="AP1" s="52" t="s">
        <v>320</v>
      </c>
      <c r="AQ1" s="52" t="s">
        <v>320</v>
      </c>
      <c r="AR1" s="52" t="s">
        <v>321</v>
      </c>
      <c r="AS1" s="52" t="s">
        <v>322</v>
      </c>
      <c r="AT1" s="52" t="s">
        <v>16</v>
      </c>
      <c r="AU1" s="52" t="s">
        <v>17</v>
      </c>
      <c r="AV1" s="54" t="s">
        <v>323</v>
      </c>
      <c r="AW1" s="54" t="s">
        <v>324</v>
      </c>
      <c r="AX1" s="54" t="s">
        <v>325</v>
      </c>
      <c r="AY1" s="54" t="s">
        <v>326</v>
      </c>
      <c r="AZ1" s="54" t="s">
        <v>327</v>
      </c>
      <c r="BA1" s="58" t="s">
        <v>328</v>
      </c>
    </row>
    <row r="2" spans="1:53" x14ac:dyDescent="0.35">
      <c r="A2" s="2" t="s">
        <v>19</v>
      </c>
      <c r="B2" s="2">
        <v>11</v>
      </c>
      <c r="C2" s="2" t="s">
        <v>20</v>
      </c>
      <c r="D2" s="2">
        <v>8</v>
      </c>
      <c r="F2" s="2">
        <v>2022</v>
      </c>
      <c r="G2" s="2">
        <v>1</v>
      </c>
      <c r="H2" s="2" t="s">
        <v>21</v>
      </c>
      <c r="I2" s="2">
        <v>370.8</v>
      </c>
      <c r="J2" s="2">
        <v>637</v>
      </c>
      <c r="L2" s="2" t="s">
        <v>22</v>
      </c>
      <c r="M2" s="2" t="s">
        <v>23</v>
      </c>
      <c r="N2" s="2">
        <v>1</v>
      </c>
      <c r="O2" s="2">
        <v>5.0900000000000001E-2</v>
      </c>
      <c r="Q2" s="2" t="s">
        <v>24</v>
      </c>
      <c r="R2" s="2">
        <v>2.82</v>
      </c>
      <c r="S2" s="2" t="s">
        <v>211</v>
      </c>
      <c r="T2" s="2">
        <v>2.82</v>
      </c>
      <c r="U2" s="2">
        <v>3.9074</v>
      </c>
      <c r="V2" s="2">
        <v>1.1612</v>
      </c>
      <c r="W2" s="1">
        <v>12.180067999999999</v>
      </c>
      <c r="Y2" s="2" t="s">
        <v>1283</v>
      </c>
      <c r="AC2" s="2">
        <v>2.94</v>
      </c>
      <c r="AD2" s="2">
        <f>((3.2274)*(LOG(AC2))+(-4.6578))</f>
        <v>-3.1462558258278035</v>
      </c>
      <c r="AE2" s="2">
        <f>10^AD2</f>
        <v>7.1407556828084675E-4</v>
      </c>
      <c r="AF2" s="2">
        <f>4.31*AE2</f>
        <v>3.0776656992904492E-3</v>
      </c>
      <c r="AN2" s="59"/>
      <c r="AO2" s="60" t="s">
        <v>329</v>
      </c>
      <c r="AP2" s="61" t="s">
        <v>330</v>
      </c>
      <c r="AQ2" s="61" t="s">
        <v>331</v>
      </c>
      <c r="AR2" s="61" t="s">
        <v>332</v>
      </c>
      <c r="AS2" s="61" t="s">
        <v>333</v>
      </c>
      <c r="AT2" s="61">
        <v>17.120999999999999</v>
      </c>
      <c r="AU2" s="61">
        <v>16.844000000000001</v>
      </c>
      <c r="AV2" s="62">
        <v>0.94140000000000001</v>
      </c>
      <c r="AW2" s="61">
        <v>37</v>
      </c>
      <c r="AX2" s="61">
        <v>0.55000000000000004</v>
      </c>
      <c r="AY2" s="61">
        <v>1.9</v>
      </c>
      <c r="AZ2" s="61">
        <v>6.9</v>
      </c>
      <c r="BA2" s="22">
        <v>29.5</v>
      </c>
    </row>
    <row r="3" spans="1:53" x14ac:dyDescent="0.35">
      <c r="A3" s="2" t="s">
        <v>25</v>
      </c>
      <c r="B3" s="2">
        <v>20</v>
      </c>
      <c r="C3" s="2" t="s">
        <v>20</v>
      </c>
      <c r="D3" s="2">
        <v>8</v>
      </c>
      <c r="F3" s="2">
        <v>2022</v>
      </c>
      <c r="G3" s="2">
        <v>1</v>
      </c>
      <c r="H3" s="2" t="s">
        <v>21</v>
      </c>
      <c r="I3" s="2">
        <v>217.6</v>
      </c>
      <c r="J3" s="2">
        <v>511</v>
      </c>
      <c r="L3" s="2" t="s">
        <v>26</v>
      </c>
      <c r="M3" s="2" t="s">
        <v>23</v>
      </c>
      <c r="N3" s="2">
        <v>1</v>
      </c>
      <c r="O3" s="2">
        <v>3.2399999999999998E-2</v>
      </c>
      <c r="Q3" s="2" t="s">
        <v>1284</v>
      </c>
      <c r="R3" s="2">
        <v>2.68</v>
      </c>
      <c r="S3" s="2" t="s">
        <v>212</v>
      </c>
      <c r="T3" s="2">
        <v>0.42813479402878885</v>
      </c>
      <c r="U3">
        <v>0.75049999999999994</v>
      </c>
      <c r="V3">
        <v>0.53800000000000003</v>
      </c>
      <c r="W3" s="1">
        <v>7.2329450037535477</v>
      </c>
      <c r="Y3" s="47" t="s">
        <v>1247</v>
      </c>
      <c r="Z3" s="40" t="s">
        <v>96</v>
      </c>
      <c r="AA3" s="41" t="s">
        <v>224</v>
      </c>
      <c r="AC3" s="2">
        <v>3.4514373933585598</v>
      </c>
      <c r="AD3" s="2">
        <f t="shared" ref="AD3:AD66" si="0">((3.2274)*(LOG(AC3))+(-4.6578))</f>
        <v>-2.9214588000000008</v>
      </c>
      <c r="AE3" s="2">
        <f t="shared" ref="AE3:AE66" si="1">10^AD3</f>
        <v>1.198232789956317E-3</v>
      </c>
      <c r="AF3" s="2">
        <f t="shared" ref="AF3:AF66" si="2">4.31*AE3</f>
        <v>5.1643833247117261E-3</v>
      </c>
      <c r="AN3" s="59"/>
      <c r="AO3" s="60" t="s">
        <v>329</v>
      </c>
      <c r="AP3" s="61" t="s">
        <v>330</v>
      </c>
      <c r="AQ3" s="61" t="s">
        <v>331</v>
      </c>
      <c r="AR3" s="61" t="s">
        <v>335</v>
      </c>
      <c r="AS3" s="61" t="s">
        <v>336</v>
      </c>
      <c r="AT3" s="61">
        <v>0.75049999999999994</v>
      </c>
      <c r="AU3" s="61">
        <v>0.53800000000000003</v>
      </c>
      <c r="AV3" s="62">
        <v>0.93120000000000003</v>
      </c>
      <c r="AW3" s="61">
        <v>37</v>
      </c>
      <c r="AX3" s="61"/>
      <c r="AY3" s="61"/>
      <c r="AZ3" s="61">
        <v>5.5</v>
      </c>
      <c r="BA3" s="22">
        <v>27</v>
      </c>
    </row>
    <row r="4" spans="1:53" x14ac:dyDescent="0.35">
      <c r="A4" s="2" t="s">
        <v>27</v>
      </c>
      <c r="B4" s="2">
        <v>23</v>
      </c>
      <c r="C4" s="2" t="s">
        <v>20</v>
      </c>
      <c r="D4" s="2">
        <v>37</v>
      </c>
      <c r="F4" s="2">
        <v>2022</v>
      </c>
      <c r="G4" s="2">
        <v>1</v>
      </c>
      <c r="H4" s="2" t="s">
        <v>21</v>
      </c>
      <c r="I4" s="2">
        <v>264.7</v>
      </c>
      <c r="J4" s="2">
        <v>853</v>
      </c>
      <c r="L4" s="2" t="s">
        <v>22</v>
      </c>
      <c r="M4" s="2" t="s">
        <v>23</v>
      </c>
      <c r="N4" s="2">
        <v>1</v>
      </c>
      <c r="O4" s="2">
        <v>1.7000000000000001E-2</v>
      </c>
      <c r="Q4" s="2" t="s">
        <v>28</v>
      </c>
      <c r="R4" s="2" t="s">
        <v>28</v>
      </c>
      <c r="S4" s="2" t="s">
        <v>28</v>
      </c>
      <c r="T4" s="4"/>
      <c r="U4" s="4"/>
      <c r="V4" s="4"/>
      <c r="W4" s="4"/>
      <c r="Y4" s="44" t="e" cm="1">
        <f t="array" aca="1" ref="Y4" ca="1">[1]!MEAN(W2:W200)</f>
        <v>#NAME?</v>
      </c>
      <c r="Z4" s="36">
        <f>_xlfn.STDEV.S(W2:W200)</f>
        <v>6.2028475723541323</v>
      </c>
      <c r="AA4" s="45" t="e" cm="1">
        <f t="array" aca="1" ref="AA4" ca="1">[1]!STDERR(W2:W200)</f>
        <v>#NAME?</v>
      </c>
      <c r="AC4" s="2">
        <v>3.51</v>
      </c>
      <c r="AD4" s="2">
        <f t="shared" si="0"/>
        <v>-2.8978758123181994</v>
      </c>
      <c r="AE4" s="2">
        <f t="shared" si="1"/>
        <v>1.2650980539636394E-3</v>
      </c>
      <c r="AF4" s="2">
        <f t="shared" si="2"/>
        <v>5.4525726125832855E-3</v>
      </c>
      <c r="AN4" s="63"/>
      <c r="AO4" s="64" t="s">
        <v>329</v>
      </c>
      <c r="AP4" s="29" t="s">
        <v>330</v>
      </c>
      <c r="AQ4" s="29" t="s">
        <v>331</v>
      </c>
      <c r="AR4" s="29" t="s">
        <v>338</v>
      </c>
      <c r="AS4" s="29" t="s">
        <v>339</v>
      </c>
      <c r="AT4" s="56">
        <v>3.2273999999999998</v>
      </c>
      <c r="AU4" s="56">
        <v>-4.6577999999999999</v>
      </c>
      <c r="AV4" s="36">
        <v>0.98</v>
      </c>
      <c r="AW4" s="36">
        <v>87</v>
      </c>
      <c r="AX4" s="29"/>
      <c r="AY4" s="29"/>
      <c r="AZ4" s="36">
        <v>5.3</v>
      </c>
      <c r="BA4" s="45">
        <v>33.5</v>
      </c>
    </row>
    <row r="5" spans="1:53" x14ac:dyDescent="0.35">
      <c r="A5" s="2" t="s">
        <v>29</v>
      </c>
      <c r="B5" s="2">
        <v>101</v>
      </c>
      <c r="C5" s="2" t="s">
        <v>30</v>
      </c>
      <c r="D5" s="2">
        <v>1</v>
      </c>
      <c r="F5" s="2">
        <v>2023</v>
      </c>
      <c r="G5" s="2">
        <v>1</v>
      </c>
      <c r="H5" s="2">
        <v>30</v>
      </c>
      <c r="I5" s="2">
        <v>43.4</v>
      </c>
      <c r="J5" s="2">
        <v>315</v>
      </c>
      <c r="L5" s="2" t="s">
        <v>31</v>
      </c>
      <c r="M5" s="2" t="s">
        <v>23</v>
      </c>
      <c r="N5" s="2">
        <v>1</v>
      </c>
      <c r="O5" s="2">
        <v>5.5999999999999999E-3</v>
      </c>
      <c r="Q5" s="2" t="s">
        <v>32</v>
      </c>
      <c r="R5" s="2" t="s">
        <v>28</v>
      </c>
      <c r="S5" s="2" t="s">
        <v>28</v>
      </c>
      <c r="T5" s="4"/>
      <c r="U5" s="4"/>
      <c r="V5" s="4"/>
      <c r="W5" s="4"/>
      <c r="AC5" s="2">
        <v>3.69</v>
      </c>
      <c r="AD5" s="2">
        <f t="shared" si="0"/>
        <v>-2.8277791058582489</v>
      </c>
      <c r="AE5" s="2">
        <f t="shared" si="1"/>
        <v>1.4866916223438254E-3</v>
      </c>
      <c r="AF5" s="2">
        <f t="shared" si="2"/>
        <v>6.4076408923018869E-3</v>
      </c>
    </row>
    <row r="6" spans="1:53" x14ac:dyDescent="0.35">
      <c r="A6" s="2" t="s">
        <v>85</v>
      </c>
      <c r="B6" s="2">
        <v>112</v>
      </c>
      <c r="C6" s="2" t="s">
        <v>30</v>
      </c>
      <c r="D6" s="2">
        <v>2</v>
      </c>
      <c r="F6" s="2">
        <v>2022</v>
      </c>
      <c r="G6" s="2">
        <v>11</v>
      </c>
      <c r="H6" s="2">
        <v>16</v>
      </c>
      <c r="I6" s="2">
        <v>79.900000000000006</v>
      </c>
      <c r="J6" s="2">
        <v>417</v>
      </c>
      <c r="L6" s="2" t="s">
        <v>31</v>
      </c>
      <c r="M6" s="2" t="s">
        <v>86</v>
      </c>
      <c r="N6" s="2">
        <v>1</v>
      </c>
      <c r="O6" s="2">
        <v>9.06E-2</v>
      </c>
      <c r="Q6" s="2" t="s">
        <v>87</v>
      </c>
      <c r="R6" s="2" t="s">
        <v>28</v>
      </c>
      <c r="S6" s="2" t="s">
        <v>28</v>
      </c>
      <c r="T6" s="4"/>
      <c r="U6" s="4"/>
      <c r="V6" s="4"/>
      <c r="W6" s="4"/>
      <c r="AC6" s="2">
        <v>4.0199999999999996</v>
      </c>
      <c r="AD6" s="2">
        <f t="shared" si="0"/>
        <v>-2.7077208362751817</v>
      </c>
      <c r="AE6" s="2">
        <f t="shared" si="1"/>
        <v>1.9601042201712695E-3</v>
      </c>
      <c r="AF6" s="2">
        <f t="shared" si="2"/>
        <v>8.4480491889381715E-3</v>
      </c>
      <c r="AH6" s="38" t="s">
        <v>1239</v>
      </c>
      <c r="AI6" s="39" t="s">
        <v>1232</v>
      </c>
      <c r="AJ6" s="39" t="s">
        <v>1280</v>
      </c>
      <c r="AK6" s="39" t="s">
        <v>1281</v>
      </c>
      <c r="AL6" s="39" t="s">
        <v>1282</v>
      </c>
      <c r="AM6" s="46" t="s">
        <v>1274</v>
      </c>
    </row>
    <row r="7" spans="1:53" x14ac:dyDescent="0.35">
      <c r="A7" s="2" t="s">
        <v>88</v>
      </c>
      <c r="B7" s="2">
        <v>114</v>
      </c>
      <c r="C7" s="2" t="s">
        <v>20</v>
      </c>
      <c r="D7" s="2">
        <v>7</v>
      </c>
      <c r="F7" s="2">
        <v>2023</v>
      </c>
      <c r="G7" s="2">
        <v>2</v>
      </c>
      <c r="H7" s="2">
        <v>12</v>
      </c>
      <c r="I7" s="2">
        <v>99.8</v>
      </c>
      <c r="J7" s="2">
        <v>378</v>
      </c>
      <c r="L7" s="2" t="s">
        <v>31</v>
      </c>
      <c r="M7" s="2" t="s">
        <v>86</v>
      </c>
      <c r="N7" s="2">
        <v>1</v>
      </c>
      <c r="O7" s="2">
        <v>5.3400000000000003E-2</v>
      </c>
      <c r="Q7" s="2" t="s">
        <v>89</v>
      </c>
      <c r="R7" s="2">
        <v>1.53</v>
      </c>
      <c r="S7" s="2" t="s">
        <v>211</v>
      </c>
      <c r="T7" s="2">
        <v>1.53</v>
      </c>
      <c r="U7" s="2">
        <v>3.9074</v>
      </c>
      <c r="V7" s="2">
        <v>1.1612</v>
      </c>
      <c r="W7" s="1">
        <v>7.1395220000000004</v>
      </c>
      <c r="AC7" s="2">
        <v>4.29</v>
      </c>
      <c r="AD7" s="2">
        <f t="shared" si="0"/>
        <v>-2.616607335203021</v>
      </c>
      <c r="AE7" s="2">
        <f t="shared" si="1"/>
        <v>2.4176457467156047E-3</v>
      </c>
      <c r="AF7" s="2">
        <f t="shared" si="2"/>
        <v>1.0420053168344256E-2</v>
      </c>
      <c r="AH7" s="42" cm="1">
        <f t="array" ref="AH7">[2]!MEAN(AE2:AE150)</f>
        <v>0.18367100998267794</v>
      </c>
      <c r="AI7" s="2">
        <f>4.31*AH7</f>
        <v>0.79162205302534183</v>
      </c>
      <c r="AJ7" s="2" cm="1">
        <f t="array" ref="AJ7">[2]!STDERR(AE2:AE150)</f>
        <v>2.3362489628769145E-2</v>
      </c>
      <c r="AK7" s="2" cm="1">
        <f t="array" ref="AK7">[2]!STDERR(AF2:AF150)</f>
        <v>0.100692330299995</v>
      </c>
      <c r="AL7" s="2">
        <f>_xlfn.STDEV.P(AF2:AF150)</f>
        <v>1.2166700562032091</v>
      </c>
      <c r="AM7" s="43">
        <f>_xlfn.STDEV.P(AE2:AE150)</f>
        <v>0.28229003624204391</v>
      </c>
    </row>
    <row r="8" spans="1:53" x14ac:dyDescent="0.35">
      <c r="A8" s="2" t="s">
        <v>33</v>
      </c>
      <c r="B8" s="2">
        <v>120</v>
      </c>
      <c r="C8" s="2" t="s">
        <v>20</v>
      </c>
      <c r="D8" s="2">
        <v>8</v>
      </c>
      <c r="F8" s="2">
        <v>2022</v>
      </c>
      <c r="G8" s="2">
        <v>11</v>
      </c>
      <c r="H8" s="2">
        <v>14</v>
      </c>
      <c r="I8" s="2">
        <v>470.6</v>
      </c>
      <c r="J8" s="2">
        <v>735</v>
      </c>
      <c r="L8" s="2" t="s">
        <v>22</v>
      </c>
      <c r="M8" s="2" t="s">
        <v>23</v>
      </c>
      <c r="N8" s="2">
        <v>1</v>
      </c>
      <c r="O8" s="2">
        <v>0.40179999999999999</v>
      </c>
      <c r="Q8" s="2" t="s">
        <v>34</v>
      </c>
      <c r="R8" s="2">
        <v>4.37</v>
      </c>
      <c r="S8" s="2" t="s">
        <v>213</v>
      </c>
      <c r="T8" s="2">
        <v>4.37</v>
      </c>
      <c r="U8" s="2">
        <v>3.9074</v>
      </c>
      <c r="V8" s="2">
        <v>1.1612</v>
      </c>
      <c r="W8" s="1">
        <v>18.236537999999999</v>
      </c>
      <c r="AC8" s="2">
        <v>4.46</v>
      </c>
      <c r="AD8" s="2">
        <f t="shared" si="0"/>
        <v>-2.5621366769924334</v>
      </c>
      <c r="AE8" s="2">
        <f t="shared" si="1"/>
        <v>2.7407115057611138E-3</v>
      </c>
      <c r="AF8" s="2">
        <f t="shared" si="2"/>
        <v>1.1812466589830399E-2</v>
      </c>
      <c r="AH8" s="42"/>
      <c r="AM8" s="43"/>
    </row>
    <row r="9" spans="1:53" x14ac:dyDescent="0.35">
      <c r="A9" s="2" t="s">
        <v>35</v>
      </c>
      <c r="B9" s="2">
        <v>122</v>
      </c>
      <c r="C9" s="2" t="s">
        <v>20</v>
      </c>
      <c r="D9" s="2">
        <v>7</v>
      </c>
      <c r="F9" s="2">
        <v>2023</v>
      </c>
      <c r="G9" s="2">
        <v>2</v>
      </c>
      <c r="H9" s="2">
        <v>1</v>
      </c>
      <c r="I9" s="2">
        <v>691</v>
      </c>
      <c r="J9" s="2">
        <v>707</v>
      </c>
      <c r="L9" s="2" t="s">
        <v>22</v>
      </c>
      <c r="M9" s="2" t="s">
        <v>23</v>
      </c>
      <c r="N9" s="2">
        <v>1</v>
      </c>
      <c r="O9" s="2">
        <v>5.57E-2</v>
      </c>
      <c r="Q9" s="2" t="s">
        <v>36</v>
      </c>
      <c r="R9" s="2">
        <v>6.8</v>
      </c>
      <c r="S9" s="2" t="s">
        <v>212</v>
      </c>
      <c r="T9" s="2">
        <v>0.83250891270623628</v>
      </c>
      <c r="U9">
        <v>0.75049999999999994</v>
      </c>
      <c r="V9">
        <v>0.53800000000000003</v>
      </c>
      <c r="W9" s="1">
        <v>14.547820672982006</v>
      </c>
      <c r="AC9" s="2">
        <v>4.6307365696499279</v>
      </c>
      <c r="AD9" s="2">
        <f t="shared" si="0"/>
        <v>-2.509480945257538</v>
      </c>
      <c r="AE9" s="2">
        <f t="shared" si="1"/>
        <v>3.0939910618449488E-3</v>
      </c>
      <c r="AF9" s="2">
        <f t="shared" si="2"/>
        <v>1.3335101476551729E-2</v>
      </c>
      <c r="AH9" s="42"/>
      <c r="AI9" s="1" t="s">
        <v>1240</v>
      </c>
      <c r="AJ9" s="1" t="s">
        <v>1235</v>
      </c>
      <c r="AM9" s="43"/>
    </row>
    <row r="10" spans="1:53" x14ac:dyDescent="0.35">
      <c r="A10" s="2" t="s">
        <v>90</v>
      </c>
      <c r="B10" s="2">
        <v>143</v>
      </c>
      <c r="C10" s="2" t="s">
        <v>41</v>
      </c>
      <c r="D10" s="2" t="s">
        <v>91</v>
      </c>
      <c r="F10" s="2">
        <v>2023</v>
      </c>
      <c r="G10" s="2">
        <v>2</v>
      </c>
      <c r="H10" s="2">
        <v>10</v>
      </c>
      <c r="I10" s="2">
        <v>179.1</v>
      </c>
      <c r="J10" s="2">
        <v>462</v>
      </c>
      <c r="L10" s="2" t="s">
        <v>26</v>
      </c>
      <c r="M10" s="2" t="s">
        <v>86</v>
      </c>
      <c r="N10" s="2">
        <v>1</v>
      </c>
      <c r="O10" s="2">
        <v>0.1794</v>
      </c>
      <c r="Q10" s="2" t="s">
        <v>92</v>
      </c>
      <c r="R10" s="2" t="s">
        <v>28</v>
      </c>
      <c r="S10" s="2" t="s">
        <v>28</v>
      </c>
      <c r="T10" s="4"/>
      <c r="U10" s="4"/>
      <c r="V10" s="4"/>
      <c r="W10" s="5"/>
      <c r="AC10" s="2">
        <v>4.6556068063670191</v>
      </c>
      <c r="AD10" s="2">
        <f t="shared" si="0"/>
        <v>-2.501973307313333</v>
      </c>
      <c r="AE10" s="2">
        <f t="shared" si="1"/>
        <v>3.1479417875279678E-3</v>
      </c>
      <c r="AF10" s="2">
        <f t="shared" si="2"/>
        <v>1.356762910424554E-2</v>
      </c>
      <c r="AH10" s="44"/>
      <c r="AI10" s="36">
        <f>MEDIAN(AE2:AE150)</f>
        <v>7.7659515222720341E-2</v>
      </c>
      <c r="AJ10" s="36">
        <f>4.31*AI10</f>
        <v>0.33471251060992463</v>
      </c>
      <c r="AK10" s="36"/>
      <c r="AL10" s="36"/>
      <c r="AM10" s="45"/>
    </row>
    <row r="11" spans="1:53" x14ac:dyDescent="0.35">
      <c r="A11" s="2" t="s">
        <v>37</v>
      </c>
      <c r="B11" s="2">
        <v>316</v>
      </c>
      <c r="C11" s="2" t="s">
        <v>30</v>
      </c>
      <c r="D11" s="2" t="s">
        <v>38</v>
      </c>
      <c r="F11" s="2">
        <v>2019</v>
      </c>
      <c r="G11" s="2">
        <v>8</v>
      </c>
      <c r="H11" s="2">
        <v>6</v>
      </c>
      <c r="I11" s="2">
        <v>37.299999999999997</v>
      </c>
      <c r="J11" s="2">
        <v>360</v>
      </c>
      <c r="L11" s="2" t="s">
        <v>31</v>
      </c>
      <c r="M11" s="2" t="s">
        <v>23</v>
      </c>
      <c r="N11" s="2">
        <v>2</v>
      </c>
      <c r="O11" s="2">
        <v>0.1472</v>
      </c>
      <c r="Q11" s="2" t="s">
        <v>39</v>
      </c>
      <c r="R11" s="2">
        <v>3.22</v>
      </c>
      <c r="S11" s="2" t="s">
        <v>211</v>
      </c>
      <c r="T11" s="2">
        <v>3.22</v>
      </c>
      <c r="U11" s="2">
        <v>3.9074</v>
      </c>
      <c r="V11" s="2">
        <v>1.1612</v>
      </c>
      <c r="W11" s="1">
        <v>13.743028000000002</v>
      </c>
      <c r="AC11" s="2">
        <v>5.2</v>
      </c>
      <c r="AD11" s="2">
        <f t="shared" si="0"/>
        <v>-2.3469708087530492</v>
      </c>
      <c r="AE11" s="2">
        <f t="shared" si="1"/>
        <v>4.4981008801074831E-3</v>
      </c>
      <c r="AF11" s="2">
        <f t="shared" si="2"/>
        <v>1.9386814793263249E-2</v>
      </c>
    </row>
    <row r="12" spans="1:53" x14ac:dyDescent="0.35">
      <c r="A12" s="2" t="s">
        <v>37</v>
      </c>
      <c r="B12" s="2">
        <v>316</v>
      </c>
      <c r="C12" s="2" t="s">
        <v>30</v>
      </c>
      <c r="D12" s="2" t="s">
        <v>38</v>
      </c>
      <c r="F12" s="2">
        <v>2019</v>
      </c>
      <c r="G12" s="2">
        <v>8</v>
      </c>
      <c r="H12" s="2">
        <v>6</v>
      </c>
      <c r="I12" s="2">
        <v>37.299999999999997</v>
      </c>
      <c r="J12" s="2">
        <v>360</v>
      </c>
      <c r="L12" s="2" t="s">
        <v>31</v>
      </c>
      <c r="M12" s="2" t="s">
        <v>23</v>
      </c>
      <c r="N12" s="2">
        <v>2</v>
      </c>
      <c r="O12" s="2">
        <v>0.1472</v>
      </c>
      <c r="Q12" s="2" t="s">
        <v>39</v>
      </c>
      <c r="R12" s="2">
        <v>3.45</v>
      </c>
      <c r="S12" s="2" t="s">
        <v>211</v>
      </c>
      <c r="T12" s="36">
        <v>3.45</v>
      </c>
      <c r="U12" s="36">
        <v>3.9074</v>
      </c>
      <c r="V12" s="36">
        <v>1.1612</v>
      </c>
      <c r="W12" s="37">
        <v>14.641729999999999</v>
      </c>
      <c r="AC12" s="2">
        <v>5.28</v>
      </c>
      <c r="AD12" s="2">
        <f t="shared" si="0"/>
        <v>-2.3255712784143743</v>
      </c>
      <c r="AE12" s="2">
        <f t="shared" si="1"/>
        <v>4.7252927684840523E-3</v>
      </c>
      <c r="AF12" s="2">
        <f t="shared" si="2"/>
        <v>2.0366011832166263E-2</v>
      </c>
    </row>
    <row r="13" spans="1:53" x14ac:dyDescent="0.35">
      <c r="A13" s="2" t="s">
        <v>40</v>
      </c>
      <c r="B13" s="2">
        <v>334</v>
      </c>
      <c r="C13" s="2" t="s">
        <v>41</v>
      </c>
      <c r="D13" s="2" t="s">
        <v>42</v>
      </c>
      <c r="F13" s="2">
        <v>2018</v>
      </c>
      <c r="G13" s="2">
        <v>8</v>
      </c>
      <c r="H13" s="2">
        <v>15</v>
      </c>
      <c r="I13" s="2">
        <v>378.7</v>
      </c>
      <c r="J13" s="2">
        <v>746</v>
      </c>
      <c r="L13" s="2" t="s">
        <v>22</v>
      </c>
      <c r="M13" s="2" t="s">
        <v>23</v>
      </c>
      <c r="N13" s="2">
        <v>1</v>
      </c>
      <c r="O13" s="2">
        <v>0.16919999999999999</v>
      </c>
      <c r="Q13" s="2" t="s">
        <v>43</v>
      </c>
      <c r="R13" s="2" t="s">
        <v>28</v>
      </c>
      <c r="S13" s="2" t="s">
        <v>28</v>
      </c>
      <c r="T13" s="4"/>
      <c r="U13" s="4"/>
      <c r="V13" s="4"/>
      <c r="W13" s="5"/>
      <c r="AC13" s="2">
        <v>5.49</v>
      </c>
      <c r="AD13" s="2">
        <f t="shared" si="0"/>
        <v>-2.2709042155217736</v>
      </c>
      <c r="AE13" s="2">
        <f t="shared" si="1"/>
        <v>5.3591484152281637E-3</v>
      </c>
      <c r="AF13" s="2">
        <f t="shared" si="2"/>
        <v>2.3097929669633383E-2</v>
      </c>
    </row>
    <row r="14" spans="1:53" x14ac:dyDescent="0.35">
      <c r="A14" s="2" t="s">
        <v>44</v>
      </c>
      <c r="B14" s="2">
        <v>381</v>
      </c>
      <c r="C14" s="2" t="s">
        <v>45</v>
      </c>
      <c r="D14" s="2" t="s">
        <v>46</v>
      </c>
      <c r="F14" s="2">
        <v>2023</v>
      </c>
      <c r="G14" s="2">
        <v>7</v>
      </c>
      <c r="H14" s="2">
        <v>17</v>
      </c>
      <c r="I14" s="2">
        <v>70.7</v>
      </c>
      <c r="J14" s="2">
        <v>446</v>
      </c>
      <c r="L14" s="2" t="s">
        <v>31</v>
      </c>
      <c r="M14" s="2" t="s">
        <v>23</v>
      </c>
      <c r="N14" s="2">
        <v>1</v>
      </c>
      <c r="O14" s="2">
        <v>6.9000000000000006E-2</v>
      </c>
      <c r="Q14" s="2" t="s">
        <v>47</v>
      </c>
      <c r="R14" s="2">
        <v>2.13</v>
      </c>
      <c r="S14" s="2" t="s">
        <v>211</v>
      </c>
      <c r="T14" s="2">
        <v>2.13</v>
      </c>
      <c r="U14" s="2">
        <v>3.9074</v>
      </c>
      <c r="V14" s="2">
        <v>1.1612</v>
      </c>
      <c r="W14" s="1">
        <v>9.4839619999999982</v>
      </c>
      <c r="AC14" s="2">
        <v>5.974249097623769</v>
      </c>
      <c r="AD14" s="2">
        <f t="shared" si="0"/>
        <v>-2.1524231915726628</v>
      </c>
    </row>
    <row r="15" spans="1:53" x14ac:dyDescent="0.35">
      <c r="A15" s="2" t="s">
        <v>48</v>
      </c>
      <c r="B15" s="2">
        <v>403</v>
      </c>
      <c r="C15" s="2" t="s">
        <v>41</v>
      </c>
      <c r="D15" s="2" t="s">
        <v>49</v>
      </c>
      <c r="F15" s="2">
        <v>2023</v>
      </c>
      <c r="G15" s="2">
        <v>7</v>
      </c>
      <c r="H15" s="2">
        <v>19</v>
      </c>
      <c r="I15" s="2">
        <v>185.5</v>
      </c>
      <c r="J15" s="2">
        <v>613</v>
      </c>
      <c r="L15" s="2" t="s">
        <v>22</v>
      </c>
      <c r="M15" s="2" t="s">
        <v>23</v>
      </c>
      <c r="N15" s="2">
        <v>1</v>
      </c>
      <c r="O15" s="2">
        <v>2.2100000000000002E-2</v>
      </c>
      <c r="Q15" s="2" t="s">
        <v>28</v>
      </c>
      <c r="R15" s="2" t="s">
        <v>28</v>
      </c>
      <c r="S15" s="2" t="s">
        <v>28</v>
      </c>
      <c r="T15" s="4"/>
      <c r="U15" s="4"/>
      <c r="V15" s="4"/>
      <c r="W15" s="5"/>
      <c r="AC15" s="2">
        <v>6.56</v>
      </c>
      <c r="AD15" s="2">
        <f t="shared" si="0"/>
        <v>-2.0213245487989941</v>
      </c>
      <c r="AE15" s="2">
        <f t="shared" si="1"/>
        <v>9.5208440426425428E-3</v>
      </c>
      <c r="AF15" s="2">
        <f t="shared" si="2"/>
        <v>4.1034837823789354E-2</v>
      </c>
    </row>
    <row r="16" spans="1:53" x14ac:dyDescent="0.35">
      <c r="A16" s="2" t="s">
        <v>50</v>
      </c>
      <c r="B16" s="2">
        <v>405</v>
      </c>
      <c r="C16" s="2" t="s">
        <v>51</v>
      </c>
      <c r="D16" s="2" t="s">
        <v>52</v>
      </c>
      <c r="F16" s="2">
        <v>2019</v>
      </c>
      <c r="G16" s="2">
        <v>10</v>
      </c>
      <c r="H16" s="2">
        <v>29</v>
      </c>
      <c r="I16" s="2">
        <v>164.8</v>
      </c>
      <c r="J16" s="2">
        <v>574</v>
      </c>
      <c r="L16" s="2" t="s">
        <v>26</v>
      </c>
      <c r="M16" s="2" t="s">
        <v>23</v>
      </c>
      <c r="N16" s="2">
        <v>1</v>
      </c>
      <c r="O16" s="2">
        <v>0.35470000000000002</v>
      </c>
      <c r="Q16" s="2" t="s">
        <v>53</v>
      </c>
      <c r="R16" s="2" t="s">
        <v>28</v>
      </c>
      <c r="S16" s="2" t="s">
        <v>28</v>
      </c>
      <c r="T16" s="4"/>
      <c r="U16" s="4"/>
      <c r="V16" s="4"/>
      <c r="W16" s="5"/>
      <c r="AC16" s="2">
        <v>6.7878559999999997</v>
      </c>
      <c r="AD16" s="2">
        <f t="shared" si="0"/>
        <v>-1.9734661407105811</v>
      </c>
    </row>
    <row r="17" spans="1:32" x14ac:dyDescent="0.35">
      <c r="A17" s="2" t="s">
        <v>54</v>
      </c>
      <c r="B17" s="2">
        <v>411</v>
      </c>
      <c r="C17" s="2" t="s">
        <v>20</v>
      </c>
      <c r="D17" s="2" t="s">
        <v>55</v>
      </c>
      <c r="F17" s="2">
        <v>2023</v>
      </c>
      <c r="G17" s="2">
        <v>7</v>
      </c>
      <c r="H17" s="2">
        <v>21</v>
      </c>
      <c r="I17" s="2">
        <v>72.5</v>
      </c>
      <c r="J17" s="2">
        <v>406</v>
      </c>
      <c r="L17" s="2" t="s">
        <v>31</v>
      </c>
      <c r="M17" s="2" t="s">
        <v>23</v>
      </c>
      <c r="N17" s="2">
        <v>1</v>
      </c>
      <c r="O17" s="2">
        <v>6.1000000000000004E-3</v>
      </c>
      <c r="Q17" s="2" t="s">
        <v>56</v>
      </c>
      <c r="R17" s="2">
        <v>0.36</v>
      </c>
      <c r="S17" s="2" t="s">
        <v>214</v>
      </c>
      <c r="T17" s="2">
        <f>LN(R17)</f>
        <v>-1.0216512475319814</v>
      </c>
      <c r="U17" s="2">
        <v>17.120999999999999</v>
      </c>
      <c r="V17" s="2">
        <v>16.844000000000001</v>
      </c>
      <c r="W17" s="11">
        <f>T17*U17+V17</f>
        <v>-0.64769100899505005</v>
      </c>
      <c r="AC17" s="2">
        <v>6.7878559999999997</v>
      </c>
      <c r="AD17" s="2">
        <f t="shared" si="0"/>
        <v>-1.9734661407105811</v>
      </c>
      <c r="AE17" s="2">
        <f t="shared" si="1"/>
        <v>1.0630014557790779E-2</v>
      </c>
      <c r="AF17" s="2">
        <f t="shared" si="2"/>
        <v>4.5815362744078256E-2</v>
      </c>
    </row>
    <row r="18" spans="1:32" x14ac:dyDescent="0.35">
      <c r="A18" s="2" t="s">
        <v>57</v>
      </c>
      <c r="B18" s="2">
        <v>417</v>
      </c>
      <c r="C18" s="2" t="s">
        <v>30</v>
      </c>
      <c r="D18" s="2" t="s">
        <v>58</v>
      </c>
      <c r="F18" s="2">
        <v>2023</v>
      </c>
      <c r="G18" s="2">
        <v>7</v>
      </c>
      <c r="H18" s="2">
        <v>31</v>
      </c>
      <c r="I18" s="2">
        <v>206</v>
      </c>
      <c r="J18" s="2">
        <v>571.5</v>
      </c>
      <c r="L18" s="2" t="s">
        <v>26</v>
      </c>
      <c r="M18" s="2" t="s">
        <v>23</v>
      </c>
      <c r="N18" s="2">
        <v>1</v>
      </c>
      <c r="O18" s="2">
        <v>2.2700000000000001E-2</v>
      </c>
      <c r="Q18" s="2" t="s">
        <v>59</v>
      </c>
      <c r="R18" s="2">
        <v>3.74</v>
      </c>
      <c r="S18" s="2" t="s">
        <v>212</v>
      </c>
      <c r="T18" s="2">
        <v>0.57287160220048017</v>
      </c>
      <c r="U18">
        <v>0.75049999999999994</v>
      </c>
      <c r="V18">
        <v>0.53800000000000003</v>
      </c>
      <c r="W18" s="1">
        <v>3.4514373933585598</v>
      </c>
      <c r="AC18" s="2">
        <v>7.1110727076307025</v>
      </c>
      <c r="AD18" s="2">
        <f t="shared" si="0"/>
        <v>-1.9082645965021872</v>
      </c>
      <c r="AE18" s="2">
        <f t="shared" si="1"/>
        <v>1.2351946544432993E-2</v>
      </c>
      <c r="AF18" s="2">
        <f t="shared" si="2"/>
        <v>5.3236889606506195E-2</v>
      </c>
    </row>
    <row r="19" spans="1:32" x14ac:dyDescent="0.35">
      <c r="A19" s="2" t="s">
        <v>60</v>
      </c>
      <c r="B19" s="2">
        <v>420</v>
      </c>
      <c r="C19" s="2" t="s">
        <v>30</v>
      </c>
      <c r="D19" s="2" t="s">
        <v>61</v>
      </c>
      <c r="F19" s="2">
        <v>2023</v>
      </c>
      <c r="G19" s="2">
        <v>7</v>
      </c>
      <c r="H19" s="2">
        <v>28</v>
      </c>
      <c r="I19" s="2">
        <v>79.8</v>
      </c>
      <c r="J19" s="2">
        <v>436.8</v>
      </c>
      <c r="L19" s="2" t="s">
        <v>31</v>
      </c>
      <c r="M19" s="2" t="s">
        <v>23</v>
      </c>
      <c r="N19" s="2">
        <v>1</v>
      </c>
      <c r="O19" s="2">
        <v>2.53E-2</v>
      </c>
      <c r="Q19" s="2" t="s">
        <v>62</v>
      </c>
      <c r="R19" s="2">
        <v>6.27</v>
      </c>
      <c r="S19" s="2" t="s">
        <v>212</v>
      </c>
      <c r="T19" s="2">
        <v>0.79726754083071638</v>
      </c>
      <c r="U19">
        <v>0.75049999999999994</v>
      </c>
      <c r="V19">
        <v>0.53800000000000003</v>
      </c>
      <c r="W19" s="1">
        <v>13.688292893507702</v>
      </c>
      <c r="AC19" s="2">
        <v>7.1395220000000004</v>
      </c>
      <c r="AD19" s="2">
        <f t="shared" si="0"/>
        <v>-1.9026682298722406</v>
      </c>
      <c r="AE19" s="2">
        <f t="shared" si="1"/>
        <v>1.2512145041971519E-2</v>
      </c>
      <c r="AF19" s="2">
        <f t="shared" si="2"/>
        <v>5.3927345130897239E-2</v>
      </c>
    </row>
    <row r="20" spans="1:32" x14ac:dyDescent="0.35">
      <c r="A20" s="2" t="s">
        <v>63</v>
      </c>
      <c r="B20" s="2">
        <v>421</v>
      </c>
      <c r="C20" s="2" t="s">
        <v>30</v>
      </c>
      <c r="D20" s="2" t="s">
        <v>64</v>
      </c>
      <c r="F20" s="2">
        <v>2023</v>
      </c>
      <c r="G20" s="2">
        <v>8</v>
      </c>
      <c r="H20" s="2">
        <v>2</v>
      </c>
      <c r="I20" s="2">
        <v>87.8</v>
      </c>
      <c r="J20" s="2">
        <v>444.5</v>
      </c>
      <c r="L20" s="2" t="s">
        <v>31</v>
      </c>
      <c r="M20" s="2" t="s">
        <v>23</v>
      </c>
      <c r="N20" s="2">
        <v>1</v>
      </c>
      <c r="O20" s="2">
        <v>2.1600000000000001E-2</v>
      </c>
      <c r="Q20" s="2" t="s">
        <v>65</v>
      </c>
      <c r="R20" s="2">
        <v>2.62</v>
      </c>
      <c r="S20" s="2" t="s">
        <v>212</v>
      </c>
      <c r="T20" s="2">
        <v>0.41830129131974547</v>
      </c>
      <c r="U20">
        <v>0.75049999999999994</v>
      </c>
      <c r="V20">
        <v>0.53800000000000003</v>
      </c>
      <c r="W20" s="1">
        <v>7.1110727076307025</v>
      </c>
      <c r="AC20" s="2">
        <v>7.2329450037535477</v>
      </c>
      <c r="AD20" s="2">
        <f t="shared" si="0"/>
        <v>-1.884446243196491</v>
      </c>
      <c r="AE20" s="2">
        <f t="shared" si="1"/>
        <v>1.3048294699330601E-2</v>
      </c>
      <c r="AF20" s="2">
        <f t="shared" si="2"/>
        <v>5.6238150154114881E-2</v>
      </c>
    </row>
    <row r="21" spans="1:32" x14ac:dyDescent="0.35">
      <c r="A21" s="2" t="s">
        <v>66</v>
      </c>
      <c r="B21" s="2">
        <v>434</v>
      </c>
      <c r="C21" s="2" t="s">
        <v>30</v>
      </c>
      <c r="D21" s="2" t="s">
        <v>67</v>
      </c>
      <c r="F21" s="2">
        <v>2023</v>
      </c>
      <c r="G21" s="2">
        <v>8</v>
      </c>
      <c r="H21" s="2">
        <v>2</v>
      </c>
      <c r="I21" s="2">
        <v>60.2</v>
      </c>
      <c r="J21" s="2">
        <v>412</v>
      </c>
      <c r="L21" s="2" t="s">
        <v>31</v>
      </c>
      <c r="M21" s="2" t="s">
        <v>23</v>
      </c>
      <c r="N21" s="2">
        <v>1</v>
      </c>
      <c r="O21" s="2">
        <v>1.77E-2</v>
      </c>
      <c r="Q21" s="2" t="s">
        <v>68</v>
      </c>
      <c r="R21" s="2">
        <v>0.49</v>
      </c>
      <c r="S21" s="2" t="s">
        <v>214</v>
      </c>
      <c r="T21" s="2">
        <v>-0.71334988787746478</v>
      </c>
      <c r="U21" s="2">
        <v>17.120999999999999</v>
      </c>
      <c r="V21" s="2">
        <v>16.844000000000001</v>
      </c>
      <c r="W21" s="1">
        <v>4.6307365696499279</v>
      </c>
      <c r="AC21" s="2">
        <v>7.29</v>
      </c>
      <c r="AD21" s="2">
        <f t="shared" si="0"/>
        <v>-1.8734331751065687</v>
      </c>
      <c r="AE21" s="2">
        <f t="shared" si="1"/>
        <v>1.3383411298658417E-2</v>
      </c>
      <c r="AF21" s="2">
        <f t="shared" si="2"/>
        <v>5.7682502697217773E-2</v>
      </c>
    </row>
    <row r="22" spans="1:32" x14ac:dyDescent="0.35">
      <c r="A22" s="2" t="s">
        <v>93</v>
      </c>
      <c r="B22" s="2">
        <v>439</v>
      </c>
      <c r="C22" s="2" t="s">
        <v>225</v>
      </c>
      <c r="D22" s="2" t="s">
        <v>94</v>
      </c>
      <c r="F22" s="2">
        <v>2023</v>
      </c>
      <c r="G22" s="2">
        <v>7</v>
      </c>
      <c r="H22" s="2">
        <v>26</v>
      </c>
      <c r="I22" s="2">
        <v>63.1</v>
      </c>
      <c r="J22" s="2">
        <v>421</v>
      </c>
      <c r="L22" s="2" t="s">
        <v>31</v>
      </c>
      <c r="M22" s="2" t="s">
        <v>86</v>
      </c>
      <c r="N22" s="2">
        <v>1</v>
      </c>
      <c r="O22" s="2">
        <v>4.65E-2</v>
      </c>
      <c r="Q22" s="2" t="s">
        <v>95</v>
      </c>
      <c r="R22" s="2">
        <v>12.07</v>
      </c>
      <c r="S22" s="2" t="s">
        <v>216</v>
      </c>
      <c r="T22" s="4"/>
      <c r="U22" s="4"/>
      <c r="V22" s="4"/>
      <c r="W22" s="1">
        <v>12.07</v>
      </c>
      <c r="AC22" s="2">
        <v>7.5177260292631338</v>
      </c>
      <c r="AD22" s="2">
        <f t="shared" si="0"/>
        <v>-1.8303184475133398</v>
      </c>
      <c r="AE22" s="2">
        <f t="shared" si="1"/>
        <v>1.4780242257800398E-2</v>
      </c>
      <c r="AF22" s="2">
        <f t="shared" si="2"/>
        <v>6.3702844131119707E-2</v>
      </c>
    </row>
    <row r="23" spans="1:32" x14ac:dyDescent="0.35">
      <c r="A23" s="2" t="s">
        <v>69</v>
      </c>
      <c r="B23" s="2">
        <v>445</v>
      </c>
      <c r="C23" s="2" t="s">
        <v>20</v>
      </c>
      <c r="D23" s="2" t="s">
        <v>70</v>
      </c>
      <c r="F23" s="2">
        <v>2023</v>
      </c>
      <c r="G23" s="2">
        <v>7</v>
      </c>
      <c r="H23" s="2">
        <v>21</v>
      </c>
      <c r="I23" s="2">
        <v>116.4</v>
      </c>
      <c r="J23" s="2">
        <v>478</v>
      </c>
      <c r="L23" s="2" t="s">
        <v>26</v>
      </c>
      <c r="M23" s="2" t="s">
        <v>23</v>
      </c>
      <c r="N23" s="2">
        <v>1</v>
      </c>
      <c r="O23" s="2">
        <v>7.7299999999999994E-2</v>
      </c>
      <c r="Q23" s="2" t="s">
        <v>71</v>
      </c>
      <c r="R23" s="2">
        <v>1.91</v>
      </c>
      <c r="S23" s="2" t="s">
        <v>211</v>
      </c>
      <c r="T23" s="2">
        <v>1.91</v>
      </c>
      <c r="U23" s="2">
        <v>3.9074</v>
      </c>
      <c r="V23" s="2">
        <v>1.1612</v>
      </c>
      <c r="W23" s="1">
        <v>8.6243339999999993</v>
      </c>
      <c r="AC23" s="2">
        <v>7.6741396398213464</v>
      </c>
      <c r="AD23" s="2">
        <f t="shared" si="0"/>
        <v>-1.8014551545364719</v>
      </c>
      <c r="AE23" s="2">
        <f t="shared" si="1"/>
        <v>1.5795917087404843E-2</v>
      </c>
      <c r="AF23" s="2">
        <f t="shared" si="2"/>
        <v>6.8080402646714874E-2</v>
      </c>
    </row>
    <row r="24" spans="1:32" x14ac:dyDescent="0.35">
      <c r="A24" s="2" t="s">
        <v>72</v>
      </c>
      <c r="B24" s="2">
        <v>447</v>
      </c>
      <c r="C24" s="2" t="s">
        <v>20</v>
      </c>
      <c r="D24" s="2" t="s">
        <v>73</v>
      </c>
      <c r="F24" s="2">
        <v>2023</v>
      </c>
      <c r="G24" s="2">
        <v>7</v>
      </c>
      <c r="H24" s="2">
        <v>21</v>
      </c>
      <c r="I24" s="2">
        <v>168.8</v>
      </c>
      <c r="J24" s="2">
        <v>555</v>
      </c>
      <c r="L24" s="2" t="s">
        <v>26</v>
      </c>
      <c r="M24" s="2" t="s">
        <v>23</v>
      </c>
      <c r="N24" s="2">
        <v>1</v>
      </c>
      <c r="O24" s="2">
        <v>9.5799999999999996E-2</v>
      </c>
      <c r="Q24" s="2" t="s">
        <v>74</v>
      </c>
      <c r="R24" s="2">
        <v>2.92</v>
      </c>
      <c r="S24" s="2" t="s">
        <v>212</v>
      </c>
      <c r="T24" s="2">
        <v>0.46538285144841829</v>
      </c>
      <c r="U24">
        <v>0.75049999999999994</v>
      </c>
      <c r="V24">
        <v>0.53800000000000003</v>
      </c>
      <c r="W24" s="1">
        <v>7.7138258527308778</v>
      </c>
      <c r="AC24" s="2">
        <v>7.7138258527308778</v>
      </c>
      <c r="AD24" s="2">
        <f t="shared" si="0"/>
        <v>-1.7942253506191483</v>
      </c>
      <c r="AE24" s="2">
        <f t="shared" si="1"/>
        <v>1.606107645204705E-2</v>
      </c>
      <c r="AF24" s="2">
        <f t="shared" si="2"/>
        <v>6.9223239508322779E-2</v>
      </c>
    </row>
    <row r="25" spans="1:32" x14ac:dyDescent="0.35">
      <c r="A25" s="2" t="s">
        <v>75</v>
      </c>
      <c r="B25" s="2">
        <v>450</v>
      </c>
      <c r="C25" s="2" t="s">
        <v>225</v>
      </c>
      <c r="D25" s="2" t="s">
        <v>76</v>
      </c>
      <c r="F25" s="2">
        <v>2023</v>
      </c>
      <c r="G25" s="2">
        <v>7</v>
      </c>
      <c r="H25" s="2">
        <v>26</v>
      </c>
      <c r="I25" s="2">
        <v>88.7</v>
      </c>
      <c r="J25" s="2">
        <v>444</v>
      </c>
      <c r="L25" s="2" t="s">
        <v>31</v>
      </c>
      <c r="M25" s="2" t="s">
        <v>23</v>
      </c>
      <c r="N25" s="2">
        <v>2</v>
      </c>
      <c r="O25" s="2">
        <v>6.7799999999999999E-2</v>
      </c>
      <c r="Q25" s="2" t="s">
        <v>77</v>
      </c>
      <c r="R25" s="2">
        <v>3.69</v>
      </c>
      <c r="S25" s="2" t="s">
        <v>216</v>
      </c>
      <c r="T25" s="4"/>
      <c r="U25" s="4"/>
      <c r="V25" s="4"/>
      <c r="W25" s="1">
        <v>3.69</v>
      </c>
      <c r="AC25" s="2">
        <v>7.7647059999999994</v>
      </c>
      <c r="AD25" s="2">
        <f t="shared" si="0"/>
        <v>-1.7850105220454817</v>
      </c>
      <c r="AE25" s="2">
        <f t="shared" si="1"/>
        <v>1.640550025627751E-2</v>
      </c>
      <c r="AF25" s="2">
        <f t="shared" si="2"/>
        <v>7.0707706104556053E-2</v>
      </c>
    </row>
    <row r="26" spans="1:32" x14ac:dyDescent="0.35">
      <c r="A26" s="2" t="s">
        <v>75</v>
      </c>
      <c r="B26" s="2">
        <v>450</v>
      </c>
      <c r="C26" s="2" t="s">
        <v>225</v>
      </c>
      <c r="D26" s="2" t="s">
        <v>76</v>
      </c>
      <c r="F26" s="2">
        <v>2023</v>
      </c>
      <c r="G26" s="2">
        <v>7</v>
      </c>
      <c r="H26" s="2">
        <v>26</v>
      </c>
      <c r="I26" s="2">
        <v>88.7</v>
      </c>
      <c r="J26" s="2">
        <v>444</v>
      </c>
      <c r="L26" s="2" t="s">
        <v>31</v>
      </c>
      <c r="M26" s="2" t="s">
        <v>23</v>
      </c>
      <c r="N26" s="2">
        <v>2</v>
      </c>
      <c r="O26" s="2">
        <v>6.7799999999999999E-2</v>
      </c>
      <c r="Q26" s="2" t="s">
        <v>77</v>
      </c>
      <c r="R26" s="2">
        <v>1.49</v>
      </c>
      <c r="S26" s="2" t="s">
        <v>212</v>
      </c>
      <c r="T26" s="2">
        <v>0.17318626841227402</v>
      </c>
      <c r="U26">
        <v>0.75049999999999994</v>
      </c>
      <c r="V26">
        <v>0.53800000000000003</v>
      </c>
      <c r="W26" s="1">
        <v>4.6556068063670191</v>
      </c>
      <c r="AC26" s="2">
        <v>8.0382239999999996</v>
      </c>
      <c r="AD26" s="2">
        <f t="shared" si="0"/>
        <v>-1.736486278914926</v>
      </c>
      <c r="AE26" s="2">
        <f t="shared" si="1"/>
        <v>1.8344831247995491E-2</v>
      </c>
      <c r="AF26" s="2">
        <f t="shared" si="2"/>
        <v>7.9066222678860557E-2</v>
      </c>
    </row>
    <row r="27" spans="1:32" x14ac:dyDescent="0.35">
      <c r="A27" s="2" t="s">
        <v>78</v>
      </c>
      <c r="B27" s="2">
        <v>455</v>
      </c>
      <c r="C27" s="2" t="s">
        <v>225</v>
      </c>
      <c r="D27" s="2" t="s">
        <v>67</v>
      </c>
      <c r="F27" s="2">
        <v>2023</v>
      </c>
      <c r="G27" s="2">
        <v>7</v>
      </c>
      <c r="H27" s="2">
        <v>31</v>
      </c>
      <c r="I27" s="2">
        <v>70.7</v>
      </c>
      <c r="J27" s="2">
        <v>411</v>
      </c>
      <c r="L27" s="2" t="s">
        <v>31</v>
      </c>
      <c r="M27" s="2" t="s">
        <v>23</v>
      </c>
      <c r="N27" s="2">
        <v>1</v>
      </c>
      <c r="O27" s="2">
        <v>6.0000000000000001E-3</v>
      </c>
      <c r="Q27" s="2" t="s">
        <v>79</v>
      </c>
      <c r="R27" s="2">
        <v>1.44</v>
      </c>
      <c r="S27" s="2" t="s">
        <v>213</v>
      </c>
      <c r="T27" s="2">
        <v>1.44</v>
      </c>
      <c r="U27" s="2">
        <v>3.9074</v>
      </c>
      <c r="V27" s="2">
        <v>1.1612</v>
      </c>
      <c r="W27" s="1">
        <v>6.7878559999999997</v>
      </c>
      <c r="AC27" s="2">
        <v>8.077297999999999</v>
      </c>
      <c r="AD27" s="2">
        <f t="shared" si="0"/>
        <v>-1.7296893700395506</v>
      </c>
      <c r="AE27" s="2">
        <f t="shared" si="1"/>
        <v>1.8634194744775966E-2</v>
      </c>
      <c r="AF27" s="2">
        <f t="shared" si="2"/>
        <v>8.0313379349984407E-2</v>
      </c>
    </row>
    <row r="28" spans="1:32" x14ac:dyDescent="0.35">
      <c r="A28" s="2" t="s">
        <v>80</v>
      </c>
      <c r="B28" s="2">
        <v>456</v>
      </c>
      <c r="C28" s="2" t="s">
        <v>225</v>
      </c>
      <c r="D28" s="2" t="s">
        <v>67</v>
      </c>
      <c r="F28" s="2">
        <v>2023</v>
      </c>
      <c r="G28" s="2">
        <v>7</v>
      </c>
      <c r="H28" s="2">
        <v>31</v>
      </c>
      <c r="I28" s="2">
        <v>140.6</v>
      </c>
      <c r="J28" s="2">
        <v>510</v>
      </c>
      <c r="L28" s="2" t="s">
        <v>26</v>
      </c>
      <c r="M28" s="2" t="s">
        <v>23</v>
      </c>
      <c r="N28" s="2">
        <v>1</v>
      </c>
      <c r="O28" s="2">
        <v>4.3099999999999999E-2</v>
      </c>
      <c r="Q28" s="2" t="s">
        <v>81</v>
      </c>
      <c r="R28" s="2">
        <v>3.15</v>
      </c>
      <c r="S28" s="2" t="s">
        <v>212</v>
      </c>
      <c r="T28" s="2">
        <v>0.49831055378960049</v>
      </c>
      <c r="U28">
        <v>0.75049999999999994</v>
      </c>
      <c r="V28">
        <v>0.53800000000000003</v>
      </c>
      <c r="W28" s="1">
        <v>8.1654866032892208</v>
      </c>
      <c r="AC28" s="2">
        <v>8.15</v>
      </c>
      <c r="AD28" s="2">
        <f t="shared" si="0"/>
        <v>-1.7171299335525996</v>
      </c>
      <c r="AE28" s="2">
        <f t="shared" si="1"/>
        <v>1.9180947933447826E-2</v>
      </c>
      <c r="AF28" s="2">
        <f t="shared" si="2"/>
        <v>8.2669885593160117E-2</v>
      </c>
    </row>
    <row r="29" spans="1:32" x14ac:dyDescent="0.35">
      <c r="A29" s="2" t="s">
        <v>82</v>
      </c>
      <c r="B29" s="2">
        <v>457</v>
      </c>
      <c r="C29" s="2" t="s">
        <v>225</v>
      </c>
      <c r="D29" s="2" t="s">
        <v>83</v>
      </c>
      <c r="F29" s="2">
        <v>2023</v>
      </c>
      <c r="G29" s="2">
        <v>7</v>
      </c>
      <c r="H29" s="2">
        <v>31</v>
      </c>
      <c r="I29" s="2">
        <v>35.1</v>
      </c>
      <c r="J29" s="2">
        <v>338</v>
      </c>
      <c r="L29" s="2" t="s">
        <v>31</v>
      </c>
      <c r="M29" s="2" t="s">
        <v>23</v>
      </c>
      <c r="N29" s="2">
        <v>1</v>
      </c>
      <c r="O29" s="2">
        <v>3.9600000000000003E-2</v>
      </c>
      <c r="Q29" s="2" t="s">
        <v>84</v>
      </c>
      <c r="R29" s="2">
        <v>1.69</v>
      </c>
      <c r="S29" s="2" t="s">
        <v>213</v>
      </c>
      <c r="T29" s="2">
        <v>1.69</v>
      </c>
      <c r="U29" s="2">
        <v>3.9074</v>
      </c>
      <c r="V29" s="2">
        <v>1.1612</v>
      </c>
      <c r="W29" s="1">
        <v>7.7647059999999994</v>
      </c>
      <c r="AC29" s="2">
        <v>8.1654866032892208</v>
      </c>
      <c r="AD29" s="2">
        <f t="shared" si="0"/>
        <v>-1.7144690652839318</v>
      </c>
      <c r="AE29" s="2">
        <f t="shared" si="1"/>
        <v>1.9298827964905896E-2</v>
      </c>
      <c r="AF29" s="2">
        <f t="shared" si="2"/>
        <v>8.3177948528744397E-2</v>
      </c>
    </row>
    <row r="30" spans="1:32" x14ac:dyDescent="0.35">
      <c r="A30" s="3" t="s">
        <v>104</v>
      </c>
      <c r="B30" s="3">
        <v>460</v>
      </c>
      <c r="C30" s="2" t="s">
        <v>226</v>
      </c>
      <c r="D30" s="2" t="s">
        <v>51</v>
      </c>
      <c r="F30" s="2">
        <v>2021</v>
      </c>
      <c r="G30" s="2">
        <v>10</v>
      </c>
      <c r="H30" s="2">
        <v>11</v>
      </c>
      <c r="I30" s="2" t="s">
        <v>28</v>
      </c>
      <c r="J30" s="2">
        <v>489</v>
      </c>
      <c r="L30" s="2" t="s">
        <v>26</v>
      </c>
      <c r="M30" s="2" t="s">
        <v>86</v>
      </c>
      <c r="N30" s="2">
        <v>1</v>
      </c>
      <c r="O30" s="2">
        <v>0.13730000000000001</v>
      </c>
      <c r="Q30" s="2" t="s">
        <v>210</v>
      </c>
      <c r="R30" s="2">
        <v>11.95</v>
      </c>
      <c r="S30" s="2" t="s">
        <v>216</v>
      </c>
      <c r="T30" s="4"/>
      <c r="U30" s="4"/>
      <c r="V30" s="4"/>
      <c r="W30" s="1">
        <v>11.95</v>
      </c>
      <c r="AC30" s="2">
        <v>8.3206354159420695</v>
      </c>
      <c r="AD30" s="2">
        <f t="shared" si="0"/>
        <v>-1.6880869344611629</v>
      </c>
      <c r="AE30" s="2">
        <f t="shared" si="1"/>
        <v>2.0507516305910987E-2</v>
      </c>
      <c r="AF30" s="2">
        <f t="shared" si="2"/>
        <v>8.8387395278476347E-2</v>
      </c>
    </row>
    <row r="31" spans="1:32" x14ac:dyDescent="0.35">
      <c r="A31" s="3" t="s">
        <v>105</v>
      </c>
      <c r="B31" s="3">
        <v>467</v>
      </c>
      <c r="C31" s="2" t="s">
        <v>226</v>
      </c>
      <c r="D31" s="2" t="s">
        <v>51</v>
      </c>
      <c r="F31" s="2">
        <v>2021</v>
      </c>
      <c r="G31" s="2">
        <v>10</v>
      </c>
      <c r="H31" s="2">
        <v>11</v>
      </c>
      <c r="I31" s="2" t="s">
        <v>28</v>
      </c>
      <c r="J31" s="2">
        <v>513</v>
      </c>
      <c r="L31" s="2" t="s">
        <v>26</v>
      </c>
      <c r="M31" s="2" t="s">
        <v>86</v>
      </c>
      <c r="N31" s="2">
        <v>1</v>
      </c>
      <c r="O31" s="2">
        <v>1.6799999999999999E-2</v>
      </c>
      <c r="Q31" s="2" t="s">
        <v>209</v>
      </c>
      <c r="R31" s="2">
        <v>2.89</v>
      </c>
      <c r="S31" s="2" t="s">
        <v>219</v>
      </c>
      <c r="T31" s="2">
        <v>2.89</v>
      </c>
      <c r="U31" s="2">
        <v>3.9074</v>
      </c>
      <c r="V31" s="2">
        <v>1.1612</v>
      </c>
      <c r="W31" s="1">
        <v>12.453586000000001</v>
      </c>
      <c r="AC31" s="2">
        <v>8.4</v>
      </c>
      <c r="AD31" s="2">
        <f t="shared" si="0"/>
        <v>-1.674781032163883</v>
      </c>
      <c r="AE31" s="2">
        <f t="shared" si="1"/>
        <v>2.1145549129415474E-2</v>
      </c>
      <c r="AF31" s="2">
        <f t="shared" si="2"/>
        <v>9.1137316747780681E-2</v>
      </c>
    </row>
    <row r="32" spans="1:32" x14ac:dyDescent="0.35">
      <c r="A32" s="3" t="s">
        <v>106</v>
      </c>
      <c r="B32" s="3">
        <v>468</v>
      </c>
      <c r="C32" s="2" t="s">
        <v>226</v>
      </c>
      <c r="D32" s="2" t="s">
        <v>51</v>
      </c>
      <c r="F32" s="2">
        <v>2021</v>
      </c>
      <c r="G32" s="2">
        <v>10</v>
      </c>
      <c r="H32" s="2">
        <v>11</v>
      </c>
      <c r="I32" s="2" t="s">
        <v>28</v>
      </c>
      <c r="J32" s="2">
        <v>492</v>
      </c>
      <c r="L32" s="2" t="s">
        <v>26</v>
      </c>
      <c r="M32" s="2" t="s">
        <v>86</v>
      </c>
      <c r="N32" s="2">
        <v>1</v>
      </c>
      <c r="O32" s="2">
        <v>1.0800000000000001E-2</v>
      </c>
      <c r="Q32" s="2" t="s">
        <v>28</v>
      </c>
      <c r="R32" s="2" t="s">
        <v>28</v>
      </c>
      <c r="S32" s="2" t="s">
        <v>28</v>
      </c>
      <c r="T32" s="4"/>
      <c r="U32" s="4"/>
      <c r="V32" s="4"/>
      <c r="W32" s="5"/>
      <c r="AC32" s="2">
        <v>8.6243339999999993</v>
      </c>
      <c r="AD32" s="2">
        <f t="shared" si="0"/>
        <v>-1.6378393038908832</v>
      </c>
      <c r="AE32" s="2">
        <f t="shared" si="1"/>
        <v>2.3022935463421518E-2</v>
      </c>
      <c r="AF32" s="2">
        <f t="shared" si="2"/>
        <v>9.9228851847346727E-2</v>
      </c>
    </row>
    <row r="33" spans="1:32" x14ac:dyDescent="0.35">
      <c r="A33" s="3" t="s">
        <v>107</v>
      </c>
      <c r="B33" s="3">
        <v>476</v>
      </c>
      <c r="C33" s="2" t="s">
        <v>226</v>
      </c>
      <c r="D33" s="2" t="s">
        <v>51</v>
      </c>
      <c r="F33" s="2">
        <v>2021</v>
      </c>
      <c r="G33" s="2">
        <v>10</v>
      </c>
      <c r="H33" s="2">
        <v>11</v>
      </c>
      <c r="I33" s="2" t="s">
        <v>28</v>
      </c>
      <c r="J33" s="2">
        <v>572</v>
      </c>
      <c r="L33" s="2" t="s">
        <v>26</v>
      </c>
      <c r="M33" s="2" t="s">
        <v>86</v>
      </c>
      <c r="N33" s="2">
        <v>1</v>
      </c>
      <c r="O33" s="2">
        <v>0.1222</v>
      </c>
      <c r="Q33" s="2" t="s">
        <v>208</v>
      </c>
      <c r="R33" s="2">
        <v>0.82</v>
      </c>
      <c r="S33" s="2" t="s">
        <v>218</v>
      </c>
      <c r="T33" s="2">
        <v>-0.19845093872383832</v>
      </c>
      <c r="U33" s="2">
        <v>17.120999999999999</v>
      </c>
      <c r="V33" s="2">
        <v>16.844000000000001</v>
      </c>
      <c r="W33" s="1">
        <v>13.446321478109166</v>
      </c>
      <c r="AC33" s="2">
        <v>8.75</v>
      </c>
      <c r="AD33" s="2">
        <f t="shared" si="0"/>
        <v>-1.6175632096757862</v>
      </c>
      <c r="AE33" s="2">
        <f t="shared" si="1"/>
        <v>2.4123304028256881E-2</v>
      </c>
      <c r="AF33" s="2">
        <f t="shared" si="2"/>
        <v>0.10397144036178715</v>
      </c>
    </row>
    <row r="34" spans="1:32" x14ac:dyDescent="0.35">
      <c r="A34" s="3" t="s">
        <v>108</v>
      </c>
      <c r="B34" s="3">
        <v>477</v>
      </c>
      <c r="C34" s="2" t="s">
        <v>226</v>
      </c>
      <c r="D34" s="2" t="s">
        <v>51</v>
      </c>
      <c r="F34" s="2">
        <v>2021</v>
      </c>
      <c r="G34" s="2">
        <v>10</v>
      </c>
      <c r="H34" s="2">
        <v>11</v>
      </c>
      <c r="I34" s="2" t="s">
        <v>28</v>
      </c>
      <c r="J34" s="2">
        <v>504</v>
      </c>
      <c r="L34" s="2" t="s">
        <v>26</v>
      </c>
      <c r="M34" s="2" t="s">
        <v>86</v>
      </c>
      <c r="N34" s="2">
        <v>1</v>
      </c>
      <c r="O34" s="2">
        <v>5.0200000000000002E-2</v>
      </c>
      <c r="Q34" s="2" t="s">
        <v>207</v>
      </c>
      <c r="R34" s="2">
        <v>0.98</v>
      </c>
      <c r="S34" s="2" t="s">
        <v>218</v>
      </c>
      <c r="T34" s="2">
        <v>-2.0202707317519466E-2</v>
      </c>
      <c r="U34" s="2">
        <v>17.120999999999999</v>
      </c>
      <c r="V34" s="2">
        <v>16.844000000000001</v>
      </c>
      <c r="W34" s="1">
        <v>16.498109448016752</v>
      </c>
      <c r="AC34" s="2">
        <v>8.7799999999999994</v>
      </c>
      <c r="AD34" s="2">
        <f t="shared" si="0"/>
        <v>-1.6127657993646447</v>
      </c>
      <c r="AE34" s="2">
        <f t="shared" si="1"/>
        <v>2.4391258035635417E-2</v>
      </c>
      <c r="AF34" s="2">
        <f t="shared" si="2"/>
        <v>0.10512632213358863</v>
      </c>
    </row>
    <row r="35" spans="1:32" x14ac:dyDescent="0.35">
      <c r="A35" s="3" t="s">
        <v>109</v>
      </c>
      <c r="B35" s="3">
        <v>481</v>
      </c>
      <c r="C35" s="2" t="s">
        <v>226</v>
      </c>
      <c r="D35" s="2" t="s">
        <v>51</v>
      </c>
      <c r="F35" s="2">
        <v>2021</v>
      </c>
      <c r="G35" s="2">
        <v>10</v>
      </c>
      <c r="H35" s="2">
        <v>11</v>
      </c>
      <c r="I35" s="2" t="s">
        <v>28</v>
      </c>
      <c r="J35" s="2">
        <v>467</v>
      </c>
      <c r="M35" s="2" t="s">
        <v>86</v>
      </c>
      <c r="N35" s="2">
        <v>1</v>
      </c>
      <c r="O35" s="2">
        <v>0.1918</v>
      </c>
      <c r="Q35" s="2" t="s">
        <v>206</v>
      </c>
      <c r="R35" s="2">
        <v>2.36</v>
      </c>
      <c r="S35" s="2" t="s">
        <v>219</v>
      </c>
      <c r="T35" s="2">
        <v>2.36</v>
      </c>
      <c r="U35" s="2">
        <v>3.9074</v>
      </c>
      <c r="V35" s="2">
        <v>1.1612</v>
      </c>
      <c r="W35" s="1">
        <v>10.382663999999998</v>
      </c>
      <c r="AC35" s="2">
        <v>8.79944381387023</v>
      </c>
      <c r="AD35" s="2">
        <f t="shared" si="0"/>
        <v>-1.609665214639147</v>
      </c>
      <c r="AE35" s="2">
        <f t="shared" si="1"/>
        <v>2.4566019110539353E-2</v>
      </c>
      <c r="AF35" s="2">
        <f t="shared" si="2"/>
        <v>0.10587954236642461</v>
      </c>
    </row>
    <row r="36" spans="1:32" x14ac:dyDescent="0.35">
      <c r="A36" s="3" t="s">
        <v>110</v>
      </c>
      <c r="B36" s="2">
        <v>484</v>
      </c>
      <c r="C36" s="2" t="s">
        <v>226</v>
      </c>
      <c r="D36" s="2" t="s">
        <v>51</v>
      </c>
      <c r="F36" s="2">
        <v>2021</v>
      </c>
      <c r="G36" s="2">
        <v>10</v>
      </c>
      <c r="H36" s="2">
        <v>11</v>
      </c>
      <c r="I36" s="2" t="s">
        <v>28</v>
      </c>
      <c r="J36" s="2">
        <v>462</v>
      </c>
      <c r="M36" s="2" t="s">
        <v>86</v>
      </c>
      <c r="N36" s="2">
        <v>1</v>
      </c>
      <c r="O36" s="2">
        <v>1.03E-2</v>
      </c>
      <c r="Q36" s="2" t="s">
        <v>205</v>
      </c>
      <c r="R36" s="2">
        <v>5.49</v>
      </c>
      <c r="S36" s="2" t="s">
        <v>216</v>
      </c>
      <c r="T36" s="4"/>
      <c r="U36" s="4"/>
      <c r="V36" s="4"/>
      <c r="W36" s="1">
        <v>5.49</v>
      </c>
      <c r="AC36" s="2">
        <v>8.86</v>
      </c>
      <c r="AD36" s="2">
        <f t="shared" si="0"/>
        <v>-1.6000524059817325</v>
      </c>
      <c r="AE36" s="2">
        <f t="shared" si="1"/>
        <v>2.5115833423893452E-2</v>
      </c>
      <c r="AF36" s="2">
        <f t="shared" si="2"/>
        <v>0.10824924205698076</v>
      </c>
    </row>
    <row r="37" spans="1:32" x14ac:dyDescent="0.35">
      <c r="A37" s="3" t="s">
        <v>111</v>
      </c>
      <c r="B37" s="3">
        <v>486</v>
      </c>
      <c r="C37" s="2" t="s">
        <v>226</v>
      </c>
      <c r="D37" s="2" t="s">
        <v>51</v>
      </c>
      <c r="F37" s="2">
        <v>2021</v>
      </c>
      <c r="G37" s="2" t="s">
        <v>28</v>
      </c>
      <c r="H37" s="2" t="s">
        <v>28</v>
      </c>
      <c r="I37" s="2" t="s">
        <v>28</v>
      </c>
      <c r="J37" s="2" t="s">
        <v>28</v>
      </c>
      <c r="M37" s="2" t="s">
        <v>86</v>
      </c>
      <c r="N37" s="2">
        <v>1</v>
      </c>
      <c r="O37" s="2">
        <v>9.7999999999999997E-3</v>
      </c>
      <c r="Q37" s="2" t="s">
        <v>203</v>
      </c>
      <c r="R37" s="2">
        <v>5.04</v>
      </c>
      <c r="S37" s="2" t="s">
        <v>220</v>
      </c>
      <c r="T37" s="2">
        <f>LOG(R37)</f>
        <v>0.70243053644552533</v>
      </c>
      <c r="U37">
        <v>0.75049999999999994</v>
      </c>
      <c r="V37">
        <v>0.53800000000000003</v>
      </c>
      <c r="W37" s="1">
        <v>11.619143558669533</v>
      </c>
      <c r="AC37" s="2">
        <v>8.8978520000000003</v>
      </c>
      <c r="AD37" s="2">
        <f t="shared" si="0"/>
        <v>-1.5940770173199184</v>
      </c>
      <c r="AE37" s="2">
        <f t="shared" si="1"/>
        <v>2.5463786404715492E-2</v>
      </c>
      <c r="AF37" s="2">
        <f t="shared" si="2"/>
        <v>0.10974891940432377</v>
      </c>
    </row>
    <row r="38" spans="1:32" x14ac:dyDescent="0.35">
      <c r="A38" s="3" t="s">
        <v>112</v>
      </c>
      <c r="B38" s="3">
        <v>488</v>
      </c>
      <c r="C38" s="2" t="s">
        <v>226</v>
      </c>
      <c r="D38" s="2" t="s">
        <v>51</v>
      </c>
      <c r="F38" s="2">
        <v>2021</v>
      </c>
      <c r="G38" s="2" t="s">
        <v>28</v>
      </c>
      <c r="H38" s="2" t="s">
        <v>28</v>
      </c>
      <c r="I38" s="2" t="s">
        <v>28</v>
      </c>
      <c r="J38" s="2">
        <v>269</v>
      </c>
      <c r="M38" s="2" t="s">
        <v>86</v>
      </c>
      <c r="N38" s="2">
        <v>1</v>
      </c>
      <c r="O38" s="2">
        <v>6.3899999999999998E-2</v>
      </c>
      <c r="Q38" s="2" t="s">
        <v>204</v>
      </c>
      <c r="R38" s="2">
        <v>2.9</v>
      </c>
      <c r="S38" s="2" t="s">
        <v>220</v>
      </c>
      <c r="T38" s="2">
        <f>LOG(R38)</f>
        <v>0.46239799789895608</v>
      </c>
      <c r="U38">
        <v>0.75049999999999994</v>
      </c>
      <c r="V38">
        <v>0.53800000000000003</v>
      </c>
      <c r="W38" s="1">
        <f>10^(T38*U38+V38)</f>
        <v>7.6741396398213464</v>
      </c>
      <c r="AC38" s="2">
        <v>9.1</v>
      </c>
      <c r="AD38" s="2">
        <f t="shared" si="0"/>
        <v>-1.562589810422903</v>
      </c>
      <c r="AE38" s="2">
        <f t="shared" si="1"/>
        <v>2.7378533982013665E-2</v>
      </c>
      <c r="AF38" s="2">
        <f t="shared" si="2"/>
        <v>0.11800148146247888</v>
      </c>
    </row>
    <row r="39" spans="1:32" x14ac:dyDescent="0.35">
      <c r="A39" s="3" t="s">
        <v>113</v>
      </c>
      <c r="B39" s="3">
        <v>490</v>
      </c>
      <c r="C39" s="2" t="s">
        <v>226</v>
      </c>
      <c r="D39" s="2" t="s">
        <v>51</v>
      </c>
      <c r="F39" s="2">
        <v>2021</v>
      </c>
      <c r="G39" s="2">
        <v>4</v>
      </c>
      <c r="H39" s="2">
        <v>13</v>
      </c>
      <c r="I39" s="2" t="s">
        <v>28</v>
      </c>
      <c r="J39" s="2">
        <v>603</v>
      </c>
      <c r="M39" s="2" t="s">
        <v>86</v>
      </c>
      <c r="N39" s="2">
        <v>1</v>
      </c>
      <c r="O39" s="2">
        <v>1.6E-2</v>
      </c>
      <c r="Q39" s="2" t="s">
        <v>28</v>
      </c>
      <c r="R39" s="2" t="s">
        <v>28</v>
      </c>
      <c r="S39" s="2" t="s">
        <v>28</v>
      </c>
      <c r="T39" s="4"/>
      <c r="U39" s="4"/>
      <c r="V39" s="4"/>
      <c r="W39" s="5"/>
      <c r="AC39" s="2">
        <v>9.2031185158988329</v>
      </c>
      <c r="AD39" s="2">
        <f t="shared" si="0"/>
        <v>-1.5467961331729407</v>
      </c>
      <c r="AE39" s="2">
        <f t="shared" si="1"/>
        <v>2.8392515191514152E-2</v>
      </c>
      <c r="AF39" s="2">
        <f t="shared" si="2"/>
        <v>0.12237174047542598</v>
      </c>
    </row>
    <row r="40" spans="1:32" x14ac:dyDescent="0.35">
      <c r="A40" s="3" t="s">
        <v>114</v>
      </c>
      <c r="B40" s="3">
        <v>504</v>
      </c>
      <c r="C40" s="2" t="s">
        <v>225</v>
      </c>
      <c r="D40" s="2">
        <v>2</v>
      </c>
      <c r="F40" s="2">
        <v>2023</v>
      </c>
      <c r="G40" s="2">
        <v>10</v>
      </c>
      <c r="H40" s="2">
        <v>31</v>
      </c>
      <c r="I40" s="2">
        <v>44</v>
      </c>
      <c r="J40" s="2">
        <v>373</v>
      </c>
      <c r="M40" s="2" t="s">
        <v>86</v>
      </c>
      <c r="N40" s="2">
        <v>1</v>
      </c>
      <c r="O40" s="2">
        <v>7.9000000000000008E-3</v>
      </c>
      <c r="Q40" s="2" t="s">
        <v>202</v>
      </c>
      <c r="R40" s="2">
        <v>2.2799999999999998</v>
      </c>
      <c r="S40" s="2" t="s">
        <v>218</v>
      </c>
      <c r="T40" s="2">
        <v>0.82417544296634937</v>
      </c>
      <c r="U40" s="2">
        <v>17.120999999999999</v>
      </c>
      <c r="V40" s="2">
        <v>16.844000000000001</v>
      </c>
      <c r="W40" s="1">
        <v>30.954707759026867</v>
      </c>
      <c r="AC40" s="2">
        <v>9.4839619999999982</v>
      </c>
      <c r="AD40" s="2">
        <f t="shared" si="0"/>
        <v>-1.5046631027167958</v>
      </c>
      <c r="AE40" s="2">
        <f t="shared" si="1"/>
        <v>3.1285053160704346E-2</v>
      </c>
      <c r="AF40" s="2">
        <f t="shared" si="2"/>
        <v>0.13483857912263572</v>
      </c>
    </row>
    <row r="41" spans="1:32" x14ac:dyDescent="0.35">
      <c r="A41" s="3" t="s">
        <v>115</v>
      </c>
      <c r="B41" s="3">
        <v>509</v>
      </c>
      <c r="C41" s="2" t="s">
        <v>20</v>
      </c>
      <c r="D41" s="2" t="s">
        <v>73</v>
      </c>
      <c r="F41" s="2">
        <v>2023</v>
      </c>
      <c r="G41" s="2">
        <v>11</v>
      </c>
      <c r="H41" s="2">
        <v>8</v>
      </c>
      <c r="I41" s="2">
        <v>105</v>
      </c>
      <c r="J41" s="2">
        <v>470</v>
      </c>
      <c r="M41" s="2" t="s">
        <v>86</v>
      </c>
      <c r="N41" s="2">
        <v>1</v>
      </c>
      <c r="O41" s="2">
        <v>9.4999999999999998E-3</v>
      </c>
      <c r="Q41" s="2" t="s">
        <v>200</v>
      </c>
      <c r="R41" s="2">
        <v>1.0900000000000001</v>
      </c>
      <c r="S41" s="2" t="s">
        <v>218</v>
      </c>
      <c r="T41" s="2">
        <v>8.6177696241052412E-2</v>
      </c>
      <c r="U41" s="2">
        <v>17.120999999999999</v>
      </c>
      <c r="V41" s="2">
        <v>16.844000000000001</v>
      </c>
      <c r="W41" s="1">
        <v>18.319448337343058</v>
      </c>
      <c r="AC41" s="2">
        <v>9.5399999999999991</v>
      </c>
      <c r="AD41" s="2">
        <f t="shared" si="0"/>
        <v>-1.4964055754800039</v>
      </c>
      <c r="AE41" s="2">
        <f t="shared" si="1"/>
        <v>3.1885587583516214E-2</v>
      </c>
      <c r="AF41" s="2">
        <f t="shared" si="2"/>
        <v>0.13742688248495488</v>
      </c>
    </row>
    <row r="42" spans="1:32" x14ac:dyDescent="0.35">
      <c r="A42" s="3" t="s">
        <v>116</v>
      </c>
      <c r="B42" s="3">
        <v>515</v>
      </c>
      <c r="C42" s="2" t="s">
        <v>225</v>
      </c>
      <c r="D42" s="2" t="s">
        <v>227</v>
      </c>
      <c r="F42" s="2">
        <v>2023</v>
      </c>
      <c r="G42" s="2">
        <v>11</v>
      </c>
      <c r="H42" s="2">
        <v>14</v>
      </c>
      <c r="I42" s="2">
        <v>370</v>
      </c>
      <c r="J42" s="2">
        <v>679</v>
      </c>
      <c r="M42" s="2" t="s">
        <v>86</v>
      </c>
      <c r="N42" s="2">
        <v>1</v>
      </c>
      <c r="O42" s="2">
        <v>0.16009999999999999</v>
      </c>
      <c r="Q42" s="2" t="s">
        <v>201</v>
      </c>
      <c r="R42" s="2">
        <v>1.36</v>
      </c>
      <c r="S42" s="2" t="s">
        <v>218</v>
      </c>
      <c r="T42" s="2">
        <v>0.30748469974796072</v>
      </c>
      <c r="U42" s="2">
        <v>17.120999999999999</v>
      </c>
      <c r="V42" s="2">
        <v>16.844000000000001</v>
      </c>
      <c r="W42" s="1">
        <v>22.108445544384836</v>
      </c>
      <c r="AC42" s="2">
        <v>9.6199999999999992</v>
      </c>
      <c r="AD42" s="2">
        <f t="shared" si="0"/>
        <v>-1.4847007725051626</v>
      </c>
      <c r="AE42" s="2">
        <f t="shared" si="1"/>
        <v>3.2756630927485021E-2</v>
      </c>
      <c r="AF42" s="2">
        <f t="shared" si="2"/>
        <v>0.14118107929746043</v>
      </c>
    </row>
    <row r="43" spans="1:32" x14ac:dyDescent="0.35">
      <c r="A43" s="3" t="s">
        <v>117</v>
      </c>
      <c r="B43" s="3">
        <v>529</v>
      </c>
      <c r="C43" s="2" t="s">
        <v>226</v>
      </c>
      <c r="D43" s="2" t="s">
        <v>228</v>
      </c>
      <c r="F43" s="2">
        <v>2023</v>
      </c>
      <c r="G43" s="2">
        <v>11</v>
      </c>
      <c r="H43" s="2">
        <v>3</v>
      </c>
      <c r="I43" s="2">
        <v>15.3</v>
      </c>
      <c r="J43" s="2">
        <v>270</v>
      </c>
      <c r="M43" s="2" t="s">
        <v>86</v>
      </c>
      <c r="N43" s="2">
        <v>1</v>
      </c>
      <c r="O43" s="2">
        <v>5.0000000000000001E-3</v>
      </c>
      <c r="Q43" s="2" t="s">
        <v>194</v>
      </c>
      <c r="R43" s="2">
        <v>5.28</v>
      </c>
      <c r="S43" s="2" t="s">
        <v>216</v>
      </c>
      <c r="T43" s="4"/>
      <c r="U43" s="4"/>
      <c r="V43" s="4"/>
      <c r="W43" s="1">
        <v>5.28</v>
      </c>
      <c r="AC43" s="2">
        <v>9.7100000000000009</v>
      </c>
      <c r="AD43" s="2">
        <f t="shared" si="0"/>
        <v>-1.4716486573949048</v>
      </c>
      <c r="AE43" s="2">
        <f t="shared" si="1"/>
        <v>3.3756028322788137E-2</v>
      </c>
      <c r="AF43" s="2">
        <f t="shared" si="2"/>
        <v>0.14548848207121687</v>
      </c>
    </row>
    <row r="44" spans="1:32" x14ac:dyDescent="0.35">
      <c r="A44" s="3" t="s">
        <v>118</v>
      </c>
      <c r="B44" s="3">
        <v>530</v>
      </c>
      <c r="C44" s="2" t="s">
        <v>225</v>
      </c>
      <c r="D44" s="2">
        <v>2</v>
      </c>
      <c r="F44" s="2">
        <v>2023</v>
      </c>
      <c r="G44" s="2">
        <v>11</v>
      </c>
      <c r="H44" s="2">
        <v>3</v>
      </c>
      <c r="I44" s="2">
        <v>83.6</v>
      </c>
      <c r="J44" s="2">
        <v>444</v>
      </c>
      <c r="M44" s="2" t="s">
        <v>86</v>
      </c>
      <c r="N44" s="2">
        <v>1</v>
      </c>
      <c r="O44" s="2">
        <v>0.1923</v>
      </c>
      <c r="Q44" s="2" t="s">
        <v>191</v>
      </c>
      <c r="R44" s="2">
        <v>3.92</v>
      </c>
      <c r="S44" s="2" t="s">
        <v>219</v>
      </c>
      <c r="T44" s="2">
        <v>3.92</v>
      </c>
      <c r="U44" s="2">
        <v>3.9074</v>
      </c>
      <c r="V44" s="2">
        <v>1.1612</v>
      </c>
      <c r="W44" s="1">
        <v>16.478207999999999</v>
      </c>
      <c r="AC44" s="2">
        <v>9.7200000000000006</v>
      </c>
      <c r="AD44" s="2">
        <f t="shared" si="0"/>
        <v>-1.4702058965769416</v>
      </c>
      <c r="AE44" s="2">
        <f t="shared" si="1"/>
        <v>3.386835501003304E-2</v>
      </c>
      <c r="AF44" s="2">
        <f t="shared" si="2"/>
        <v>0.14597261009324239</v>
      </c>
    </row>
    <row r="45" spans="1:32" x14ac:dyDescent="0.35">
      <c r="A45" s="3" t="s">
        <v>119</v>
      </c>
      <c r="B45" s="3">
        <v>538</v>
      </c>
      <c r="C45" s="2" t="s">
        <v>225</v>
      </c>
      <c r="D45" s="2" t="s">
        <v>229</v>
      </c>
      <c r="F45" s="2">
        <v>2023</v>
      </c>
      <c r="G45" s="2">
        <v>11</v>
      </c>
      <c r="H45" s="2">
        <v>20</v>
      </c>
      <c r="I45" s="2">
        <v>313.2</v>
      </c>
      <c r="J45" s="2">
        <v>638</v>
      </c>
      <c r="M45" s="2" t="s">
        <v>86</v>
      </c>
      <c r="N45" s="2">
        <v>1</v>
      </c>
      <c r="O45" s="2">
        <v>5.1299999999999998E-2</v>
      </c>
      <c r="Q45" s="2" t="s">
        <v>192</v>
      </c>
      <c r="R45" s="2">
        <v>5.94</v>
      </c>
      <c r="S45" s="2" t="s">
        <v>220</v>
      </c>
      <c r="T45" s="2">
        <v>0.77378644498119353</v>
      </c>
      <c r="U45">
        <v>0.75049999999999994</v>
      </c>
      <c r="V45">
        <v>0.53800000000000003</v>
      </c>
      <c r="W45" s="1">
        <v>13.143975077598897</v>
      </c>
      <c r="AC45" s="2">
        <v>9.93</v>
      </c>
      <c r="AD45" s="2">
        <f t="shared" si="0"/>
        <v>-1.440245995406007</v>
      </c>
      <c r="AE45" s="2">
        <f t="shared" si="1"/>
        <v>3.628724563876673E-2</v>
      </c>
      <c r="AF45" s="2">
        <f t="shared" si="2"/>
        <v>0.15639802870308459</v>
      </c>
    </row>
    <row r="46" spans="1:32" x14ac:dyDescent="0.35">
      <c r="A46" s="3" t="s">
        <v>120</v>
      </c>
      <c r="B46" s="3">
        <v>540</v>
      </c>
      <c r="C46" s="2" t="s">
        <v>225</v>
      </c>
      <c r="D46" s="2" t="s">
        <v>67</v>
      </c>
      <c r="F46" s="2">
        <v>2023</v>
      </c>
      <c r="G46" s="2">
        <v>10</v>
      </c>
      <c r="H46" s="2">
        <v>31</v>
      </c>
      <c r="I46" s="2">
        <v>230.2</v>
      </c>
      <c r="J46" s="2">
        <v>600</v>
      </c>
      <c r="M46" s="2" t="s">
        <v>86</v>
      </c>
      <c r="N46" s="2">
        <v>1</v>
      </c>
      <c r="O46" s="2">
        <v>9.7799999999999998E-2</v>
      </c>
      <c r="Q46" s="2" t="s">
        <v>199</v>
      </c>
      <c r="R46" s="2">
        <v>11.45</v>
      </c>
      <c r="S46" s="2" t="s">
        <v>216</v>
      </c>
      <c r="T46" s="4"/>
      <c r="U46" s="4"/>
      <c r="V46" s="4"/>
      <c r="W46" s="1">
        <v>11.45</v>
      </c>
      <c r="AC46" s="2">
        <v>9.94</v>
      </c>
      <c r="AD46" s="2">
        <f t="shared" si="0"/>
        <v>-1.4388351829961112</v>
      </c>
      <c r="AE46" s="2">
        <f t="shared" si="1"/>
        <v>3.6405316997672132E-2</v>
      </c>
      <c r="AF46" s="2">
        <f t="shared" si="2"/>
        <v>0.15690691625996689</v>
      </c>
    </row>
    <row r="47" spans="1:32" x14ac:dyDescent="0.35">
      <c r="A47" s="3" t="s">
        <v>121</v>
      </c>
      <c r="B47" s="3">
        <v>541</v>
      </c>
      <c r="C47" s="2" t="s">
        <v>225</v>
      </c>
      <c r="D47" s="2" t="s">
        <v>67</v>
      </c>
      <c r="F47" s="2">
        <v>2023</v>
      </c>
      <c r="G47" s="2">
        <v>10</v>
      </c>
      <c r="H47" s="2">
        <v>31</v>
      </c>
      <c r="I47" s="2">
        <v>215.3</v>
      </c>
      <c r="J47" s="2">
        <v>597</v>
      </c>
      <c r="M47" s="2" t="s">
        <v>86</v>
      </c>
      <c r="N47" s="2">
        <v>1</v>
      </c>
      <c r="O47" s="2">
        <v>0.24379999999999999</v>
      </c>
      <c r="Q47" s="2" t="s">
        <v>195</v>
      </c>
      <c r="R47" s="2">
        <v>1.67</v>
      </c>
      <c r="S47" s="2" t="s">
        <v>218</v>
      </c>
      <c r="T47" s="2">
        <v>0.51282362642866375</v>
      </c>
      <c r="U47" s="2">
        <v>17.120999999999999</v>
      </c>
      <c r="V47" s="2">
        <v>16.844000000000001</v>
      </c>
      <c r="W47" s="1">
        <v>25.624053308085152</v>
      </c>
      <c r="AC47" s="2">
        <v>9.9919240000000009</v>
      </c>
      <c r="AD47" s="2">
        <f t="shared" si="0"/>
        <v>-1.43153242342215</v>
      </c>
      <c r="AE47" s="2">
        <f t="shared" si="1"/>
        <v>3.7022656410883023E-2</v>
      </c>
      <c r="AF47" s="2">
        <f t="shared" si="2"/>
        <v>0.15956764913090582</v>
      </c>
    </row>
    <row r="48" spans="1:32" x14ac:dyDescent="0.35">
      <c r="A48" s="3" t="s">
        <v>97</v>
      </c>
      <c r="B48" s="3">
        <v>542</v>
      </c>
      <c r="C48" s="2" t="s">
        <v>225</v>
      </c>
      <c r="D48" s="2" t="s">
        <v>67</v>
      </c>
      <c r="F48" s="2">
        <v>2023</v>
      </c>
      <c r="G48" s="2">
        <v>10</v>
      </c>
      <c r="H48" s="2">
        <v>31</v>
      </c>
      <c r="I48" s="2">
        <v>64.8</v>
      </c>
      <c r="J48" s="2">
        <v>395</v>
      </c>
      <c r="L48" s="2" t="s">
        <v>31</v>
      </c>
      <c r="M48" s="2" t="s">
        <v>86</v>
      </c>
      <c r="N48" s="2">
        <v>2</v>
      </c>
      <c r="O48" s="2">
        <v>8.0799999999999997E-2</v>
      </c>
      <c r="Q48" s="2" t="s">
        <v>197</v>
      </c>
      <c r="R48" s="2">
        <v>3.45</v>
      </c>
      <c r="S48" s="2" t="s">
        <v>211</v>
      </c>
      <c r="T48" s="2">
        <v>3.45</v>
      </c>
      <c r="U48" s="2">
        <v>3.9074</v>
      </c>
      <c r="V48" s="2">
        <v>1.1612</v>
      </c>
      <c r="W48" s="1">
        <v>14.641729999999999</v>
      </c>
      <c r="AC48" s="2">
        <v>10.241072666018013</v>
      </c>
      <c r="AD48" s="2">
        <f t="shared" si="0"/>
        <v>-1.3970111020683458</v>
      </c>
      <c r="AE48" s="2">
        <f t="shared" si="1"/>
        <v>4.0085647021915416E-2</v>
      </c>
      <c r="AF48" s="2">
        <f t="shared" si="2"/>
        <v>0.17276913866445542</v>
      </c>
    </row>
    <row r="49" spans="1:32" x14ac:dyDescent="0.35">
      <c r="A49" s="3" t="s">
        <v>122</v>
      </c>
      <c r="B49" s="3">
        <v>543</v>
      </c>
      <c r="C49" s="2" t="s">
        <v>225</v>
      </c>
      <c r="D49" s="2" t="s">
        <v>67</v>
      </c>
      <c r="F49" s="2">
        <v>2023</v>
      </c>
      <c r="G49" s="2">
        <v>10</v>
      </c>
      <c r="H49" s="2">
        <v>31</v>
      </c>
      <c r="I49" s="2">
        <v>73.400000000000006</v>
      </c>
      <c r="J49" s="2">
        <v>404</v>
      </c>
      <c r="M49" s="2" t="s">
        <v>86</v>
      </c>
      <c r="N49" s="2">
        <v>1</v>
      </c>
      <c r="O49" s="2">
        <v>6.13E-2</v>
      </c>
      <c r="Q49" s="2" t="s">
        <v>198</v>
      </c>
      <c r="R49" s="2">
        <v>8.76</v>
      </c>
      <c r="S49" s="2" t="s">
        <v>220</v>
      </c>
      <c r="T49" s="2">
        <v>0.94250410616808067</v>
      </c>
      <c r="U49">
        <v>0.75049999999999994</v>
      </c>
      <c r="V49">
        <v>0.53800000000000003</v>
      </c>
      <c r="W49" s="1">
        <v>17.593381966430698</v>
      </c>
      <c r="AC49" s="2">
        <v>10.25</v>
      </c>
      <c r="AD49" s="2">
        <f t="shared" si="0"/>
        <v>-1.3957897968345914</v>
      </c>
      <c r="AE49" s="2">
        <f t="shared" si="1"/>
        <v>4.0198532896120007E-2</v>
      </c>
      <c r="AF49" s="2">
        <f t="shared" si="2"/>
        <v>0.17325567678227721</v>
      </c>
    </row>
    <row r="50" spans="1:32" x14ac:dyDescent="0.35">
      <c r="A50" s="3" t="s">
        <v>123</v>
      </c>
      <c r="B50" s="3">
        <v>548</v>
      </c>
      <c r="C50" s="2" t="s">
        <v>20</v>
      </c>
      <c r="D50" s="2" t="s">
        <v>64</v>
      </c>
      <c r="F50" s="2">
        <v>2023</v>
      </c>
      <c r="G50" s="2">
        <v>11</v>
      </c>
      <c r="H50" s="2">
        <v>9</v>
      </c>
      <c r="I50" s="2">
        <v>12.8</v>
      </c>
      <c r="J50" s="2">
        <v>261</v>
      </c>
      <c r="M50" s="2" t="s">
        <v>86</v>
      </c>
      <c r="N50" s="2">
        <v>1</v>
      </c>
      <c r="O50" s="2">
        <v>3.6299999999999999E-2</v>
      </c>
      <c r="Q50" s="2" t="s">
        <v>193</v>
      </c>
      <c r="R50" s="2">
        <v>5.46</v>
      </c>
      <c r="S50" s="2" t="s">
        <v>220</v>
      </c>
      <c r="T50" s="2">
        <v>0.73719264270473728</v>
      </c>
      <c r="U50">
        <v>0.75049999999999994</v>
      </c>
      <c r="V50">
        <v>0.53800000000000003</v>
      </c>
      <c r="W50" s="1">
        <v>12.338520254531575</v>
      </c>
      <c r="AC50" s="2">
        <v>10.331780982890967</v>
      </c>
      <c r="AD50" s="2">
        <f t="shared" si="0"/>
        <v>-1.3846509877415834</v>
      </c>
      <c r="AE50" s="2">
        <f t="shared" si="1"/>
        <v>4.1242882630757295E-2</v>
      </c>
      <c r="AF50" s="2">
        <f t="shared" si="2"/>
        <v>0.17775682413856392</v>
      </c>
    </row>
    <row r="51" spans="1:32" x14ac:dyDescent="0.35">
      <c r="A51" s="3" t="s">
        <v>124</v>
      </c>
      <c r="B51" s="3">
        <v>549</v>
      </c>
      <c r="C51" s="2" t="s">
        <v>20</v>
      </c>
      <c r="D51" s="2" t="s">
        <v>64</v>
      </c>
      <c r="F51" s="2">
        <v>2023</v>
      </c>
      <c r="G51" s="2">
        <v>11</v>
      </c>
      <c r="H51" s="2">
        <v>9</v>
      </c>
      <c r="I51" s="2">
        <v>576.29999999999995</v>
      </c>
      <c r="J51" s="2">
        <v>757</v>
      </c>
      <c r="M51" s="2" t="s">
        <v>86</v>
      </c>
      <c r="N51" s="2">
        <v>1</v>
      </c>
      <c r="O51" s="2">
        <v>0.64649999999999996</v>
      </c>
      <c r="Q51" s="2" t="s">
        <v>196</v>
      </c>
      <c r="R51" s="2">
        <v>19.59</v>
      </c>
      <c r="S51" s="2" t="s">
        <v>216</v>
      </c>
      <c r="T51" s="4"/>
      <c r="U51" s="4"/>
      <c r="V51" s="4"/>
      <c r="W51" s="1">
        <v>19.59</v>
      </c>
      <c r="AC51" s="2">
        <v>10.382663999999998</v>
      </c>
      <c r="AD51" s="2">
        <f t="shared" si="0"/>
        <v>-1.3777649796514502</v>
      </c>
      <c r="AE51" s="2">
        <f t="shared" si="1"/>
        <v>4.1902025841040184E-2</v>
      </c>
      <c r="AF51" s="2">
        <f t="shared" si="2"/>
        <v>0.18059773137488319</v>
      </c>
    </row>
    <row r="52" spans="1:32" x14ac:dyDescent="0.35">
      <c r="A52" s="3" t="s">
        <v>125</v>
      </c>
      <c r="B52" s="3">
        <v>551</v>
      </c>
      <c r="C52" s="2" t="s">
        <v>20</v>
      </c>
      <c r="D52" s="2" t="s">
        <v>230</v>
      </c>
      <c r="F52" s="2">
        <v>2024</v>
      </c>
      <c r="G52" s="2">
        <v>1</v>
      </c>
      <c r="H52" s="2">
        <v>22</v>
      </c>
      <c r="I52" s="2">
        <v>118.1</v>
      </c>
      <c r="J52" s="2">
        <v>478</v>
      </c>
      <c r="M52" s="2" t="s">
        <v>86</v>
      </c>
      <c r="N52" s="2">
        <v>1</v>
      </c>
      <c r="O52" s="2">
        <v>1.0500000000000001E-2</v>
      </c>
      <c r="Q52" s="2" t="s">
        <v>184</v>
      </c>
      <c r="R52" s="2">
        <v>2.36</v>
      </c>
      <c r="S52" s="2" t="s">
        <v>219</v>
      </c>
      <c r="T52" s="2">
        <v>2.36</v>
      </c>
      <c r="U52" s="2">
        <v>3.9074</v>
      </c>
      <c r="V52" s="2">
        <v>1.1612</v>
      </c>
      <c r="W52" s="1">
        <v>10.382663999999998</v>
      </c>
      <c r="AC52" s="2">
        <v>10.382663999999998</v>
      </c>
      <c r="AD52" s="2">
        <f t="shared" si="0"/>
        <v>-1.3777649796514502</v>
      </c>
      <c r="AE52" s="2">
        <f t="shared" si="1"/>
        <v>4.1902025841040184E-2</v>
      </c>
      <c r="AF52" s="2">
        <f t="shared" si="2"/>
        <v>0.18059773137488319</v>
      </c>
    </row>
    <row r="53" spans="1:32" x14ac:dyDescent="0.35">
      <c r="A53" s="3" t="s">
        <v>126</v>
      </c>
      <c r="B53" s="3">
        <v>552</v>
      </c>
      <c r="C53" s="2" t="s">
        <v>225</v>
      </c>
      <c r="D53" s="2" t="s">
        <v>76</v>
      </c>
      <c r="F53" s="2">
        <v>2024</v>
      </c>
      <c r="G53" s="2">
        <v>1</v>
      </c>
      <c r="H53" s="2">
        <v>26</v>
      </c>
      <c r="I53" s="2">
        <v>85.5</v>
      </c>
      <c r="J53" s="2">
        <v>445</v>
      </c>
      <c r="M53" s="2" t="s">
        <v>86</v>
      </c>
      <c r="N53" s="2">
        <v>1</v>
      </c>
      <c r="O53" s="2">
        <v>4.8800000000000003E-2</v>
      </c>
      <c r="Q53" s="2" t="s">
        <v>183</v>
      </c>
      <c r="R53" s="2">
        <v>12.92</v>
      </c>
      <c r="S53" s="2" t="s">
        <v>216</v>
      </c>
      <c r="T53" s="4"/>
      <c r="U53" s="4"/>
      <c r="V53" s="4"/>
      <c r="W53" s="1">
        <v>12.92</v>
      </c>
      <c r="AC53" s="2">
        <v>10.83</v>
      </c>
      <c r="AD53" s="2">
        <f t="shared" si="0"/>
        <v>-1.3186401190874415</v>
      </c>
      <c r="AE53" s="2">
        <f t="shared" si="1"/>
        <v>4.8013114759609579E-2</v>
      </c>
      <c r="AF53" s="2">
        <f t="shared" si="2"/>
        <v>0.20693652461391726</v>
      </c>
    </row>
    <row r="54" spans="1:32" x14ac:dyDescent="0.35">
      <c r="A54" s="3" t="s">
        <v>127</v>
      </c>
      <c r="B54" s="3">
        <v>555</v>
      </c>
      <c r="C54" s="2" t="s">
        <v>41</v>
      </c>
      <c r="D54" s="2" t="s">
        <v>49</v>
      </c>
      <c r="F54" s="2">
        <v>2024</v>
      </c>
      <c r="G54" s="2">
        <v>1</v>
      </c>
      <c r="H54" s="2">
        <v>17</v>
      </c>
      <c r="I54" s="2">
        <v>22.6</v>
      </c>
      <c r="J54" s="2">
        <v>309</v>
      </c>
      <c r="M54" s="2" t="s">
        <v>86</v>
      </c>
      <c r="N54" s="2">
        <v>1</v>
      </c>
      <c r="O54" s="2">
        <v>1.4800000000000001E-2</v>
      </c>
      <c r="Q54" s="2" t="s">
        <v>28</v>
      </c>
      <c r="R54" s="2" t="s">
        <v>28</v>
      </c>
      <c r="S54" s="2" t="s">
        <v>28</v>
      </c>
      <c r="T54" s="4"/>
      <c r="U54" s="4"/>
      <c r="V54" s="4"/>
      <c r="W54" s="5"/>
      <c r="AC54" s="2">
        <v>10.91</v>
      </c>
      <c r="AD54" s="2">
        <f t="shared" si="0"/>
        <v>-1.3083243999511858</v>
      </c>
      <c r="AE54" s="2">
        <f t="shared" si="1"/>
        <v>4.9167213980380528E-2</v>
      </c>
      <c r="AF54" s="2">
        <f t="shared" si="2"/>
        <v>0.21191069225544007</v>
      </c>
    </row>
    <row r="55" spans="1:32" x14ac:dyDescent="0.35">
      <c r="A55" s="3" t="s">
        <v>128</v>
      </c>
      <c r="B55" s="3">
        <v>568</v>
      </c>
      <c r="C55" s="2" t="s">
        <v>20</v>
      </c>
      <c r="D55" s="2" t="s">
        <v>231</v>
      </c>
      <c r="F55" s="2">
        <v>2024</v>
      </c>
      <c r="G55" s="2">
        <v>1</v>
      </c>
      <c r="H55" s="2">
        <v>22</v>
      </c>
      <c r="I55" s="2">
        <v>303.39999999999998</v>
      </c>
      <c r="J55" s="2">
        <v>490</v>
      </c>
      <c r="M55" s="2" t="s">
        <v>86</v>
      </c>
      <c r="N55" s="2">
        <v>1</v>
      </c>
      <c r="O55" s="2">
        <v>3.4000000000000002E-2</v>
      </c>
      <c r="Q55" s="2" t="s">
        <v>182</v>
      </c>
      <c r="R55" s="2">
        <v>3.23</v>
      </c>
      <c r="S55" s="2" t="s">
        <v>220</v>
      </c>
      <c r="T55" s="2">
        <v>0.50920252233110286</v>
      </c>
      <c r="U55">
        <v>0.75049999999999994</v>
      </c>
      <c r="V55">
        <v>0.53800000000000003</v>
      </c>
      <c r="W55" s="1">
        <v>8.3206354159420695</v>
      </c>
      <c r="AC55" s="2">
        <v>11.06</v>
      </c>
      <c r="AD55" s="2">
        <f t="shared" si="0"/>
        <v>-1.2891847032212835</v>
      </c>
      <c r="AE55" s="2">
        <f t="shared" si="1"/>
        <v>5.1382507792970086E-2</v>
      </c>
      <c r="AF55" s="2">
        <f t="shared" si="2"/>
        <v>0.22145860858770106</v>
      </c>
    </row>
    <row r="56" spans="1:32" x14ac:dyDescent="0.35">
      <c r="A56" s="3" t="s">
        <v>129</v>
      </c>
      <c r="B56" s="3">
        <v>573</v>
      </c>
      <c r="C56" s="2" t="s">
        <v>20</v>
      </c>
      <c r="D56" s="2" t="s">
        <v>232</v>
      </c>
      <c r="F56" s="2">
        <v>2024</v>
      </c>
      <c r="G56" s="2">
        <v>1</v>
      </c>
      <c r="H56" s="2">
        <v>24</v>
      </c>
      <c r="I56" s="2">
        <v>33.4</v>
      </c>
      <c r="J56" s="2">
        <v>333</v>
      </c>
      <c r="M56" s="2" t="s">
        <v>86</v>
      </c>
      <c r="N56" s="2">
        <v>1</v>
      </c>
      <c r="O56" s="2">
        <v>3.4299999999999997E-2</v>
      </c>
      <c r="Q56" s="2" t="s">
        <v>186</v>
      </c>
      <c r="R56" s="2">
        <v>11.15</v>
      </c>
      <c r="S56" s="2" t="s">
        <v>216</v>
      </c>
      <c r="T56" s="4"/>
      <c r="U56" s="4"/>
      <c r="V56" s="4"/>
      <c r="W56" s="1">
        <v>11.15</v>
      </c>
      <c r="AC56" s="2">
        <v>11.060976508768015</v>
      </c>
      <c r="AD56" s="2">
        <f t="shared" si="0"/>
        <v>-1.2890609550030621</v>
      </c>
      <c r="AE56" s="2">
        <f t="shared" si="1"/>
        <v>5.1397150852081672E-2</v>
      </c>
      <c r="AF56" s="2">
        <f t="shared" si="2"/>
        <v>0.22152172017247199</v>
      </c>
    </row>
    <row r="57" spans="1:32" x14ac:dyDescent="0.35">
      <c r="A57" s="3" t="s">
        <v>130</v>
      </c>
      <c r="B57" s="3">
        <v>588</v>
      </c>
      <c r="C57" s="2" t="s">
        <v>20</v>
      </c>
      <c r="D57" s="2" t="s">
        <v>55</v>
      </c>
      <c r="F57" s="2">
        <v>2024</v>
      </c>
      <c r="G57" s="2">
        <v>1</v>
      </c>
      <c r="H57" s="2">
        <v>22</v>
      </c>
      <c r="I57" s="2">
        <v>52.9</v>
      </c>
      <c r="J57" s="2">
        <v>280</v>
      </c>
      <c r="M57" s="2" t="s">
        <v>86</v>
      </c>
      <c r="N57" s="2">
        <v>1</v>
      </c>
      <c r="O57" s="2">
        <v>2.6800000000000001E-2</v>
      </c>
      <c r="Q57" s="2" t="s">
        <v>185</v>
      </c>
      <c r="R57" s="2">
        <v>6.97</v>
      </c>
      <c r="S57" s="2" t="s">
        <v>220</v>
      </c>
      <c r="T57" s="2">
        <v>0.84323277809800945</v>
      </c>
      <c r="U57">
        <v>0.75049999999999994</v>
      </c>
      <c r="V57">
        <v>0.53800000000000003</v>
      </c>
      <c r="W57" s="1">
        <v>14.819931625932403</v>
      </c>
      <c r="AC57" s="2">
        <v>11.15</v>
      </c>
      <c r="AD57" s="2">
        <f t="shared" si="0"/>
        <v>-1.2778250930042994</v>
      </c>
      <c r="AE57" s="2">
        <f t="shared" si="1"/>
        <v>5.2744223981337303E-2</v>
      </c>
      <c r="AF57" s="2">
        <f t="shared" si="2"/>
        <v>0.22732760535956376</v>
      </c>
    </row>
    <row r="58" spans="1:32" x14ac:dyDescent="0.35">
      <c r="A58" s="3" t="s">
        <v>131</v>
      </c>
      <c r="B58" s="3">
        <v>589</v>
      </c>
      <c r="C58" s="2" t="s">
        <v>20</v>
      </c>
      <c r="D58" s="2" t="s">
        <v>55</v>
      </c>
      <c r="F58" s="2">
        <v>2024</v>
      </c>
      <c r="G58" s="2">
        <v>1</v>
      </c>
      <c r="H58" s="2">
        <v>22</v>
      </c>
      <c r="I58" s="2">
        <v>484.2</v>
      </c>
      <c r="J58" s="2">
        <v>615</v>
      </c>
      <c r="M58" s="2" t="s">
        <v>86</v>
      </c>
      <c r="N58" s="2">
        <v>1</v>
      </c>
      <c r="O58" s="2">
        <v>0.1069</v>
      </c>
      <c r="Q58" s="2" t="s">
        <v>181</v>
      </c>
      <c r="R58" s="2">
        <v>1.42</v>
      </c>
      <c r="S58" s="2" t="s">
        <v>218</v>
      </c>
      <c r="T58" s="2">
        <v>0.35065687161316933</v>
      </c>
      <c r="U58" s="2">
        <v>17.120999999999999</v>
      </c>
      <c r="V58" s="2">
        <v>16.844000000000001</v>
      </c>
      <c r="W58" s="1">
        <v>22.847596298889073</v>
      </c>
      <c r="AC58" s="2">
        <v>11.219681869371772</v>
      </c>
      <c r="AD58" s="2">
        <f t="shared" si="0"/>
        <v>-1.2690927961405638</v>
      </c>
      <c r="AE58" s="2">
        <f t="shared" si="1"/>
        <v>5.3815478215479176E-2</v>
      </c>
      <c r="AF58" s="2">
        <f t="shared" si="2"/>
        <v>0.23194471110871523</v>
      </c>
    </row>
    <row r="59" spans="1:32" x14ac:dyDescent="0.35">
      <c r="A59" s="3" t="s">
        <v>132</v>
      </c>
      <c r="B59" s="3">
        <v>602</v>
      </c>
      <c r="C59" s="2" t="s">
        <v>20</v>
      </c>
      <c r="D59" s="2" t="s">
        <v>233</v>
      </c>
      <c r="F59" s="2">
        <v>2024</v>
      </c>
      <c r="G59" s="2">
        <v>1</v>
      </c>
      <c r="H59" s="2">
        <v>22</v>
      </c>
      <c r="I59" s="2">
        <v>42.6</v>
      </c>
      <c r="J59" s="2">
        <v>352</v>
      </c>
      <c r="M59" s="2" t="s">
        <v>86</v>
      </c>
      <c r="N59" s="2">
        <v>1</v>
      </c>
      <c r="O59" s="2">
        <v>3.0700000000000002E-2</v>
      </c>
      <c r="Q59" s="2" t="s">
        <v>188</v>
      </c>
      <c r="R59" s="2">
        <v>3.48</v>
      </c>
      <c r="S59" s="2" t="s">
        <v>220</v>
      </c>
      <c r="T59" s="2">
        <v>0.54157924394658097</v>
      </c>
      <c r="U59">
        <v>0.75049999999999994</v>
      </c>
      <c r="V59">
        <v>0.53800000000000003</v>
      </c>
      <c r="W59" s="1">
        <v>8.79944381387023</v>
      </c>
      <c r="AC59" s="2">
        <v>11.4</v>
      </c>
      <c r="AD59" s="2">
        <f t="shared" si="0"/>
        <v>-1.2467452827966681</v>
      </c>
      <c r="AE59" s="2">
        <f t="shared" si="1"/>
        <v>5.6657149034103245E-2</v>
      </c>
      <c r="AF59" s="2">
        <f t="shared" si="2"/>
        <v>0.24419231233698496</v>
      </c>
    </row>
    <row r="60" spans="1:32" x14ac:dyDescent="0.35">
      <c r="A60" s="3" t="s">
        <v>98</v>
      </c>
      <c r="B60" s="3">
        <v>604</v>
      </c>
      <c r="C60" s="2" t="s">
        <v>20</v>
      </c>
      <c r="D60" s="2" t="s">
        <v>233</v>
      </c>
      <c r="F60" s="2">
        <v>2024</v>
      </c>
      <c r="G60" s="2">
        <v>1</v>
      </c>
      <c r="H60" s="2">
        <v>22</v>
      </c>
      <c r="I60" s="2">
        <v>286</v>
      </c>
      <c r="J60" s="2">
        <v>618</v>
      </c>
      <c r="M60" s="2" t="s">
        <v>86</v>
      </c>
      <c r="N60" s="2">
        <v>2</v>
      </c>
      <c r="O60" s="2">
        <v>0.18959999999999999</v>
      </c>
      <c r="Q60" s="2" t="s">
        <v>187</v>
      </c>
      <c r="R60" s="2">
        <v>2.2599999999999998</v>
      </c>
      <c r="S60" s="2" t="s">
        <v>211</v>
      </c>
      <c r="T60" s="2">
        <v>2.2599999999999998</v>
      </c>
      <c r="U60" s="2">
        <v>3.9074</v>
      </c>
      <c r="V60" s="2">
        <v>1.1612</v>
      </c>
      <c r="W60" s="1">
        <v>9.9919240000000009</v>
      </c>
      <c r="AC60" s="2">
        <v>11.437662</v>
      </c>
      <c r="AD60" s="2">
        <f t="shared" si="0"/>
        <v>-1.2421223324028077</v>
      </c>
      <c r="AE60" s="2">
        <f t="shared" si="1"/>
        <v>5.7263470808227815E-2</v>
      </c>
      <c r="AF60" s="2">
        <f t="shared" si="2"/>
        <v>0.24680555918346186</v>
      </c>
    </row>
    <row r="61" spans="1:32" x14ac:dyDescent="0.35">
      <c r="A61" s="3" t="s">
        <v>98</v>
      </c>
      <c r="B61" s="3">
        <v>604</v>
      </c>
      <c r="C61" s="2" t="s">
        <v>20</v>
      </c>
      <c r="D61" s="2" t="s">
        <v>233</v>
      </c>
      <c r="F61" s="2">
        <v>2024</v>
      </c>
      <c r="G61" s="2">
        <v>1</v>
      </c>
      <c r="H61" s="2">
        <v>22</v>
      </c>
      <c r="I61" s="2">
        <v>286</v>
      </c>
      <c r="J61" s="2">
        <v>618</v>
      </c>
      <c r="M61" s="2" t="s">
        <v>86</v>
      </c>
      <c r="N61" s="2">
        <v>2</v>
      </c>
      <c r="O61" s="2">
        <v>0.18959999999999999</v>
      </c>
      <c r="Q61" s="2" t="s">
        <v>187</v>
      </c>
      <c r="R61" s="2">
        <v>9.07</v>
      </c>
      <c r="S61" s="2" t="s">
        <v>222</v>
      </c>
      <c r="T61" s="2">
        <v>0.95760728706009524</v>
      </c>
      <c r="U61">
        <v>0.75049999999999994</v>
      </c>
      <c r="V61">
        <v>0.53800000000000003</v>
      </c>
      <c r="W61" s="1">
        <v>18.058607921477645</v>
      </c>
      <c r="AC61" s="2">
        <v>11.45</v>
      </c>
      <c r="AD61" s="2">
        <f t="shared" si="0"/>
        <v>-1.2406111723021791</v>
      </c>
      <c r="AE61" s="2">
        <f t="shared" si="1"/>
        <v>5.7463070393127709E-2</v>
      </c>
      <c r="AF61" s="2">
        <f t="shared" si="2"/>
        <v>0.24766583339438039</v>
      </c>
    </row>
    <row r="62" spans="1:32" x14ac:dyDescent="0.35">
      <c r="A62" s="3" t="s">
        <v>99</v>
      </c>
      <c r="B62" s="3">
        <v>606</v>
      </c>
      <c r="C62" s="2" t="s">
        <v>20</v>
      </c>
      <c r="D62" s="2" t="s">
        <v>234</v>
      </c>
      <c r="F62" s="2">
        <v>2024</v>
      </c>
      <c r="G62" s="2">
        <v>1</v>
      </c>
      <c r="H62" s="2">
        <v>24</v>
      </c>
      <c r="I62" s="2">
        <v>212.1</v>
      </c>
      <c r="J62" s="2">
        <v>543</v>
      </c>
      <c r="M62" s="2" t="s">
        <v>86</v>
      </c>
      <c r="N62" s="2">
        <v>2</v>
      </c>
      <c r="O62" s="2">
        <v>9.9500000000000005E-2</v>
      </c>
      <c r="Q62" s="2" t="s">
        <v>190</v>
      </c>
      <c r="R62" s="2">
        <v>1.76</v>
      </c>
      <c r="S62" s="2" t="s">
        <v>211</v>
      </c>
      <c r="T62" s="2">
        <v>1.76</v>
      </c>
      <c r="U62" s="2">
        <v>3.9074</v>
      </c>
      <c r="V62" s="2">
        <v>1.1612</v>
      </c>
      <c r="W62" s="1">
        <v>8.0382239999999996</v>
      </c>
      <c r="AC62" s="2">
        <v>11.619143558669533</v>
      </c>
      <c r="AD62" s="2">
        <f t="shared" si="0"/>
        <v>-1.2200570528501209</v>
      </c>
      <c r="AE62" s="2">
        <f t="shared" si="1"/>
        <v>6.0248043359787236E-2</v>
      </c>
      <c r="AF62" s="2">
        <f t="shared" si="2"/>
        <v>0.25966906688068297</v>
      </c>
    </row>
    <row r="63" spans="1:32" x14ac:dyDescent="0.35">
      <c r="A63" s="3" t="s">
        <v>99</v>
      </c>
      <c r="B63" s="3">
        <v>606</v>
      </c>
      <c r="C63" s="2" t="s">
        <v>20</v>
      </c>
      <c r="D63" s="2" t="s">
        <v>234</v>
      </c>
      <c r="F63" s="2">
        <v>2024</v>
      </c>
      <c r="G63" s="2">
        <v>1</v>
      </c>
      <c r="H63" s="2">
        <v>24</v>
      </c>
      <c r="I63" s="2">
        <v>212.1</v>
      </c>
      <c r="J63" s="2">
        <v>543</v>
      </c>
      <c r="M63" s="2" t="s">
        <v>86</v>
      </c>
      <c r="N63" s="2">
        <v>2</v>
      </c>
      <c r="O63" s="2">
        <v>9.9500000000000005E-2</v>
      </c>
      <c r="Q63" s="2" t="s">
        <v>190</v>
      </c>
      <c r="R63" s="2">
        <v>1.59</v>
      </c>
      <c r="S63" s="2" t="s">
        <v>215</v>
      </c>
      <c r="T63" s="2">
        <v>0.46373401623214022</v>
      </c>
      <c r="U63" s="2">
        <v>17.120999999999999</v>
      </c>
      <c r="V63" s="2">
        <v>16.844000000000001</v>
      </c>
      <c r="W63" s="2">
        <v>24.783590091910472</v>
      </c>
      <c r="AC63" s="2">
        <v>11.633032</v>
      </c>
      <c r="AD63" s="2">
        <f t="shared" si="0"/>
        <v>-1.2183826611270323</v>
      </c>
      <c r="AE63" s="2">
        <f t="shared" si="1"/>
        <v>6.0480773788328182E-2</v>
      </c>
      <c r="AF63" s="2">
        <f t="shared" si="2"/>
        <v>0.26067213502769443</v>
      </c>
    </row>
    <row r="64" spans="1:32" x14ac:dyDescent="0.35">
      <c r="A64" s="3" t="s">
        <v>133</v>
      </c>
      <c r="B64" s="3">
        <v>611</v>
      </c>
      <c r="C64" s="2" t="s">
        <v>45</v>
      </c>
      <c r="D64" s="2" t="s">
        <v>28</v>
      </c>
      <c r="F64" s="2">
        <v>2011</v>
      </c>
      <c r="G64" s="2">
        <v>11</v>
      </c>
      <c r="H64" s="2">
        <v>14</v>
      </c>
      <c r="I64" s="2">
        <v>597.79999999999995</v>
      </c>
      <c r="J64" s="2">
        <v>780</v>
      </c>
      <c r="M64" s="2" t="s">
        <v>86</v>
      </c>
      <c r="N64" s="2">
        <v>1</v>
      </c>
      <c r="O64" s="2">
        <v>0.1099</v>
      </c>
      <c r="Q64" s="2" t="s">
        <v>180</v>
      </c>
      <c r="R64" s="2">
        <v>1.8</v>
      </c>
      <c r="S64" s="2" t="s">
        <v>218</v>
      </c>
      <c r="T64" s="2">
        <v>0.58778666490211906</v>
      </c>
      <c r="U64" s="2">
        <v>17.120999999999999</v>
      </c>
      <c r="V64" s="2">
        <v>16.844000000000001</v>
      </c>
      <c r="W64" s="1">
        <v>26.907495489789181</v>
      </c>
      <c r="AC64" s="2">
        <v>11.688779706446478</v>
      </c>
      <c r="AD64" s="2">
        <f t="shared" si="0"/>
        <v>-1.2116817686599965</v>
      </c>
      <c r="AE64" s="2">
        <f t="shared" si="1"/>
        <v>6.1421190699679398E-2</v>
      </c>
      <c r="AF64" s="2">
        <f t="shared" si="2"/>
        <v>0.2647253319156182</v>
      </c>
    </row>
    <row r="65" spans="1:32" x14ac:dyDescent="0.35">
      <c r="A65" s="3" t="s">
        <v>134</v>
      </c>
      <c r="B65" s="3">
        <v>613</v>
      </c>
      <c r="C65" s="2" t="s">
        <v>45</v>
      </c>
      <c r="D65" s="2" t="s">
        <v>28</v>
      </c>
      <c r="F65" s="2">
        <v>2011</v>
      </c>
      <c r="G65" s="2">
        <v>11</v>
      </c>
      <c r="H65" s="2">
        <v>14</v>
      </c>
      <c r="I65" s="2">
        <v>616.4</v>
      </c>
      <c r="J65" s="2">
        <v>852</v>
      </c>
      <c r="M65" s="2" t="s">
        <v>86</v>
      </c>
      <c r="N65" s="2">
        <v>1</v>
      </c>
      <c r="O65" s="2">
        <v>0.36759999999999998</v>
      </c>
      <c r="Q65" s="2" t="s">
        <v>178</v>
      </c>
      <c r="R65" s="2">
        <v>22.31</v>
      </c>
      <c r="S65" s="2" t="s">
        <v>216</v>
      </c>
      <c r="T65" s="4"/>
      <c r="U65" s="4"/>
      <c r="V65" s="4"/>
      <c r="W65" s="1">
        <v>22.31</v>
      </c>
      <c r="AC65" s="2">
        <v>11.711180000000002</v>
      </c>
      <c r="AD65" s="2">
        <f t="shared" si="0"/>
        <v>-1.2089982424928154</v>
      </c>
      <c r="AE65" s="2">
        <f t="shared" si="1"/>
        <v>6.1801890113832823E-2</v>
      </c>
      <c r="AF65" s="2">
        <f t="shared" si="2"/>
        <v>0.26636614639061945</v>
      </c>
    </row>
    <row r="66" spans="1:32" x14ac:dyDescent="0.35">
      <c r="A66" s="3" t="s">
        <v>135</v>
      </c>
      <c r="B66" s="3">
        <v>616</v>
      </c>
      <c r="C66" s="2" t="s">
        <v>45</v>
      </c>
      <c r="D66" s="2" t="s">
        <v>28</v>
      </c>
      <c r="F66" s="2">
        <v>2011</v>
      </c>
      <c r="G66" s="2">
        <v>11</v>
      </c>
      <c r="H66" s="2">
        <v>14</v>
      </c>
      <c r="I66" s="2">
        <v>225.4</v>
      </c>
      <c r="J66" s="2">
        <v>633</v>
      </c>
      <c r="M66" s="2" t="s">
        <v>86</v>
      </c>
      <c r="N66" s="2">
        <v>1</v>
      </c>
      <c r="O66" s="2">
        <v>1.8700000000000001E-2</v>
      </c>
      <c r="Q66" s="2" t="s">
        <v>179</v>
      </c>
      <c r="R66" s="2">
        <v>7.95</v>
      </c>
      <c r="S66" s="2" t="s">
        <v>220</v>
      </c>
      <c r="T66" s="2">
        <v>0.90036712865647028</v>
      </c>
      <c r="U66">
        <v>0.75049999999999994</v>
      </c>
      <c r="V66">
        <v>0.53800000000000003</v>
      </c>
      <c r="W66" s="1">
        <v>16.357823959128872</v>
      </c>
      <c r="AC66" s="2">
        <v>11.79</v>
      </c>
      <c r="AD66" s="2">
        <f t="shared" si="0"/>
        <v>-1.1995963454361092</v>
      </c>
      <c r="AE66" s="2">
        <f t="shared" si="1"/>
        <v>6.3154405976013392E-2</v>
      </c>
      <c r="AF66" s="2">
        <f t="shared" si="2"/>
        <v>0.27219548975661767</v>
      </c>
    </row>
    <row r="67" spans="1:32" x14ac:dyDescent="0.35">
      <c r="A67" s="3" t="s">
        <v>136</v>
      </c>
      <c r="B67" s="3">
        <v>619</v>
      </c>
      <c r="C67" s="2" t="s">
        <v>45</v>
      </c>
      <c r="D67" s="2" t="s">
        <v>28</v>
      </c>
      <c r="F67" s="2">
        <v>2011</v>
      </c>
      <c r="G67" s="2">
        <v>11</v>
      </c>
      <c r="H67" s="2">
        <v>14</v>
      </c>
      <c r="I67" s="2">
        <v>21.4</v>
      </c>
      <c r="J67" s="2">
        <v>285</v>
      </c>
      <c r="M67" s="2" t="s">
        <v>86</v>
      </c>
      <c r="N67" s="2">
        <v>1</v>
      </c>
      <c r="O67" s="2">
        <v>1.4200000000000001E-2</v>
      </c>
      <c r="Q67" s="2" t="s">
        <v>177</v>
      </c>
      <c r="R67" s="2">
        <v>2.68</v>
      </c>
      <c r="S67" s="2" t="s">
        <v>219</v>
      </c>
      <c r="T67" s="2">
        <v>2.68</v>
      </c>
      <c r="U67" s="2">
        <v>3.9074</v>
      </c>
      <c r="V67" s="2">
        <v>1.1612</v>
      </c>
      <c r="W67" s="1">
        <v>11.633032</v>
      </c>
      <c r="AC67" s="2">
        <v>11.95</v>
      </c>
      <c r="AD67" s="2">
        <f t="shared" ref="AD67:AD130" si="3">((3.2274)*(LOG(AC67))+(-4.6578))</f>
        <v>-1.1807028224859133</v>
      </c>
      <c r="AE67" s="2">
        <f t="shared" ref="AE67:AE130" si="4">10^AD67</f>
        <v>6.5962510681855421E-2</v>
      </c>
      <c r="AF67" s="2">
        <f t="shared" ref="AF67:AF130" si="5">4.31*AE67</f>
        <v>0.28429842103879682</v>
      </c>
    </row>
    <row r="68" spans="1:32" x14ac:dyDescent="0.35">
      <c r="A68" s="3" t="s">
        <v>137</v>
      </c>
      <c r="B68" s="3">
        <v>628</v>
      </c>
      <c r="C68" s="2" t="s">
        <v>225</v>
      </c>
      <c r="D68" s="2" t="s">
        <v>83</v>
      </c>
      <c r="F68" s="2">
        <v>2024</v>
      </c>
      <c r="G68" s="2">
        <v>1</v>
      </c>
      <c r="H68" s="2">
        <v>30</v>
      </c>
      <c r="I68" s="2">
        <v>84.2</v>
      </c>
      <c r="J68" s="2">
        <v>459</v>
      </c>
      <c r="M68" s="2" t="s">
        <v>86</v>
      </c>
      <c r="N68" s="2">
        <v>1</v>
      </c>
      <c r="O68" s="2">
        <v>5.6399999999999999E-2</v>
      </c>
      <c r="Q68" s="2" t="s">
        <v>170</v>
      </c>
      <c r="R68" s="2">
        <v>0.72</v>
      </c>
      <c r="S68" s="2" t="s">
        <v>218</v>
      </c>
      <c r="T68" s="2">
        <v>-0.3285040669720361</v>
      </c>
      <c r="U68" s="2">
        <v>17.120999999999999</v>
      </c>
      <c r="V68" s="2">
        <v>16.844000000000001</v>
      </c>
      <c r="W68" s="1">
        <v>11.219681869371772</v>
      </c>
      <c r="AC68" s="2">
        <v>12.05</v>
      </c>
      <c r="AD68" s="2">
        <f t="shared" si="3"/>
        <v>-1.1690224047998026</v>
      </c>
      <c r="AE68" s="2">
        <f t="shared" si="4"/>
        <v>6.7760654969310372E-2</v>
      </c>
      <c r="AF68" s="2">
        <f t="shared" si="5"/>
        <v>0.2920484229177277</v>
      </c>
    </row>
    <row r="69" spans="1:32" x14ac:dyDescent="0.35">
      <c r="A69" s="3" t="s">
        <v>138</v>
      </c>
      <c r="B69" s="3">
        <v>631</v>
      </c>
      <c r="C69" s="2" t="s">
        <v>225</v>
      </c>
      <c r="D69" s="2">
        <v>2</v>
      </c>
      <c r="F69" s="2">
        <v>2024</v>
      </c>
      <c r="G69" s="2">
        <v>2</v>
      </c>
      <c r="H69" s="2">
        <v>23</v>
      </c>
      <c r="I69" s="2">
        <v>19.399999999999999</v>
      </c>
      <c r="J69" s="2">
        <v>290</v>
      </c>
      <c r="M69" s="2" t="s">
        <v>86</v>
      </c>
      <c r="N69" s="2">
        <v>1</v>
      </c>
      <c r="O69" s="2">
        <v>3.5000000000000003E-2</v>
      </c>
      <c r="Q69" s="2" t="s">
        <v>169</v>
      </c>
      <c r="R69" s="2">
        <v>8.4</v>
      </c>
      <c r="S69" s="2" t="s">
        <v>216</v>
      </c>
      <c r="T69" s="4"/>
      <c r="U69" s="4"/>
      <c r="V69" s="4"/>
      <c r="W69" s="1">
        <v>8.4</v>
      </c>
      <c r="AC69" s="2">
        <v>12.07</v>
      </c>
      <c r="AD69" s="2">
        <f t="shared" si="3"/>
        <v>-1.1666979564878157</v>
      </c>
      <c r="AE69" s="2">
        <f t="shared" si="4"/>
        <v>6.8124298545233997E-2</v>
      </c>
      <c r="AF69" s="2">
        <f t="shared" si="5"/>
        <v>0.2936157267299585</v>
      </c>
    </row>
    <row r="70" spans="1:32" x14ac:dyDescent="0.35">
      <c r="A70" s="3" t="s">
        <v>139</v>
      </c>
      <c r="B70" s="3">
        <v>632</v>
      </c>
      <c r="C70" s="2" t="s">
        <v>225</v>
      </c>
      <c r="D70" s="2">
        <v>2</v>
      </c>
      <c r="F70" s="2">
        <v>2024</v>
      </c>
      <c r="G70" s="2">
        <v>2</v>
      </c>
      <c r="H70" s="2">
        <v>23</v>
      </c>
      <c r="I70" s="2">
        <v>35.1</v>
      </c>
      <c r="J70" s="2">
        <v>329</v>
      </c>
      <c r="M70" s="2" t="s">
        <v>86</v>
      </c>
      <c r="N70" s="2">
        <v>1</v>
      </c>
      <c r="O70" s="2">
        <v>1.8800000000000001E-2</v>
      </c>
      <c r="Q70" s="2" t="s">
        <v>171</v>
      </c>
      <c r="R70" s="2">
        <v>4.3099999999999996</v>
      </c>
      <c r="S70" s="2" t="s">
        <v>220</v>
      </c>
      <c r="T70" s="2">
        <v>0.63447727016073152</v>
      </c>
      <c r="U70">
        <v>0.75049999999999994</v>
      </c>
      <c r="V70">
        <v>0.53800000000000003</v>
      </c>
      <c r="W70" s="1">
        <v>10.331780982890967</v>
      </c>
      <c r="AC70" s="2">
        <v>12.145366764740164</v>
      </c>
      <c r="AD70" s="2">
        <f t="shared" si="3"/>
        <v>-1.1579731194199532</v>
      </c>
      <c r="AE70" s="2">
        <f t="shared" si="4"/>
        <v>6.9506733732718554E-2</v>
      </c>
      <c r="AF70" s="2">
        <f t="shared" si="5"/>
        <v>0.29957402238801695</v>
      </c>
    </row>
    <row r="71" spans="1:32" x14ac:dyDescent="0.35">
      <c r="A71" s="3" t="s">
        <v>140</v>
      </c>
      <c r="B71" s="3">
        <v>639</v>
      </c>
      <c r="C71" s="2" t="s">
        <v>225</v>
      </c>
      <c r="D71" s="2">
        <v>2</v>
      </c>
      <c r="F71" s="2">
        <v>2024</v>
      </c>
      <c r="G71" s="2">
        <v>2</v>
      </c>
      <c r="H71" s="2">
        <v>23</v>
      </c>
      <c r="I71" s="2">
        <v>87.1</v>
      </c>
      <c r="J71" s="2">
        <v>432</v>
      </c>
      <c r="M71" s="2" t="s">
        <v>86</v>
      </c>
      <c r="N71" s="2">
        <v>1</v>
      </c>
      <c r="O71" s="2">
        <v>5.8599999999999999E-2</v>
      </c>
      <c r="Q71" s="2" t="s">
        <v>28</v>
      </c>
      <c r="R71" s="2" t="s">
        <v>28</v>
      </c>
      <c r="S71" s="2" t="s">
        <v>28</v>
      </c>
      <c r="T71" s="4"/>
      <c r="U71" s="4"/>
      <c r="V71" s="4"/>
      <c r="W71" s="5"/>
      <c r="AC71" s="2">
        <v>12.145366764740164</v>
      </c>
      <c r="AD71" s="2">
        <f t="shared" si="3"/>
        <v>-1.1579731194199532</v>
      </c>
      <c r="AE71" s="2">
        <f t="shared" si="4"/>
        <v>6.9506733732718554E-2</v>
      </c>
      <c r="AF71" s="2">
        <f t="shared" si="5"/>
        <v>0.29957402238801695</v>
      </c>
    </row>
    <row r="72" spans="1:32" x14ac:dyDescent="0.35">
      <c r="A72" s="3" t="s">
        <v>100</v>
      </c>
      <c r="B72" s="3">
        <v>640</v>
      </c>
      <c r="C72" s="2" t="s">
        <v>225</v>
      </c>
      <c r="D72" s="2">
        <v>2</v>
      </c>
      <c r="F72" s="2">
        <v>2024</v>
      </c>
      <c r="G72" s="2">
        <v>2</v>
      </c>
      <c r="H72" s="2">
        <v>23</v>
      </c>
      <c r="I72" s="2">
        <v>210.6</v>
      </c>
      <c r="J72" s="2">
        <v>561</v>
      </c>
      <c r="M72" s="2" t="s">
        <v>86</v>
      </c>
      <c r="N72" s="2">
        <v>2</v>
      </c>
      <c r="O72" s="2">
        <v>0.25490000000000002</v>
      </c>
      <c r="Q72" s="2" t="s">
        <v>176</v>
      </c>
      <c r="R72" s="2">
        <v>12.05</v>
      </c>
      <c r="S72" s="2" t="s">
        <v>217</v>
      </c>
      <c r="T72" s="4"/>
      <c r="U72" s="4"/>
      <c r="V72" s="4"/>
      <c r="W72" s="2">
        <v>12.05</v>
      </c>
      <c r="AC72" s="2">
        <v>12.180067999999999</v>
      </c>
      <c r="AD72" s="2">
        <f t="shared" si="3"/>
        <v>-1.1539741165133957</v>
      </c>
      <c r="AE72" s="2">
        <f t="shared" si="4"/>
        <v>7.0149710565130807E-2</v>
      </c>
      <c r="AF72" s="2">
        <f t="shared" si="5"/>
        <v>0.30234525253571376</v>
      </c>
    </row>
    <row r="73" spans="1:32" x14ac:dyDescent="0.35">
      <c r="A73" s="3" t="s">
        <v>100</v>
      </c>
      <c r="B73" s="3">
        <v>640</v>
      </c>
      <c r="C73" s="2" t="s">
        <v>225</v>
      </c>
      <c r="D73" s="2">
        <v>2</v>
      </c>
      <c r="F73" s="2">
        <v>2024</v>
      </c>
      <c r="G73" s="2">
        <v>2</v>
      </c>
      <c r="H73" s="2">
        <v>23</v>
      </c>
      <c r="I73" s="2">
        <v>210.6</v>
      </c>
      <c r="J73" s="2">
        <v>561</v>
      </c>
      <c r="M73" s="2" t="s">
        <v>86</v>
      </c>
      <c r="N73" s="2">
        <v>2</v>
      </c>
      <c r="O73" s="2">
        <v>0.25490000000000002</v>
      </c>
      <c r="Q73" s="2" t="s">
        <v>176</v>
      </c>
      <c r="R73" s="2">
        <v>12.94</v>
      </c>
      <c r="S73" s="2" t="s">
        <v>217</v>
      </c>
      <c r="T73" s="4"/>
      <c r="U73" s="4"/>
      <c r="V73" s="4"/>
      <c r="W73" s="2">
        <v>12.94</v>
      </c>
      <c r="AC73" s="2">
        <v>12.338520254531575</v>
      </c>
      <c r="AD73" s="2">
        <f t="shared" si="3"/>
        <v>-1.135857540933515</v>
      </c>
      <c r="AE73" s="2">
        <f t="shared" si="4"/>
        <v>7.313789540794785E-2</v>
      </c>
      <c r="AF73" s="2">
        <f t="shared" si="5"/>
        <v>0.31522432920825522</v>
      </c>
    </row>
    <row r="74" spans="1:32" x14ac:dyDescent="0.35">
      <c r="A74" s="3" t="s">
        <v>141</v>
      </c>
      <c r="B74" s="3">
        <v>642</v>
      </c>
      <c r="C74" s="2" t="s">
        <v>225</v>
      </c>
      <c r="D74" s="2">
        <v>2</v>
      </c>
      <c r="F74" s="2">
        <v>2024</v>
      </c>
      <c r="G74" s="2">
        <v>2</v>
      </c>
      <c r="H74" s="2">
        <v>23</v>
      </c>
      <c r="I74" s="2">
        <v>55.2</v>
      </c>
      <c r="J74" s="2">
        <v>380</v>
      </c>
      <c r="M74" s="2" t="s">
        <v>86</v>
      </c>
      <c r="N74" s="2">
        <v>1</v>
      </c>
      <c r="O74" s="2">
        <v>3.6900000000000002E-2</v>
      </c>
      <c r="Q74" s="2" t="s">
        <v>174</v>
      </c>
      <c r="R74" s="2">
        <v>1.93</v>
      </c>
      <c r="S74" s="2" t="s">
        <v>218</v>
      </c>
      <c r="T74" s="2">
        <v>0.65752000291679413</v>
      </c>
      <c r="U74" s="2">
        <v>17.120999999999999</v>
      </c>
      <c r="V74" s="2">
        <v>16.844000000000001</v>
      </c>
      <c r="W74" s="1">
        <v>28.101399969938434</v>
      </c>
      <c r="AC74" s="2">
        <v>12.369173873254811</v>
      </c>
      <c r="AD74" s="2">
        <f t="shared" si="3"/>
        <v>-1.1323796427848207</v>
      </c>
      <c r="AE74" s="2">
        <f t="shared" si="4"/>
        <v>7.3725946575694548E-2</v>
      </c>
      <c r="AF74" s="2">
        <f t="shared" si="5"/>
        <v>0.31775882974124348</v>
      </c>
    </row>
    <row r="75" spans="1:32" x14ac:dyDescent="0.35">
      <c r="A75" s="3" t="s">
        <v>142</v>
      </c>
      <c r="B75" s="3">
        <v>645</v>
      </c>
      <c r="C75" s="2" t="s">
        <v>225</v>
      </c>
      <c r="D75" s="2">
        <v>2</v>
      </c>
      <c r="F75" s="2">
        <v>2024</v>
      </c>
      <c r="G75" s="2">
        <v>2</v>
      </c>
      <c r="H75" s="2">
        <v>23</v>
      </c>
      <c r="I75" s="2">
        <v>46.1</v>
      </c>
      <c r="J75" s="2">
        <v>371</v>
      </c>
      <c r="M75" s="2" t="s">
        <v>86</v>
      </c>
      <c r="N75" s="2">
        <v>1</v>
      </c>
      <c r="O75" s="2">
        <v>4.3900000000000002E-2</v>
      </c>
      <c r="Q75" s="2" t="s">
        <v>172</v>
      </c>
      <c r="R75" s="2">
        <v>1.71</v>
      </c>
      <c r="S75" s="2" t="s">
        <v>218</v>
      </c>
      <c r="T75" s="2">
        <v>0.53649337051456847</v>
      </c>
      <c r="U75" s="2">
        <v>17.120999999999999</v>
      </c>
      <c r="V75" s="2">
        <v>16.844000000000001</v>
      </c>
      <c r="W75" s="1">
        <v>26.029302996579929</v>
      </c>
      <c r="AC75" s="2">
        <v>12.369173873254811</v>
      </c>
      <c r="AD75" s="2">
        <f t="shared" si="3"/>
        <v>-1.1323796427848207</v>
      </c>
      <c r="AE75" s="2">
        <f t="shared" si="4"/>
        <v>7.3725946575694548E-2</v>
      </c>
      <c r="AF75" s="2">
        <f t="shared" si="5"/>
        <v>0.31775882974124348</v>
      </c>
    </row>
    <row r="76" spans="1:32" x14ac:dyDescent="0.35">
      <c r="A76" s="3" t="s">
        <v>143</v>
      </c>
      <c r="B76" s="3">
        <v>646</v>
      </c>
      <c r="C76" s="2" t="s">
        <v>225</v>
      </c>
      <c r="D76" s="2">
        <v>2</v>
      </c>
      <c r="F76" s="2">
        <v>2024</v>
      </c>
      <c r="G76" s="2">
        <v>2</v>
      </c>
      <c r="H76" s="2">
        <v>23</v>
      </c>
      <c r="I76" s="2">
        <v>249.8</v>
      </c>
      <c r="J76" s="2">
        <v>639</v>
      </c>
      <c r="M76" s="2" t="s">
        <v>86</v>
      </c>
      <c r="N76" s="2">
        <v>1</v>
      </c>
      <c r="O76" s="2">
        <v>7.0199999999999999E-2</v>
      </c>
      <c r="Q76" s="2" t="s">
        <v>173</v>
      </c>
      <c r="R76" s="2">
        <v>6.1</v>
      </c>
      <c r="S76" s="2" t="s">
        <v>220</v>
      </c>
      <c r="T76" s="2">
        <v>0.78532983501076703</v>
      </c>
      <c r="U76">
        <v>0.75049999999999994</v>
      </c>
      <c r="V76">
        <v>0.53800000000000003</v>
      </c>
      <c r="W76" s="1">
        <v>13.408803955193301</v>
      </c>
      <c r="AC76" s="2">
        <v>12.453586000000001</v>
      </c>
      <c r="AD76" s="2">
        <f t="shared" si="3"/>
        <v>-1.1228467753880462</v>
      </c>
      <c r="AE76" s="2">
        <f t="shared" si="4"/>
        <v>7.5362140404292816E-2</v>
      </c>
      <c r="AF76" s="2">
        <f t="shared" si="5"/>
        <v>0.32481082514250198</v>
      </c>
    </row>
    <row r="77" spans="1:32" x14ac:dyDescent="0.35">
      <c r="A77" s="3" t="s">
        <v>101</v>
      </c>
      <c r="B77" s="3">
        <v>647</v>
      </c>
      <c r="C77" s="2" t="s">
        <v>225</v>
      </c>
      <c r="D77" s="2">
        <v>2</v>
      </c>
      <c r="F77" s="2">
        <v>2024</v>
      </c>
      <c r="G77" s="2">
        <v>2</v>
      </c>
      <c r="H77" s="2">
        <v>23</v>
      </c>
      <c r="I77" s="2">
        <v>258.7</v>
      </c>
      <c r="J77" s="2">
        <v>610</v>
      </c>
      <c r="M77" s="2" t="s">
        <v>86</v>
      </c>
      <c r="N77" s="2">
        <v>2</v>
      </c>
      <c r="O77" s="2">
        <v>0.14199999999999999</v>
      </c>
      <c r="Q77" s="2" t="s">
        <v>189</v>
      </c>
      <c r="R77" s="2">
        <v>9.7100000000000009</v>
      </c>
      <c r="S77" s="2" t="s">
        <v>216</v>
      </c>
      <c r="T77" s="4"/>
      <c r="U77" s="4"/>
      <c r="V77" s="4"/>
      <c r="W77" s="1">
        <v>9.7100000000000009</v>
      </c>
      <c r="AC77" s="2">
        <v>12.57</v>
      </c>
      <c r="AD77" s="2">
        <f t="shared" si="3"/>
        <v>-1.1098053247963402</v>
      </c>
      <c r="AE77" s="2">
        <f t="shared" si="4"/>
        <v>7.7659515222720341E-2</v>
      </c>
      <c r="AF77" s="2">
        <f t="shared" si="5"/>
        <v>0.33471251060992463</v>
      </c>
    </row>
    <row r="78" spans="1:32" x14ac:dyDescent="0.35">
      <c r="A78" s="3" t="s">
        <v>101</v>
      </c>
      <c r="B78" s="3">
        <v>647</v>
      </c>
      <c r="C78" s="2" t="s">
        <v>225</v>
      </c>
      <c r="D78" s="2">
        <v>2</v>
      </c>
      <c r="F78" s="2">
        <v>2024</v>
      </c>
      <c r="G78" s="2">
        <v>2</v>
      </c>
      <c r="H78" s="2">
        <v>23</v>
      </c>
      <c r="I78" s="2">
        <v>258.7</v>
      </c>
      <c r="J78" s="2">
        <v>610</v>
      </c>
      <c r="M78" s="2" t="s">
        <v>86</v>
      </c>
      <c r="N78" s="2">
        <v>2</v>
      </c>
      <c r="O78" s="2">
        <v>0.14199999999999999</v>
      </c>
      <c r="Q78" s="2" t="s">
        <v>189</v>
      </c>
      <c r="R78" s="2">
        <v>0.82</v>
      </c>
      <c r="S78" s="2" t="s">
        <v>215</v>
      </c>
      <c r="T78" s="2">
        <v>-0.19845093872383832</v>
      </c>
      <c r="U78" s="2">
        <v>17.120999999999999</v>
      </c>
      <c r="V78" s="2">
        <v>16.844000000000001</v>
      </c>
      <c r="W78" s="1">
        <v>13.446321478109166</v>
      </c>
      <c r="AC78" s="2">
        <v>12.59009306745039</v>
      </c>
      <c r="AD78" s="2">
        <f t="shared" si="3"/>
        <v>-1.1075665975088063</v>
      </c>
      <c r="AE78" s="2">
        <f t="shared" si="4"/>
        <v>7.8060872739702053E-2</v>
      </c>
      <c r="AF78" s="2">
        <f t="shared" si="5"/>
        <v>0.33644236150811579</v>
      </c>
    </row>
    <row r="79" spans="1:32" x14ac:dyDescent="0.35">
      <c r="A79" t="s">
        <v>144</v>
      </c>
      <c r="B79" s="2">
        <v>648</v>
      </c>
      <c r="C79" s="2" t="s">
        <v>225</v>
      </c>
      <c r="D79" s="2">
        <v>2</v>
      </c>
      <c r="F79" s="2">
        <v>2024</v>
      </c>
      <c r="G79" s="2">
        <v>1</v>
      </c>
      <c r="H79" s="2">
        <v>30</v>
      </c>
      <c r="I79" s="2">
        <v>27.3</v>
      </c>
      <c r="J79" s="2">
        <v>317</v>
      </c>
      <c r="M79" s="2" t="s">
        <v>86</v>
      </c>
      <c r="N79" s="2">
        <v>1</v>
      </c>
      <c r="O79" s="2">
        <v>8.0999999999999996E-3</v>
      </c>
      <c r="Q79" s="2" t="s">
        <v>28</v>
      </c>
      <c r="R79" s="2" t="s">
        <v>28</v>
      </c>
      <c r="S79" s="2" t="s">
        <v>28</v>
      </c>
      <c r="T79" s="4"/>
      <c r="U79" s="4"/>
      <c r="V79" s="4"/>
      <c r="W79" s="5"/>
      <c r="AC79" s="2">
        <v>12.648955999999998</v>
      </c>
      <c r="AD79" s="2">
        <f t="shared" si="3"/>
        <v>-1.101028719753304</v>
      </c>
      <c r="AE79" s="2">
        <f t="shared" si="4"/>
        <v>7.9244892435720929E-2</v>
      </c>
      <c r="AF79" s="2">
        <f t="shared" si="5"/>
        <v>0.34154548639795718</v>
      </c>
    </row>
    <row r="80" spans="1:32" x14ac:dyDescent="0.35">
      <c r="A80" t="s">
        <v>102</v>
      </c>
      <c r="B80" s="2">
        <v>649</v>
      </c>
      <c r="C80" s="2" t="s">
        <v>225</v>
      </c>
      <c r="D80" s="2" t="s">
        <v>58</v>
      </c>
      <c r="F80" s="2">
        <v>2024</v>
      </c>
      <c r="G80" s="2">
        <v>1</v>
      </c>
      <c r="H80" s="2">
        <v>30</v>
      </c>
      <c r="I80" s="2">
        <v>415.8</v>
      </c>
      <c r="J80" s="2">
        <v>711</v>
      </c>
      <c r="M80" s="2" t="s">
        <v>86</v>
      </c>
      <c r="N80" s="2">
        <v>2</v>
      </c>
      <c r="O80" s="2">
        <v>0.5181</v>
      </c>
      <c r="Q80" s="2" t="s">
        <v>175</v>
      </c>
      <c r="R80" s="2">
        <v>1.43</v>
      </c>
      <c r="S80" s="2" t="s">
        <v>215</v>
      </c>
      <c r="T80" s="2">
        <v>0.35767444427181588</v>
      </c>
      <c r="U80" s="2">
        <v>17.120999999999999</v>
      </c>
      <c r="V80" s="2">
        <v>16.844000000000001</v>
      </c>
      <c r="W80" s="1">
        <v>22.967744160377762</v>
      </c>
      <c r="AC80" s="2">
        <v>12.688030000000001</v>
      </c>
      <c r="AD80" s="2">
        <f t="shared" si="3"/>
        <v>-1.0967055691345418</v>
      </c>
      <c r="AE80" s="2">
        <f t="shared" si="4"/>
        <v>8.0037668818832272E-2</v>
      </c>
      <c r="AF80" s="2">
        <f t="shared" si="5"/>
        <v>0.34496235260916708</v>
      </c>
    </row>
    <row r="81" spans="1:32" x14ac:dyDescent="0.35">
      <c r="A81" s="3" t="s">
        <v>102</v>
      </c>
      <c r="B81" s="3">
        <v>649</v>
      </c>
      <c r="C81" s="2" t="s">
        <v>225</v>
      </c>
      <c r="D81" s="2" t="s">
        <v>58</v>
      </c>
      <c r="F81" s="2">
        <v>2024</v>
      </c>
      <c r="G81" s="2">
        <v>1</v>
      </c>
      <c r="H81" s="2">
        <v>30</v>
      </c>
      <c r="I81" s="2">
        <v>415.8</v>
      </c>
      <c r="J81" s="2">
        <v>711</v>
      </c>
      <c r="M81" s="2" t="s">
        <v>86</v>
      </c>
      <c r="N81" s="2">
        <v>2</v>
      </c>
      <c r="O81" s="2">
        <v>0.5181</v>
      </c>
      <c r="Q81" s="2" t="s">
        <v>175</v>
      </c>
      <c r="R81" s="2">
        <v>2.09</v>
      </c>
      <c r="S81" s="2" t="s">
        <v>215</v>
      </c>
      <c r="T81" s="2">
        <v>0.73716406597671957</v>
      </c>
      <c r="U81" s="2">
        <v>17.120999999999999</v>
      </c>
      <c r="V81" s="2">
        <v>16.844000000000001</v>
      </c>
      <c r="W81" s="1">
        <v>29.464985973587417</v>
      </c>
      <c r="AC81" s="2">
        <v>12.92</v>
      </c>
      <c r="AD81" s="2">
        <f t="shared" si="3"/>
        <v>-1.0713113634167328</v>
      </c>
      <c r="AE81" s="2">
        <f t="shared" si="4"/>
        <v>8.4857188112853199E-2</v>
      </c>
      <c r="AF81" s="2">
        <f t="shared" si="5"/>
        <v>0.36573448076639725</v>
      </c>
    </row>
    <row r="82" spans="1:32" x14ac:dyDescent="0.35">
      <c r="A82" s="3" t="s">
        <v>145</v>
      </c>
      <c r="B82" s="3">
        <v>650</v>
      </c>
      <c r="C82" s="2" t="s">
        <v>225</v>
      </c>
      <c r="D82" s="2" t="s">
        <v>235</v>
      </c>
      <c r="F82" s="2">
        <v>2024</v>
      </c>
      <c r="G82" s="2">
        <v>4</v>
      </c>
      <c r="H82" s="2">
        <v>9</v>
      </c>
      <c r="I82" s="2">
        <v>8.6</v>
      </c>
      <c r="J82" s="2">
        <v>223</v>
      </c>
      <c r="M82" s="2" t="s">
        <v>86</v>
      </c>
      <c r="N82" s="2">
        <v>1</v>
      </c>
      <c r="O82" s="2">
        <v>1.9199999999999998E-2</v>
      </c>
      <c r="Q82" s="2" t="s">
        <v>168</v>
      </c>
      <c r="R82" s="2">
        <v>1.44</v>
      </c>
      <c r="S82" s="2" t="s">
        <v>219</v>
      </c>
      <c r="T82" s="2">
        <v>1.44</v>
      </c>
      <c r="U82" s="2">
        <v>3.9074</v>
      </c>
      <c r="V82" s="2">
        <v>1.1612</v>
      </c>
      <c r="W82" s="1">
        <v>6.7878559999999997</v>
      </c>
      <c r="AC82" s="2">
        <v>12.94</v>
      </c>
      <c r="AD82" s="2">
        <f t="shared" si="3"/>
        <v>-1.0691433165639035</v>
      </c>
      <c r="AE82" s="2">
        <f t="shared" si="4"/>
        <v>8.5281863863406804E-2</v>
      </c>
      <c r="AF82" s="2">
        <f t="shared" si="5"/>
        <v>0.36756483325128331</v>
      </c>
    </row>
    <row r="83" spans="1:32" x14ac:dyDescent="0.35">
      <c r="A83" s="3" t="s">
        <v>146</v>
      </c>
      <c r="B83" s="3">
        <v>651</v>
      </c>
      <c r="C83" s="2" t="s">
        <v>225</v>
      </c>
      <c r="D83" s="2" t="s">
        <v>67</v>
      </c>
      <c r="F83" s="2">
        <v>2024</v>
      </c>
      <c r="G83" s="2">
        <v>4</v>
      </c>
      <c r="H83" s="2">
        <v>8</v>
      </c>
      <c r="I83" s="2">
        <v>71.400000000000006</v>
      </c>
      <c r="J83" s="2">
        <v>409</v>
      </c>
      <c r="M83" s="2" t="s">
        <v>86</v>
      </c>
      <c r="N83" s="2">
        <v>1</v>
      </c>
      <c r="O83" s="2">
        <v>5.5399999999999998E-2</v>
      </c>
      <c r="Q83" s="2" t="s">
        <v>163</v>
      </c>
      <c r="R83" s="2">
        <v>9.76</v>
      </c>
      <c r="S83" s="2" t="s">
        <v>220</v>
      </c>
      <c r="T83" s="2">
        <v>0.98944981766669182</v>
      </c>
      <c r="U83">
        <v>0.75049999999999994</v>
      </c>
      <c r="V83">
        <v>0.53800000000000003</v>
      </c>
      <c r="W83" s="1">
        <v>19.080163335604258</v>
      </c>
      <c r="AC83" s="2">
        <v>13.023559257949417</v>
      </c>
      <c r="AD83" s="2">
        <f t="shared" si="3"/>
        <v>-1.0601213970695293</v>
      </c>
      <c r="AE83" s="2">
        <f t="shared" si="4"/>
        <v>8.7072016606807134E-2</v>
      </c>
      <c r="AF83" s="2">
        <f t="shared" si="5"/>
        <v>0.37528039157533871</v>
      </c>
    </row>
    <row r="84" spans="1:32" x14ac:dyDescent="0.35">
      <c r="A84" s="3" t="s">
        <v>147</v>
      </c>
      <c r="B84" s="3">
        <v>655</v>
      </c>
      <c r="C84" s="2" t="s">
        <v>41</v>
      </c>
      <c r="D84" s="2" t="s">
        <v>49</v>
      </c>
      <c r="F84" s="2">
        <v>2024</v>
      </c>
      <c r="G84" s="2">
        <v>3</v>
      </c>
      <c r="H84" s="2">
        <v>28</v>
      </c>
      <c r="I84" s="2">
        <v>35.6</v>
      </c>
      <c r="J84" s="2">
        <v>346</v>
      </c>
      <c r="M84" s="2" t="s">
        <v>86</v>
      </c>
      <c r="N84" s="2">
        <v>1</v>
      </c>
      <c r="O84" s="2">
        <v>7.7999999999999996E-3</v>
      </c>
      <c r="Q84" s="2" t="s">
        <v>28</v>
      </c>
      <c r="R84" s="2" t="s">
        <v>28</v>
      </c>
      <c r="S84" s="2" t="s">
        <v>28</v>
      </c>
      <c r="T84" s="4"/>
      <c r="U84" s="4"/>
      <c r="V84" s="4"/>
      <c r="W84" s="5"/>
      <c r="AC84" s="2">
        <v>13.143975077598897</v>
      </c>
      <c r="AD84" s="2">
        <f t="shared" si="3"/>
        <v>-1.0472213614145063</v>
      </c>
      <c r="AE84" s="2">
        <f t="shared" si="4"/>
        <v>8.9697148846443017E-2</v>
      </c>
      <c r="AF84" s="2">
        <f t="shared" si="5"/>
        <v>0.38659471152816938</v>
      </c>
    </row>
    <row r="85" spans="1:32" x14ac:dyDescent="0.35">
      <c r="A85" s="3" t="s">
        <v>148</v>
      </c>
      <c r="B85" s="3">
        <v>656</v>
      </c>
      <c r="C85" s="2" t="s">
        <v>225</v>
      </c>
      <c r="D85" s="2" t="s">
        <v>227</v>
      </c>
      <c r="F85" s="2">
        <v>2024</v>
      </c>
      <c r="G85" s="2">
        <v>4</v>
      </c>
      <c r="H85" s="2">
        <v>5</v>
      </c>
      <c r="I85" s="2">
        <v>208.9</v>
      </c>
      <c r="J85" s="2">
        <v>600</v>
      </c>
      <c r="M85" s="2" t="s">
        <v>86</v>
      </c>
      <c r="N85" s="2">
        <v>1</v>
      </c>
      <c r="O85" s="2">
        <v>3.2199999999999999E-2</v>
      </c>
      <c r="Q85" s="2" t="s">
        <v>164</v>
      </c>
      <c r="R85" s="2">
        <v>7.96</v>
      </c>
      <c r="S85" s="2" t="s">
        <v>220</v>
      </c>
      <c r="T85" s="2">
        <v>0.90091306773766899</v>
      </c>
      <c r="U85">
        <v>0.75049999999999994</v>
      </c>
      <c r="V85">
        <v>0.53800000000000003</v>
      </c>
      <c r="W85" s="1">
        <v>16.373263734570063</v>
      </c>
      <c r="AC85" s="2">
        <v>13.408803955193301</v>
      </c>
      <c r="AD85" s="2">
        <f t="shared" si="3"/>
        <v>-1.0192613811099305</v>
      </c>
      <c r="AE85" s="2">
        <f t="shared" si="4"/>
        <v>9.566181552174946E-2</v>
      </c>
      <c r="AF85" s="2">
        <f t="shared" si="5"/>
        <v>0.41230242489874014</v>
      </c>
    </row>
    <row r="86" spans="1:32" x14ac:dyDescent="0.35">
      <c r="A86" s="3" t="s">
        <v>149</v>
      </c>
      <c r="B86" s="3">
        <v>659</v>
      </c>
      <c r="C86" s="2" t="s">
        <v>225</v>
      </c>
      <c r="D86" s="2" t="s">
        <v>42</v>
      </c>
      <c r="F86" s="2">
        <v>2024</v>
      </c>
      <c r="G86" s="2">
        <v>3</v>
      </c>
      <c r="H86" s="2">
        <v>28</v>
      </c>
      <c r="I86" s="2">
        <v>78.900000000000006</v>
      </c>
      <c r="J86" s="2">
        <v>440</v>
      </c>
      <c r="M86" s="2" t="s">
        <v>86</v>
      </c>
      <c r="N86" s="2">
        <v>1</v>
      </c>
      <c r="O86" s="2">
        <v>5.5999999999999999E-3</v>
      </c>
      <c r="Q86" s="2" t="s">
        <v>28</v>
      </c>
      <c r="R86" s="2" t="s">
        <v>28</v>
      </c>
      <c r="S86" s="2" t="s">
        <v>28</v>
      </c>
      <c r="T86" s="4"/>
      <c r="U86" s="4"/>
      <c r="V86" s="4"/>
      <c r="W86" s="5"/>
      <c r="AC86" s="2">
        <v>13.44</v>
      </c>
      <c r="AD86" s="2">
        <f t="shared" si="3"/>
        <v>-1.0160042001401517</v>
      </c>
      <c r="AE86" s="2">
        <f t="shared" si="4"/>
        <v>9.638197023049698E-2</v>
      </c>
      <c r="AF86" s="2">
        <f t="shared" si="5"/>
        <v>0.41540629169344195</v>
      </c>
    </row>
    <row r="87" spans="1:32" x14ac:dyDescent="0.35">
      <c r="A87" s="3" t="s">
        <v>150</v>
      </c>
      <c r="B87" s="3">
        <v>660</v>
      </c>
      <c r="C87" s="2" t="s">
        <v>41</v>
      </c>
      <c r="D87" s="2" t="s">
        <v>42</v>
      </c>
      <c r="F87" s="2">
        <v>2024</v>
      </c>
      <c r="G87" s="2">
        <v>3</v>
      </c>
      <c r="H87" s="2">
        <v>28</v>
      </c>
      <c r="I87" s="2">
        <v>49.2</v>
      </c>
      <c r="J87" s="2">
        <v>377</v>
      </c>
      <c r="M87" s="2" t="s">
        <v>86</v>
      </c>
      <c r="N87" s="2">
        <v>1</v>
      </c>
      <c r="O87" s="2">
        <v>1.47E-2</v>
      </c>
      <c r="Q87" s="2" t="s">
        <v>28</v>
      </c>
      <c r="R87" s="2" t="s">
        <v>28</v>
      </c>
      <c r="S87" s="2" t="s">
        <v>28</v>
      </c>
      <c r="T87" s="4"/>
      <c r="U87" s="4"/>
      <c r="V87" s="4"/>
      <c r="W87" s="5"/>
      <c r="AC87" s="2">
        <v>13.446321478109166</v>
      </c>
      <c r="AD87" s="2">
        <f t="shared" si="3"/>
        <v>-1.0153450955126</v>
      </c>
      <c r="AE87" s="2">
        <f t="shared" si="4"/>
        <v>9.65283548483723E-2</v>
      </c>
      <c r="AF87" s="2">
        <f t="shared" si="5"/>
        <v>0.41603720939648459</v>
      </c>
    </row>
    <row r="88" spans="1:32" x14ac:dyDescent="0.35">
      <c r="A88" s="3" t="s">
        <v>151</v>
      </c>
      <c r="B88" s="3">
        <v>661</v>
      </c>
      <c r="C88" s="2" t="s">
        <v>41</v>
      </c>
      <c r="D88" s="2" t="s">
        <v>42</v>
      </c>
      <c r="F88" s="2">
        <v>2024</v>
      </c>
      <c r="G88" s="2">
        <v>3</v>
      </c>
      <c r="H88" s="2">
        <v>28</v>
      </c>
      <c r="I88" s="2">
        <v>29.8</v>
      </c>
      <c r="J88" s="2">
        <v>325</v>
      </c>
      <c r="M88" s="2" t="s">
        <v>86</v>
      </c>
      <c r="N88" s="2">
        <v>1</v>
      </c>
      <c r="O88" s="2">
        <v>2.8E-3</v>
      </c>
      <c r="Q88" s="2" t="s">
        <v>28</v>
      </c>
      <c r="R88" s="2" t="s">
        <v>28</v>
      </c>
      <c r="S88" s="2" t="s">
        <v>28</v>
      </c>
      <c r="T88" s="4"/>
      <c r="U88" s="4"/>
      <c r="V88" s="4"/>
      <c r="W88" s="5"/>
      <c r="AC88" s="2">
        <v>13.446321478109166</v>
      </c>
      <c r="AD88" s="2">
        <f t="shared" si="3"/>
        <v>-1.0153450955126</v>
      </c>
      <c r="AE88" s="2">
        <f t="shared" si="4"/>
        <v>9.65283548483723E-2</v>
      </c>
      <c r="AF88" s="2">
        <f t="shared" si="5"/>
        <v>0.41603720939648459</v>
      </c>
    </row>
    <row r="89" spans="1:32" x14ac:dyDescent="0.35">
      <c r="A89" s="3" t="s">
        <v>152</v>
      </c>
      <c r="B89" s="3">
        <v>662</v>
      </c>
      <c r="C89" s="2" t="s">
        <v>225</v>
      </c>
      <c r="D89" s="2" t="s">
        <v>94</v>
      </c>
      <c r="F89" s="2">
        <v>2024</v>
      </c>
      <c r="G89" s="2">
        <v>4</v>
      </c>
      <c r="H89" s="2">
        <v>5</v>
      </c>
      <c r="I89" s="2">
        <v>281.7</v>
      </c>
      <c r="J89" s="2">
        <v>630</v>
      </c>
      <c r="M89" s="2" t="s">
        <v>86</v>
      </c>
      <c r="N89" s="2">
        <v>1</v>
      </c>
      <c r="O89" s="2">
        <v>0.15809999999999999</v>
      </c>
      <c r="Q89" s="2" t="s">
        <v>221</v>
      </c>
      <c r="R89" s="2">
        <v>13.44</v>
      </c>
      <c r="S89" s="2" t="s">
        <v>216</v>
      </c>
      <c r="T89" s="4"/>
      <c r="U89" s="4"/>
      <c r="V89" s="4"/>
      <c r="W89" s="1">
        <v>13.44</v>
      </c>
      <c r="AC89" s="2">
        <v>13.653851291783441</v>
      </c>
      <c r="AD89" s="2">
        <f t="shared" si="3"/>
        <v>-0.9938774691537331</v>
      </c>
      <c r="AE89" s="2">
        <f t="shared" si="4"/>
        <v>0.10141974887214227</v>
      </c>
      <c r="AF89" s="2">
        <f t="shared" si="5"/>
        <v>0.43711911763893313</v>
      </c>
    </row>
    <row r="90" spans="1:32" x14ac:dyDescent="0.35">
      <c r="A90" s="3" t="s">
        <v>153</v>
      </c>
      <c r="B90" s="3">
        <v>665</v>
      </c>
      <c r="C90" s="2" t="s">
        <v>20</v>
      </c>
      <c r="D90" s="2" t="s">
        <v>70</v>
      </c>
      <c r="F90" s="2">
        <v>2024</v>
      </c>
      <c r="G90" s="2">
        <v>3</v>
      </c>
      <c r="H90" s="2">
        <v>1</v>
      </c>
      <c r="I90" s="2">
        <v>103.2</v>
      </c>
      <c r="J90" s="2">
        <v>468</v>
      </c>
      <c r="M90" s="2" t="s">
        <v>86</v>
      </c>
      <c r="N90" s="2">
        <v>1</v>
      </c>
      <c r="O90" s="2">
        <v>2.4E-2</v>
      </c>
      <c r="Q90" s="2" t="s">
        <v>161</v>
      </c>
      <c r="R90" s="2">
        <v>2.7</v>
      </c>
      <c r="S90" s="2" t="s">
        <v>219</v>
      </c>
      <c r="T90" s="2">
        <v>2.7</v>
      </c>
      <c r="U90" s="2">
        <v>3.9074</v>
      </c>
      <c r="V90" s="2">
        <v>1.1612</v>
      </c>
      <c r="W90" s="1">
        <v>11.711180000000002</v>
      </c>
      <c r="AC90" s="2">
        <v>13.688292893507702</v>
      </c>
      <c r="AD90" s="2">
        <f t="shared" si="3"/>
        <v>-0.99034630341157115</v>
      </c>
      <c r="AE90" s="2">
        <f t="shared" si="4"/>
        <v>0.10224773507735815</v>
      </c>
      <c r="AF90" s="2">
        <f t="shared" si="5"/>
        <v>0.44068773818341361</v>
      </c>
    </row>
    <row r="91" spans="1:32" x14ac:dyDescent="0.35">
      <c r="A91" s="3" t="s">
        <v>154</v>
      </c>
      <c r="B91" s="3">
        <v>667</v>
      </c>
      <c r="C91" s="2" t="s">
        <v>45</v>
      </c>
      <c r="D91" s="2" t="s">
        <v>236</v>
      </c>
      <c r="F91" s="2">
        <v>2024</v>
      </c>
      <c r="G91" s="2">
        <v>3</v>
      </c>
      <c r="H91" s="2">
        <v>12</v>
      </c>
      <c r="I91" s="2">
        <v>72.3</v>
      </c>
      <c r="J91" s="2">
        <v>425</v>
      </c>
      <c r="M91" s="2" t="s">
        <v>86</v>
      </c>
      <c r="N91" s="2">
        <v>1</v>
      </c>
      <c r="O91" s="2">
        <v>4.36E-2</v>
      </c>
      <c r="Q91" s="2" t="s">
        <v>28</v>
      </c>
      <c r="R91" s="2" t="s">
        <v>28</v>
      </c>
      <c r="S91" s="2" t="s">
        <v>28</v>
      </c>
      <c r="T91" s="4"/>
      <c r="U91" s="4"/>
      <c r="V91" s="4"/>
      <c r="W91" s="5"/>
      <c r="AC91" s="2">
        <v>13.743028000000002</v>
      </c>
      <c r="AD91" s="2">
        <f t="shared" si="3"/>
        <v>-0.98475276113590215</v>
      </c>
      <c r="AE91" s="2">
        <f t="shared" si="4"/>
        <v>0.10357316290055325</v>
      </c>
      <c r="AF91" s="2">
        <f t="shared" si="5"/>
        <v>0.44640033210138447</v>
      </c>
    </row>
    <row r="92" spans="1:32" x14ac:dyDescent="0.35">
      <c r="A92" s="3" t="s">
        <v>155</v>
      </c>
      <c r="B92" s="3">
        <v>677</v>
      </c>
      <c r="C92" s="2" t="s">
        <v>225</v>
      </c>
      <c r="D92" s="2" t="s">
        <v>237</v>
      </c>
      <c r="F92" s="2">
        <v>2024</v>
      </c>
      <c r="G92" s="2">
        <v>4</v>
      </c>
      <c r="H92" s="2">
        <v>8</v>
      </c>
      <c r="I92" s="2">
        <v>45.8</v>
      </c>
      <c r="J92" s="2">
        <v>365</v>
      </c>
      <c r="M92" s="2" t="s">
        <v>86</v>
      </c>
      <c r="N92" s="2">
        <v>1</v>
      </c>
      <c r="O92" s="2">
        <v>8.9999999999999993E-3</v>
      </c>
      <c r="Q92" s="2" t="s">
        <v>28</v>
      </c>
      <c r="R92" s="2" t="s">
        <v>28</v>
      </c>
      <c r="S92" s="2" t="s">
        <v>28</v>
      </c>
      <c r="T92" s="4"/>
      <c r="U92" s="4"/>
      <c r="V92" s="4"/>
      <c r="W92" s="5"/>
      <c r="AC92" s="2">
        <v>14.016546000000002</v>
      </c>
      <c r="AD92" s="2">
        <f t="shared" si="3"/>
        <v>-0.95713081515633869</v>
      </c>
      <c r="AE92" s="2">
        <f t="shared" si="4"/>
        <v>0.11037461071179082</v>
      </c>
      <c r="AF92" s="2">
        <f t="shared" si="5"/>
        <v>0.47571457216781837</v>
      </c>
    </row>
    <row r="93" spans="1:32" x14ac:dyDescent="0.35">
      <c r="A93" s="3" t="s">
        <v>156</v>
      </c>
      <c r="B93" s="3">
        <v>679</v>
      </c>
      <c r="C93" s="2" t="s">
        <v>45</v>
      </c>
      <c r="D93" s="2" t="s">
        <v>238</v>
      </c>
      <c r="F93" s="2">
        <v>2024</v>
      </c>
      <c r="G93" s="2">
        <v>3</v>
      </c>
      <c r="H93" s="2">
        <v>12</v>
      </c>
      <c r="I93" s="2">
        <v>47.5</v>
      </c>
      <c r="J93" s="2">
        <v>380</v>
      </c>
      <c r="M93" s="2" t="s">
        <v>86</v>
      </c>
      <c r="N93" s="2">
        <v>1</v>
      </c>
      <c r="O93" s="2">
        <v>2.4199999999999999E-2</v>
      </c>
      <c r="Q93" s="2" t="s">
        <v>28</v>
      </c>
      <c r="R93" s="2" t="s">
        <v>28</v>
      </c>
      <c r="S93" s="2" t="s">
        <v>28</v>
      </c>
      <c r="T93" s="4"/>
      <c r="U93" s="4"/>
      <c r="V93" s="4"/>
      <c r="W93" s="5"/>
      <c r="AC93" s="2">
        <v>14.061513408068597</v>
      </c>
      <c r="AD93" s="2">
        <f t="shared" si="3"/>
        <v>-0.95264131242825023</v>
      </c>
      <c r="AE93" s="2">
        <f t="shared" si="4"/>
        <v>0.11152152192408699</v>
      </c>
      <c r="AF93" s="2">
        <f t="shared" si="5"/>
        <v>0.48065775949281486</v>
      </c>
    </row>
    <row r="94" spans="1:32" x14ac:dyDescent="0.35">
      <c r="A94" s="3" t="s">
        <v>157</v>
      </c>
      <c r="B94" s="3">
        <v>684</v>
      </c>
      <c r="C94" s="2" t="s">
        <v>45</v>
      </c>
      <c r="D94" s="2" t="s">
        <v>236</v>
      </c>
      <c r="F94" s="2">
        <v>2024</v>
      </c>
      <c r="G94" s="2">
        <v>3</v>
      </c>
      <c r="H94" s="2">
        <v>12</v>
      </c>
      <c r="I94" s="2">
        <v>36.4</v>
      </c>
      <c r="J94" s="2">
        <v>340</v>
      </c>
      <c r="M94" s="2" t="s">
        <v>86</v>
      </c>
      <c r="N94" s="2">
        <v>1</v>
      </c>
      <c r="O94" s="2">
        <v>2.0000000000000001E-4</v>
      </c>
      <c r="Q94" s="2" t="s">
        <v>165</v>
      </c>
      <c r="R94" s="2">
        <v>3.51</v>
      </c>
      <c r="S94" s="2" t="s">
        <v>216</v>
      </c>
      <c r="T94" s="4"/>
      <c r="U94" s="4"/>
      <c r="V94" s="4"/>
      <c r="W94" s="1">
        <v>3.51</v>
      </c>
      <c r="AC94" s="2">
        <v>14.061513408068597</v>
      </c>
      <c r="AD94" s="2">
        <f t="shared" si="3"/>
        <v>-0.95264131242825023</v>
      </c>
      <c r="AE94" s="2">
        <f t="shared" si="4"/>
        <v>0.11152152192408699</v>
      </c>
      <c r="AF94" s="2">
        <f t="shared" si="5"/>
        <v>0.48065775949281486</v>
      </c>
    </row>
    <row r="95" spans="1:32" x14ac:dyDescent="0.35">
      <c r="A95" s="3" t="s">
        <v>158</v>
      </c>
      <c r="B95" s="3">
        <v>688</v>
      </c>
      <c r="C95" s="2" t="s">
        <v>20</v>
      </c>
      <c r="D95" s="2" t="s">
        <v>73</v>
      </c>
      <c r="F95" s="2">
        <v>2024</v>
      </c>
      <c r="G95" s="2">
        <v>4</v>
      </c>
      <c r="H95" s="2">
        <v>1</v>
      </c>
      <c r="I95" s="2">
        <v>352.3</v>
      </c>
      <c r="J95" s="2">
        <v>690</v>
      </c>
      <c r="M95" s="2" t="s">
        <v>86</v>
      </c>
      <c r="N95" s="2">
        <v>1</v>
      </c>
      <c r="O95" s="2">
        <v>0.1837</v>
      </c>
      <c r="Q95" s="2" t="s">
        <v>166</v>
      </c>
      <c r="R95" s="2">
        <v>8.4600000000000009</v>
      </c>
      <c r="S95" s="2" t="s">
        <v>220</v>
      </c>
      <c r="T95" s="2">
        <v>0.92737036303902354</v>
      </c>
      <c r="U95">
        <v>0.75049999999999994</v>
      </c>
      <c r="V95">
        <v>0.53800000000000003</v>
      </c>
      <c r="W95" s="1">
        <v>17.139235944309615</v>
      </c>
      <c r="AC95" s="2">
        <v>14.209326831147663</v>
      </c>
      <c r="AD95" s="2">
        <f t="shared" si="3"/>
        <v>-0.937984274310939</v>
      </c>
      <c r="AE95" s="2">
        <f t="shared" si="4"/>
        <v>0.1153495024816622</v>
      </c>
      <c r="AF95" s="2">
        <f t="shared" si="5"/>
        <v>0.49715635569596406</v>
      </c>
    </row>
    <row r="96" spans="1:32" x14ac:dyDescent="0.35">
      <c r="A96" s="3" t="s">
        <v>103</v>
      </c>
      <c r="B96" s="3">
        <v>689</v>
      </c>
      <c r="C96" s="2" t="s">
        <v>20</v>
      </c>
      <c r="D96" s="2" t="s">
        <v>73</v>
      </c>
      <c r="F96" s="2">
        <v>2024</v>
      </c>
      <c r="G96" s="2">
        <v>4</v>
      </c>
      <c r="H96" s="2">
        <v>1</v>
      </c>
      <c r="I96" s="2">
        <v>542.5</v>
      </c>
      <c r="J96" s="2">
        <v>770</v>
      </c>
      <c r="M96" s="2" t="s">
        <v>86</v>
      </c>
      <c r="N96" s="2">
        <v>2</v>
      </c>
      <c r="O96" s="2">
        <v>0.58099999999999996</v>
      </c>
      <c r="Q96" s="2" t="s">
        <v>167</v>
      </c>
      <c r="R96" s="2">
        <v>2.17</v>
      </c>
      <c r="S96" s="2" t="s">
        <v>215</v>
      </c>
      <c r="T96" s="2">
        <v>0.77472716755236815</v>
      </c>
      <c r="U96" s="2">
        <v>17.120999999999999</v>
      </c>
      <c r="V96" s="2">
        <v>16.844000000000001</v>
      </c>
      <c r="W96" s="1">
        <v>30.108103835664096</v>
      </c>
      <c r="AC96" s="2">
        <v>14.261761304854195</v>
      </c>
      <c r="AD96" s="2">
        <f t="shared" si="3"/>
        <v>-0.93282153209981056</v>
      </c>
      <c r="AE96" s="2">
        <f t="shared" si="4"/>
        <v>0.11672892014518196</v>
      </c>
      <c r="AF96" s="2">
        <f t="shared" si="5"/>
        <v>0.50310164582573424</v>
      </c>
    </row>
    <row r="97" spans="1:32" x14ac:dyDescent="0.35">
      <c r="A97" s="3" t="s">
        <v>103</v>
      </c>
      <c r="B97" s="3">
        <v>689</v>
      </c>
      <c r="C97" s="2" t="s">
        <v>20</v>
      </c>
      <c r="F97" s="2">
        <v>2024</v>
      </c>
      <c r="G97" s="2">
        <v>4</v>
      </c>
      <c r="H97" s="2">
        <v>1</v>
      </c>
      <c r="I97" s="2">
        <v>542.5</v>
      </c>
      <c r="J97" s="2">
        <v>770</v>
      </c>
      <c r="M97" s="2" t="s">
        <v>86</v>
      </c>
      <c r="N97" s="2">
        <v>2</v>
      </c>
      <c r="O97" s="2">
        <v>0.58099999999999996</v>
      </c>
      <c r="Q97" s="2" t="s">
        <v>167</v>
      </c>
      <c r="R97" s="2">
        <v>2.4900000000000002</v>
      </c>
      <c r="S97" s="2" t="s">
        <v>215</v>
      </c>
      <c r="T97" s="2">
        <v>0.91228271047661635</v>
      </c>
      <c r="U97" s="2">
        <v>17.120999999999999</v>
      </c>
      <c r="V97" s="2">
        <v>16.844000000000001</v>
      </c>
      <c r="W97" s="1">
        <v>32.463192286070147</v>
      </c>
      <c r="AC97" s="2">
        <v>14.459694145183017</v>
      </c>
      <c r="AD97" s="2">
        <f t="shared" si="3"/>
        <v>-0.91350249885028045</v>
      </c>
      <c r="AE97" s="2">
        <f t="shared" si="4"/>
        <v>0.12203867988437532</v>
      </c>
      <c r="AF97" s="2">
        <f t="shared" si="5"/>
        <v>0.52598671030165756</v>
      </c>
    </row>
    <row r="98" spans="1:32" x14ac:dyDescent="0.35">
      <c r="A98" s="3" t="s">
        <v>159</v>
      </c>
      <c r="B98" s="3">
        <v>692</v>
      </c>
      <c r="C98" s="2" t="s">
        <v>226</v>
      </c>
      <c r="F98" s="2">
        <v>2024</v>
      </c>
      <c r="G98" s="2">
        <v>3</v>
      </c>
      <c r="H98" s="2">
        <v>13</v>
      </c>
      <c r="I98" s="2">
        <v>71.5</v>
      </c>
      <c r="J98" s="2">
        <v>415</v>
      </c>
      <c r="M98" s="2" t="s">
        <v>86</v>
      </c>
      <c r="N98" s="2">
        <v>1</v>
      </c>
      <c r="O98" s="2">
        <v>1.17E-2</v>
      </c>
      <c r="Q98" s="2" t="s">
        <v>162</v>
      </c>
      <c r="R98" s="2">
        <v>5.2</v>
      </c>
      <c r="S98" s="2" t="s">
        <v>216</v>
      </c>
      <c r="T98" s="4"/>
      <c r="U98" s="4"/>
      <c r="V98" s="4"/>
      <c r="W98" s="1">
        <v>5.2</v>
      </c>
      <c r="AC98" s="2">
        <v>14.547820672982006</v>
      </c>
      <c r="AD98" s="2">
        <f t="shared" si="3"/>
        <v>-0.90498593171648567</v>
      </c>
      <c r="AE98" s="2">
        <f t="shared" si="4"/>
        <v>0.12445549265087434</v>
      </c>
      <c r="AF98" s="2">
        <f t="shared" si="5"/>
        <v>0.53640317332526832</v>
      </c>
    </row>
    <row r="99" spans="1:32" x14ac:dyDescent="0.35">
      <c r="A99" s="3" t="s">
        <v>239</v>
      </c>
      <c r="B99" s="2">
        <v>701</v>
      </c>
      <c r="C99" s="3" t="s">
        <v>45</v>
      </c>
      <c r="D99" t="s">
        <v>317</v>
      </c>
      <c r="F99" s="3">
        <v>2024</v>
      </c>
      <c r="G99" s="3">
        <v>8</v>
      </c>
      <c r="H99" s="3">
        <v>8</v>
      </c>
      <c r="I99">
        <v>84.5</v>
      </c>
      <c r="J99" s="3">
        <v>464</v>
      </c>
      <c r="M99" s="2" t="s">
        <v>86</v>
      </c>
      <c r="N99">
        <v>1</v>
      </c>
      <c r="O99">
        <v>2.2599999999999999E-2</v>
      </c>
      <c r="P99" s="50"/>
      <c r="Q99" s="2" t="s">
        <v>347</v>
      </c>
      <c r="R99" s="2">
        <v>9.6199999999999992</v>
      </c>
      <c r="S99" s="2" t="s">
        <v>216</v>
      </c>
      <c r="T99" s="4"/>
      <c r="U99" s="4"/>
      <c r="V99" s="4"/>
      <c r="W99" s="1">
        <v>9.6199999999999992</v>
      </c>
      <c r="AC99" s="2">
        <v>14.641729999999999</v>
      </c>
      <c r="AD99" s="2">
        <f t="shared" si="3"/>
        <v>-0.89596710757780151</v>
      </c>
      <c r="AE99" s="2">
        <f t="shared" si="4"/>
        <v>0.12706703390874122</v>
      </c>
      <c r="AF99" s="2">
        <f t="shared" si="5"/>
        <v>0.54765891614667461</v>
      </c>
    </row>
    <row r="100" spans="1:32" x14ac:dyDescent="0.35">
      <c r="A100" s="3" t="s">
        <v>240</v>
      </c>
      <c r="B100" s="2">
        <v>704</v>
      </c>
      <c r="C100" s="3" t="s">
        <v>20</v>
      </c>
      <c r="D100">
        <v>37</v>
      </c>
      <c r="F100" s="3">
        <v>2024</v>
      </c>
      <c r="G100" s="3">
        <v>8</v>
      </c>
      <c r="H100" s="3">
        <v>6</v>
      </c>
      <c r="I100">
        <v>34.6</v>
      </c>
      <c r="J100" s="3">
        <v>355</v>
      </c>
      <c r="M100" s="2" t="s">
        <v>86</v>
      </c>
      <c r="N100">
        <v>1</v>
      </c>
      <c r="O100">
        <v>5.9299999999999999E-2</v>
      </c>
      <c r="P100" s="50"/>
      <c r="Q100" s="2" t="s">
        <v>28</v>
      </c>
      <c r="R100" s="2" t="s">
        <v>28</v>
      </c>
      <c r="S100" s="2" t="s">
        <v>28</v>
      </c>
      <c r="T100" s="4"/>
      <c r="U100" s="4"/>
      <c r="V100" s="4"/>
      <c r="W100" s="5"/>
      <c r="AC100" s="2">
        <v>14.641729999999999</v>
      </c>
      <c r="AD100" s="2">
        <f t="shared" si="3"/>
        <v>-0.89596710757780151</v>
      </c>
      <c r="AE100" s="2">
        <f t="shared" si="4"/>
        <v>0.12706703390874122</v>
      </c>
      <c r="AF100" s="2">
        <f t="shared" si="5"/>
        <v>0.54765891614667461</v>
      </c>
    </row>
    <row r="101" spans="1:32" x14ac:dyDescent="0.35">
      <c r="A101" s="3" t="s">
        <v>241</v>
      </c>
      <c r="B101" s="2">
        <v>705</v>
      </c>
      <c r="C101" s="3" t="s">
        <v>20</v>
      </c>
      <c r="D101">
        <v>37</v>
      </c>
      <c r="F101" s="3">
        <v>2024</v>
      </c>
      <c r="G101" s="3">
        <v>8</v>
      </c>
      <c r="H101" s="3">
        <v>6</v>
      </c>
      <c r="I101">
        <v>107.3</v>
      </c>
      <c r="J101" s="3">
        <v>486</v>
      </c>
      <c r="M101" s="2" t="s">
        <v>86</v>
      </c>
      <c r="N101">
        <v>1</v>
      </c>
      <c r="O101">
        <v>8.5500000000000007E-2</v>
      </c>
      <c r="P101" s="50"/>
      <c r="Q101" s="2" t="s">
        <v>348</v>
      </c>
      <c r="R101" s="2">
        <v>3.29</v>
      </c>
      <c r="S101" s="2" t="s">
        <v>211</v>
      </c>
      <c r="T101" s="2">
        <v>3.29</v>
      </c>
      <c r="U101" s="2">
        <v>3.9074</v>
      </c>
      <c r="V101" s="2">
        <v>1.1612</v>
      </c>
      <c r="W101" s="1">
        <f>T101*U101+V101</f>
        <v>14.016546000000002</v>
      </c>
      <c r="AC101" s="2">
        <v>14.819931625932403</v>
      </c>
      <c r="AD101" s="2">
        <f t="shared" si="3"/>
        <v>-0.87901097424084673</v>
      </c>
      <c r="AE101" s="2">
        <f t="shared" si="4"/>
        <v>0.13212622466260115</v>
      </c>
      <c r="AF101" s="2">
        <f t="shared" si="5"/>
        <v>0.56946402829581089</v>
      </c>
    </row>
    <row r="102" spans="1:32" x14ac:dyDescent="0.35">
      <c r="A102" s="3" t="s">
        <v>242</v>
      </c>
      <c r="B102" s="2">
        <v>708</v>
      </c>
      <c r="C102" s="3" t="s">
        <v>20</v>
      </c>
      <c r="D102">
        <v>7</v>
      </c>
      <c r="F102" s="3">
        <v>2024</v>
      </c>
      <c r="G102" s="3">
        <v>8</v>
      </c>
      <c r="H102" s="3">
        <v>5</v>
      </c>
      <c r="I102">
        <v>558.1</v>
      </c>
      <c r="J102" s="3">
        <v>751</v>
      </c>
      <c r="M102" s="2" t="s">
        <v>86</v>
      </c>
      <c r="N102">
        <v>4</v>
      </c>
      <c r="O102">
        <v>0.37030000000000002</v>
      </c>
      <c r="P102" s="50"/>
      <c r="Q102" s="2" t="s">
        <v>349</v>
      </c>
      <c r="R102" s="2">
        <v>4.46</v>
      </c>
      <c r="S102" s="2" t="s">
        <v>216</v>
      </c>
      <c r="T102" s="4"/>
      <c r="U102" s="4"/>
      <c r="V102" s="4"/>
      <c r="W102" s="1">
        <v>4.46</v>
      </c>
      <c r="AC102" s="2">
        <v>15.09</v>
      </c>
      <c r="AD102" s="2">
        <f t="shared" si="3"/>
        <v>-0.85369834754826135</v>
      </c>
      <c r="AE102" s="2">
        <f t="shared" si="4"/>
        <v>0.14005597862370661</v>
      </c>
      <c r="AF102" s="2">
        <f t="shared" si="5"/>
        <v>0.6036412678681754</v>
      </c>
    </row>
    <row r="103" spans="1:32" x14ac:dyDescent="0.35">
      <c r="A103" s="3" t="s">
        <v>242</v>
      </c>
      <c r="B103" s="2">
        <v>709</v>
      </c>
      <c r="C103" s="3" t="s">
        <v>20</v>
      </c>
      <c r="D103">
        <v>7</v>
      </c>
      <c r="F103" s="3">
        <v>2024</v>
      </c>
      <c r="G103" s="3">
        <v>8</v>
      </c>
      <c r="H103" s="3">
        <v>5</v>
      </c>
      <c r="I103">
        <v>558.1</v>
      </c>
      <c r="J103" s="3">
        <v>751</v>
      </c>
      <c r="M103" s="2" t="s">
        <v>86</v>
      </c>
      <c r="N103">
        <v>4</v>
      </c>
      <c r="O103">
        <v>0.37030000000000002</v>
      </c>
      <c r="P103" s="50"/>
      <c r="Q103" s="2" t="s">
        <v>350</v>
      </c>
      <c r="R103" s="2">
        <v>10.25</v>
      </c>
      <c r="S103" s="2" t="s">
        <v>216</v>
      </c>
      <c r="T103" s="4"/>
      <c r="U103" s="4"/>
      <c r="V103" s="4"/>
      <c r="W103" s="1">
        <v>10.25</v>
      </c>
      <c r="AC103" s="2">
        <v>15.22930685677288</v>
      </c>
      <c r="AD103" s="2">
        <f t="shared" si="3"/>
        <v>-0.84081812453895255</v>
      </c>
      <c r="AE103" s="2">
        <f t="shared" si="4"/>
        <v>0.14427194124408332</v>
      </c>
      <c r="AF103" s="2">
        <f t="shared" si="5"/>
        <v>0.62181206676199907</v>
      </c>
    </row>
    <row r="104" spans="1:32" x14ac:dyDescent="0.35">
      <c r="A104" s="3" t="s">
        <v>243</v>
      </c>
      <c r="B104" s="2">
        <v>709</v>
      </c>
      <c r="C104" s="3" t="s">
        <v>20</v>
      </c>
      <c r="D104">
        <v>7</v>
      </c>
      <c r="F104" s="3">
        <v>2024</v>
      </c>
      <c r="G104" s="3">
        <v>8</v>
      </c>
      <c r="H104" s="3">
        <v>5</v>
      </c>
      <c r="I104">
        <v>596.70000000000005</v>
      </c>
      <c r="J104" s="3">
        <v>810</v>
      </c>
      <c r="M104" s="2" t="s">
        <v>86</v>
      </c>
      <c r="N104">
        <v>3</v>
      </c>
      <c r="O104">
        <v>1.2254</v>
      </c>
      <c r="P104" s="50"/>
      <c r="Q104" s="2" t="s">
        <v>354</v>
      </c>
      <c r="R104" s="2">
        <v>18.97</v>
      </c>
      <c r="S104" s="2" t="s">
        <v>216</v>
      </c>
      <c r="T104" s="4"/>
      <c r="U104" s="4"/>
      <c r="V104" s="4"/>
      <c r="W104" s="1">
        <v>18.97</v>
      </c>
      <c r="AC104" s="2">
        <v>15.384136000000002</v>
      </c>
      <c r="AD104" s="2">
        <f t="shared" si="3"/>
        <v>-0.82664024307468464</v>
      </c>
      <c r="AE104" s="2">
        <f t="shared" si="4"/>
        <v>0.14905953322766521</v>
      </c>
      <c r="AF104" s="2">
        <f t="shared" si="5"/>
        <v>0.64244658821123701</v>
      </c>
    </row>
    <row r="105" spans="1:32" x14ac:dyDescent="0.35">
      <c r="A105" s="3" t="s">
        <v>242</v>
      </c>
      <c r="B105" s="2">
        <v>710</v>
      </c>
      <c r="C105" s="3" t="s">
        <v>20</v>
      </c>
      <c r="D105">
        <v>7</v>
      </c>
      <c r="F105" s="3">
        <v>2024</v>
      </c>
      <c r="G105" s="3">
        <v>8</v>
      </c>
      <c r="H105" s="3">
        <v>5</v>
      </c>
      <c r="I105">
        <v>558.1</v>
      </c>
      <c r="J105" s="3">
        <v>751</v>
      </c>
      <c r="M105" s="2" t="s">
        <v>86</v>
      </c>
      <c r="N105">
        <v>4</v>
      </c>
      <c r="O105">
        <v>0.37030000000000002</v>
      </c>
      <c r="P105" s="50"/>
      <c r="Q105" s="2" t="s">
        <v>351</v>
      </c>
      <c r="R105" s="2">
        <v>16.420000000000002</v>
      </c>
      <c r="S105" s="2" t="s">
        <v>216</v>
      </c>
      <c r="T105" s="4"/>
      <c r="U105" s="4"/>
      <c r="V105" s="4"/>
      <c r="W105" s="1">
        <v>16.420000000000002</v>
      </c>
      <c r="AC105" s="2">
        <v>15.416423473354509</v>
      </c>
      <c r="AD105" s="2">
        <f t="shared" si="3"/>
        <v>-0.82370162790470536</v>
      </c>
      <c r="AE105" s="2">
        <f t="shared" si="4"/>
        <v>0.15007155136954006</v>
      </c>
      <c r="AF105" s="2">
        <f t="shared" si="5"/>
        <v>0.64680838640271765</v>
      </c>
    </row>
    <row r="106" spans="1:32" x14ac:dyDescent="0.35">
      <c r="A106" s="3" t="s">
        <v>243</v>
      </c>
      <c r="B106" s="2">
        <v>710</v>
      </c>
      <c r="C106" s="3" t="s">
        <v>20</v>
      </c>
      <c r="D106">
        <v>7</v>
      </c>
      <c r="F106" s="3">
        <v>2024</v>
      </c>
      <c r="G106" s="3">
        <v>8</v>
      </c>
      <c r="H106" s="3">
        <v>5</v>
      </c>
      <c r="I106">
        <v>596.70000000000005</v>
      </c>
      <c r="J106" s="3">
        <v>810</v>
      </c>
      <c r="M106" s="2" t="s">
        <v>86</v>
      </c>
      <c r="N106">
        <v>3</v>
      </c>
      <c r="O106">
        <v>1.2254</v>
      </c>
      <c r="P106" s="50"/>
      <c r="Q106" s="2" t="s">
        <v>355</v>
      </c>
      <c r="R106" s="2">
        <v>11.79</v>
      </c>
      <c r="S106" s="2" t="s">
        <v>216</v>
      </c>
      <c r="T106" s="4"/>
      <c r="U106" s="4"/>
      <c r="V106" s="4"/>
      <c r="W106" s="1">
        <v>11.79</v>
      </c>
      <c r="AC106" s="2">
        <v>15.462284</v>
      </c>
      <c r="AD106" s="2">
        <f t="shared" si="3"/>
        <v>-0.81953823550197002</v>
      </c>
      <c r="AE106" s="2">
        <f t="shared" si="4"/>
        <v>0.151517140138338</v>
      </c>
      <c r="AF106" s="2">
        <f t="shared" si="5"/>
        <v>0.65303887399623672</v>
      </c>
    </row>
    <row r="107" spans="1:32" x14ac:dyDescent="0.35">
      <c r="A107" s="3" t="s">
        <v>242</v>
      </c>
      <c r="B107" s="2">
        <v>711</v>
      </c>
      <c r="C107" s="3" t="s">
        <v>20</v>
      </c>
      <c r="D107">
        <v>7</v>
      </c>
      <c r="F107" s="3">
        <v>2024</v>
      </c>
      <c r="G107" s="3">
        <v>8</v>
      </c>
      <c r="H107" s="3">
        <v>5</v>
      </c>
      <c r="I107">
        <v>558.1</v>
      </c>
      <c r="J107" s="3">
        <v>751</v>
      </c>
      <c r="M107" s="2" t="s">
        <v>86</v>
      </c>
      <c r="N107">
        <v>4</v>
      </c>
      <c r="O107">
        <v>0.37030000000000002</v>
      </c>
      <c r="P107" s="50"/>
      <c r="Q107" s="2" t="s">
        <v>352</v>
      </c>
      <c r="R107" s="2">
        <v>10.83</v>
      </c>
      <c r="S107" s="2" t="s">
        <v>216</v>
      </c>
      <c r="T107" s="4"/>
      <c r="U107" s="4"/>
      <c r="V107" s="4"/>
      <c r="W107" s="1">
        <v>10.83</v>
      </c>
      <c r="AC107" s="2">
        <v>15.601517167974785</v>
      </c>
      <c r="AD107" s="2">
        <f t="shared" si="3"/>
        <v>-0.80697336210601822</v>
      </c>
      <c r="AE107" s="2">
        <f t="shared" si="4"/>
        <v>0.15596481625003628</v>
      </c>
      <c r="AF107" s="2">
        <f t="shared" si="5"/>
        <v>0.67220835803765633</v>
      </c>
    </row>
    <row r="108" spans="1:32" x14ac:dyDescent="0.35">
      <c r="A108" s="3" t="s">
        <v>243</v>
      </c>
      <c r="B108" s="2">
        <v>711</v>
      </c>
      <c r="C108" s="3" t="s">
        <v>20</v>
      </c>
      <c r="D108">
        <v>7</v>
      </c>
      <c r="E108" s="50"/>
      <c r="F108" s="3">
        <v>2024</v>
      </c>
      <c r="G108" s="3">
        <v>8</v>
      </c>
      <c r="H108" s="3">
        <v>5</v>
      </c>
      <c r="I108">
        <v>596.70000000000005</v>
      </c>
      <c r="J108" s="3">
        <v>810</v>
      </c>
      <c r="M108" s="2" t="s">
        <v>86</v>
      </c>
      <c r="N108">
        <v>3</v>
      </c>
      <c r="O108">
        <v>1.2254</v>
      </c>
      <c r="P108" s="50"/>
      <c r="Q108" s="2" t="s">
        <v>353</v>
      </c>
      <c r="R108" s="2">
        <v>1.27</v>
      </c>
      <c r="S108" s="2" t="s">
        <v>215</v>
      </c>
      <c r="T108" s="2">
        <v>0.23901690047049992</v>
      </c>
      <c r="U108" s="2">
        <v>17.120999999999999</v>
      </c>
      <c r="V108" s="2">
        <v>16.844000000000001</v>
      </c>
      <c r="W108" s="1">
        <f>T108*U108+V108</f>
        <v>20.936208352955429</v>
      </c>
      <c r="AC108" s="2">
        <v>15.784631212942625</v>
      </c>
      <c r="AD108" s="2">
        <f t="shared" si="3"/>
        <v>-0.79061816953851283</v>
      </c>
      <c r="AE108" s="2">
        <f t="shared" si="4"/>
        <v>0.16195032745273341</v>
      </c>
      <c r="AF108" s="2">
        <f t="shared" si="5"/>
        <v>0.69800591132128098</v>
      </c>
    </row>
    <row r="109" spans="1:32" x14ac:dyDescent="0.35">
      <c r="A109" s="3" t="s">
        <v>244</v>
      </c>
      <c r="B109" s="2">
        <v>721</v>
      </c>
      <c r="C109" s="3" t="s">
        <v>225</v>
      </c>
      <c r="D109">
        <v>3</v>
      </c>
      <c r="E109" s="50"/>
      <c r="F109" s="3">
        <v>2024</v>
      </c>
      <c r="G109" s="3">
        <v>8</v>
      </c>
      <c r="H109" s="3">
        <v>13</v>
      </c>
      <c r="I109">
        <v>466.3</v>
      </c>
      <c r="J109" s="3">
        <v>745</v>
      </c>
      <c r="M109" s="2" t="s">
        <v>86</v>
      </c>
      <c r="N109">
        <v>1</v>
      </c>
      <c r="O109">
        <v>0.31730000000000003</v>
      </c>
      <c r="P109" s="50"/>
      <c r="Q109" s="2" t="s">
        <v>356</v>
      </c>
      <c r="R109" s="2">
        <v>3.66</v>
      </c>
      <c r="S109" s="2" t="s">
        <v>211</v>
      </c>
      <c r="T109" s="2">
        <v>3.66</v>
      </c>
      <c r="U109" s="2">
        <v>3.9074</v>
      </c>
      <c r="V109" s="2">
        <v>1.1612</v>
      </c>
      <c r="W109" s="1">
        <f>T109*U109+V109</f>
        <v>15.462284</v>
      </c>
      <c r="AC109" s="2">
        <v>16.357823959128872</v>
      </c>
      <c r="AD109" s="2">
        <f t="shared" si="3"/>
        <v>-0.74062222429506797</v>
      </c>
      <c r="AE109" s="2">
        <f t="shared" si="4"/>
        <v>0.1817095595571637</v>
      </c>
      <c r="AF109" s="2">
        <f t="shared" si="5"/>
        <v>0.78316820169137547</v>
      </c>
    </row>
    <row r="110" spans="1:32" x14ac:dyDescent="0.35">
      <c r="A110" s="3" t="s">
        <v>245</v>
      </c>
      <c r="B110" s="2">
        <v>723</v>
      </c>
      <c r="C110" s="3" t="s">
        <v>225</v>
      </c>
      <c r="D110">
        <v>1</v>
      </c>
      <c r="E110" s="50"/>
      <c r="F110" s="3">
        <v>2024</v>
      </c>
      <c r="G110" s="3">
        <v>8</v>
      </c>
      <c r="H110" s="3">
        <v>14</v>
      </c>
      <c r="I110">
        <v>283.60000000000002</v>
      </c>
      <c r="J110" s="3">
        <v>643</v>
      </c>
      <c r="M110" s="2" t="s">
        <v>86</v>
      </c>
      <c r="N110">
        <v>1</v>
      </c>
      <c r="O110">
        <v>5.8700000000000002E-2</v>
      </c>
      <c r="P110" s="50"/>
      <c r="Q110" s="2" t="s">
        <v>357</v>
      </c>
      <c r="R110" s="2">
        <v>8.41</v>
      </c>
      <c r="S110" s="2" t="s">
        <v>212</v>
      </c>
      <c r="T110" s="2">
        <f>LOG(R110)</f>
        <v>0.92479599579791216</v>
      </c>
      <c r="U110">
        <v>0.75049999999999994</v>
      </c>
      <c r="V110">
        <v>0.53800000000000003</v>
      </c>
      <c r="W110" s="1">
        <f>10^(T110*U110+V110)</f>
        <v>17.063157316659183</v>
      </c>
      <c r="AC110" s="2">
        <v>16.373263734570063</v>
      </c>
      <c r="AD110" s="2">
        <f t="shared" si="3"/>
        <v>-0.73929987047017676</v>
      </c>
      <c r="AE110" s="2">
        <f t="shared" si="4"/>
        <v>0.18226367784653769</v>
      </c>
      <c r="AF110" s="2">
        <f t="shared" si="5"/>
        <v>0.78555645151857734</v>
      </c>
    </row>
    <row r="111" spans="1:32" x14ac:dyDescent="0.35">
      <c r="A111" s="3" t="s">
        <v>246</v>
      </c>
      <c r="B111" s="2">
        <v>730</v>
      </c>
      <c r="C111" s="3" t="s">
        <v>225</v>
      </c>
      <c r="D111">
        <v>3</v>
      </c>
      <c r="E111" s="50"/>
      <c r="F111" s="3">
        <v>2024</v>
      </c>
      <c r="G111" s="3">
        <v>8</v>
      </c>
      <c r="H111" s="3">
        <v>15</v>
      </c>
      <c r="I111">
        <v>8.9</v>
      </c>
      <c r="J111" s="3">
        <v>220</v>
      </c>
      <c r="M111" s="2" t="s">
        <v>86</v>
      </c>
      <c r="N111">
        <v>1</v>
      </c>
      <c r="O111">
        <v>2.4400000000000002E-2</v>
      </c>
      <c r="P111" s="50"/>
      <c r="Q111" s="2" t="s">
        <v>358</v>
      </c>
      <c r="R111" s="2">
        <v>0.53</v>
      </c>
      <c r="S111" s="2" t="s">
        <v>215</v>
      </c>
      <c r="T111" s="2">
        <f>LN(R111)</f>
        <v>-0.6348782724359695</v>
      </c>
      <c r="U111" s="2">
        <v>17.120999999999999</v>
      </c>
      <c r="V111" s="2">
        <v>16.844000000000001</v>
      </c>
      <c r="W111" s="1">
        <f>T111*U111+V111</f>
        <v>5.974249097623769</v>
      </c>
      <c r="AC111" s="2">
        <v>16.420000000000002</v>
      </c>
      <c r="AD111" s="2">
        <f t="shared" si="3"/>
        <v>-0.73530468670678406</v>
      </c>
      <c r="AE111" s="2">
        <f t="shared" si="4"/>
        <v>0.18394810293557629</v>
      </c>
      <c r="AF111" s="2">
        <f t="shared" si="5"/>
        <v>0.79281632365233368</v>
      </c>
    </row>
    <row r="112" spans="1:32" x14ac:dyDescent="0.35">
      <c r="A112" s="3" t="s">
        <v>247</v>
      </c>
      <c r="B112" s="2">
        <v>731</v>
      </c>
      <c r="C112" s="3" t="s">
        <v>225</v>
      </c>
      <c r="D112">
        <v>3</v>
      </c>
      <c r="E112" s="50"/>
      <c r="F112" s="3">
        <v>2024</v>
      </c>
      <c r="G112" s="3">
        <v>8</v>
      </c>
      <c r="H112" s="3">
        <v>15</v>
      </c>
      <c r="I112">
        <v>68.7</v>
      </c>
      <c r="J112" s="3">
        <v>376</v>
      </c>
      <c r="M112" s="2" t="s">
        <v>86</v>
      </c>
      <c r="N112">
        <v>1</v>
      </c>
      <c r="O112">
        <v>2.6599999999999999E-2</v>
      </c>
      <c r="P112" s="50"/>
      <c r="Q112" s="2" t="s">
        <v>359</v>
      </c>
      <c r="R112" s="2">
        <v>6.56</v>
      </c>
      <c r="S112" s="2" t="s">
        <v>216</v>
      </c>
      <c r="T112" s="4"/>
      <c r="U112" s="4"/>
      <c r="V112" s="4"/>
      <c r="W112" s="1">
        <v>6.56</v>
      </c>
      <c r="AC112" s="2">
        <v>16.478207999999999</v>
      </c>
      <c r="AD112" s="2">
        <f t="shared" si="3"/>
        <v>-0.73034472880831602</v>
      </c>
      <c r="AE112" s="2">
        <f t="shared" si="4"/>
        <v>0.18606096590339813</v>
      </c>
      <c r="AF112" s="2">
        <f t="shared" si="5"/>
        <v>0.80192276304364585</v>
      </c>
    </row>
    <row r="113" spans="1:32" x14ac:dyDescent="0.35">
      <c r="A113" s="3" t="s">
        <v>248</v>
      </c>
      <c r="B113" s="2">
        <v>732</v>
      </c>
      <c r="C113" s="3" t="s">
        <v>225</v>
      </c>
      <c r="D113">
        <v>3</v>
      </c>
      <c r="E113" s="50"/>
      <c r="F113" s="3">
        <v>2024</v>
      </c>
      <c r="G113" s="3">
        <v>8</v>
      </c>
      <c r="H113" s="3">
        <v>15</v>
      </c>
      <c r="I113">
        <v>67.900000000000006</v>
      </c>
      <c r="J113" s="3">
        <v>403</v>
      </c>
      <c r="M113" s="2" t="s">
        <v>86</v>
      </c>
      <c r="N113">
        <v>1</v>
      </c>
      <c r="O113">
        <v>2.2100000000000002E-2</v>
      </c>
      <c r="P113" s="50"/>
      <c r="Q113" s="2" t="s">
        <v>28</v>
      </c>
      <c r="R113" s="2" t="s">
        <v>28</v>
      </c>
      <c r="S113" s="2" t="s">
        <v>28</v>
      </c>
      <c r="T113" s="4"/>
      <c r="U113" s="4"/>
      <c r="V113" s="4"/>
      <c r="W113" s="5"/>
      <c r="AC113" s="2">
        <v>16.498109448016752</v>
      </c>
      <c r="AD113" s="2">
        <f t="shared" si="3"/>
        <v>-0.7286529262564696</v>
      </c>
      <c r="AE113" s="2">
        <f t="shared" si="4"/>
        <v>0.18678718357290158</v>
      </c>
      <c r="AF113" s="2">
        <f t="shared" si="5"/>
        <v>0.80505276119920577</v>
      </c>
    </row>
    <row r="114" spans="1:32" x14ac:dyDescent="0.35">
      <c r="A114" s="3" t="s">
        <v>249</v>
      </c>
      <c r="B114" s="2">
        <v>733</v>
      </c>
      <c r="C114" s="3" t="s">
        <v>225</v>
      </c>
      <c r="D114">
        <v>3</v>
      </c>
      <c r="E114" s="50"/>
      <c r="F114" s="3">
        <v>2024</v>
      </c>
      <c r="G114" s="3">
        <v>8</v>
      </c>
      <c r="H114" s="3">
        <v>15</v>
      </c>
      <c r="I114">
        <v>80.2</v>
      </c>
      <c r="J114" s="3">
        <v>398</v>
      </c>
      <c r="M114" s="2" t="s">
        <v>86</v>
      </c>
      <c r="N114">
        <v>2</v>
      </c>
      <c r="O114">
        <v>0.29970000000000002</v>
      </c>
      <c r="P114" s="50"/>
      <c r="Q114" s="2" t="s">
        <v>360</v>
      </c>
      <c r="R114" s="2">
        <v>3.64</v>
      </c>
      <c r="S114" s="2" t="s">
        <v>211</v>
      </c>
      <c r="T114" s="2">
        <v>3.64</v>
      </c>
      <c r="U114" s="2">
        <v>3.9074</v>
      </c>
      <c r="V114" s="2">
        <v>1.1612</v>
      </c>
      <c r="W114" s="1">
        <f>T114*U114+V114</f>
        <v>15.384136000000002</v>
      </c>
      <c r="AC114" s="2">
        <v>16.727058210874066</v>
      </c>
      <c r="AD114" s="2">
        <f t="shared" si="3"/>
        <v>-0.70933568536154912</v>
      </c>
      <c r="AE114" s="2">
        <f t="shared" si="4"/>
        <v>0.19528294442576405</v>
      </c>
      <c r="AF114" s="2">
        <f t="shared" si="5"/>
        <v>0.84166949047504303</v>
      </c>
    </row>
    <row r="115" spans="1:32" x14ac:dyDescent="0.35">
      <c r="A115" s="3" t="s">
        <v>249</v>
      </c>
      <c r="B115" s="2">
        <v>734</v>
      </c>
      <c r="C115" s="3" t="s">
        <v>225</v>
      </c>
      <c r="D115">
        <v>3</v>
      </c>
      <c r="E115" s="50"/>
      <c r="F115" s="3">
        <v>2024</v>
      </c>
      <c r="G115" s="3">
        <v>8</v>
      </c>
      <c r="H115" s="3">
        <v>15</v>
      </c>
      <c r="I115">
        <v>80.2</v>
      </c>
      <c r="J115" s="3">
        <v>398</v>
      </c>
      <c r="M115" s="2" t="s">
        <v>86</v>
      </c>
      <c r="N115">
        <v>2</v>
      </c>
      <c r="O115">
        <v>0.29970000000000002</v>
      </c>
      <c r="P115" s="50"/>
      <c r="Q115" s="2" t="s">
        <v>361</v>
      </c>
      <c r="R115" s="2">
        <v>1.2</v>
      </c>
      <c r="S115" s="2" t="s">
        <v>215</v>
      </c>
      <c r="T115" s="2">
        <f>LN(R115)</f>
        <v>0.18232155679395459</v>
      </c>
      <c r="U115" s="2">
        <v>17.120999999999999</v>
      </c>
      <c r="V115" s="2">
        <v>16.844000000000001</v>
      </c>
      <c r="W115" s="1">
        <f>T115*U115+V115</f>
        <v>19.965527373869296</v>
      </c>
      <c r="AC115" s="2">
        <v>17.014359614537092</v>
      </c>
      <c r="AD115" s="2">
        <f t="shared" si="3"/>
        <v>-0.68546570742062407</v>
      </c>
      <c r="AE115" s="2">
        <f t="shared" si="4"/>
        <v>0.20631665717756098</v>
      </c>
      <c r="AF115" s="2">
        <f t="shared" si="5"/>
        <v>0.88922479243528774</v>
      </c>
    </row>
    <row r="116" spans="1:32" x14ac:dyDescent="0.35">
      <c r="A116" s="3" t="s">
        <v>250</v>
      </c>
      <c r="B116" s="2">
        <v>734</v>
      </c>
      <c r="C116" s="3" t="s">
        <v>225</v>
      </c>
      <c r="D116">
        <v>3</v>
      </c>
      <c r="E116" s="50"/>
      <c r="F116" s="3">
        <v>2024</v>
      </c>
      <c r="G116" s="3">
        <v>8</v>
      </c>
      <c r="H116" s="3">
        <v>15</v>
      </c>
      <c r="I116">
        <v>86.9</v>
      </c>
      <c r="J116" s="3">
        <v>430</v>
      </c>
      <c r="M116" s="2" t="s">
        <v>86</v>
      </c>
      <c r="N116">
        <v>1</v>
      </c>
      <c r="O116">
        <v>0.14960000000000001</v>
      </c>
      <c r="P116" s="50"/>
      <c r="Q116" s="2" t="s">
        <v>28</v>
      </c>
      <c r="R116" s="2" t="s">
        <v>28</v>
      </c>
      <c r="S116" s="2" t="s">
        <v>28</v>
      </c>
      <c r="T116" s="4"/>
      <c r="U116" s="4"/>
      <c r="V116" s="4"/>
      <c r="W116" s="5"/>
      <c r="AC116" s="2">
        <v>17.063157316659183</v>
      </c>
      <c r="AD116" s="2">
        <f t="shared" si="3"/>
        <v>-0.68145150907294427</v>
      </c>
      <c r="AE116" s="2">
        <f t="shared" si="4"/>
        <v>0.20823248931558944</v>
      </c>
      <c r="AF116" s="2">
        <f t="shared" si="5"/>
        <v>0.89748202895019036</v>
      </c>
    </row>
    <row r="117" spans="1:32" x14ac:dyDescent="0.35">
      <c r="A117" s="3" t="s">
        <v>251</v>
      </c>
      <c r="B117" s="2">
        <v>736</v>
      </c>
      <c r="C117" s="3" t="s">
        <v>225</v>
      </c>
      <c r="D117">
        <v>3</v>
      </c>
      <c r="E117" s="50"/>
      <c r="F117" s="3">
        <v>2024</v>
      </c>
      <c r="G117" s="3">
        <v>8</v>
      </c>
      <c r="H117" s="3">
        <v>15</v>
      </c>
      <c r="I117">
        <v>92.2</v>
      </c>
      <c r="J117" s="3">
        <v>425</v>
      </c>
      <c r="M117" s="2" t="s">
        <v>86</v>
      </c>
      <c r="N117">
        <v>1</v>
      </c>
      <c r="O117">
        <v>2.4299999999999999E-2</v>
      </c>
      <c r="P117" s="50"/>
      <c r="Q117" s="2" t="s">
        <v>28</v>
      </c>
      <c r="R117" s="2" t="s">
        <v>28</v>
      </c>
      <c r="S117" s="2" t="s">
        <v>28</v>
      </c>
      <c r="T117" s="4"/>
      <c r="U117" s="4"/>
      <c r="V117" s="4"/>
      <c r="W117" s="5"/>
      <c r="AC117" s="2">
        <v>17.103391999999999</v>
      </c>
      <c r="AD117" s="2">
        <f t="shared" si="3"/>
        <v>-0.67815034757657333</v>
      </c>
      <c r="AE117" s="2">
        <f t="shared" si="4"/>
        <v>0.20982133813976203</v>
      </c>
      <c r="AF117" s="2">
        <f t="shared" si="5"/>
        <v>0.90432996738237426</v>
      </c>
    </row>
    <row r="118" spans="1:32" x14ac:dyDescent="0.35">
      <c r="A118" s="3" t="s">
        <v>252</v>
      </c>
      <c r="B118" s="2">
        <v>737</v>
      </c>
      <c r="C118" s="3" t="s">
        <v>225</v>
      </c>
      <c r="D118">
        <v>3</v>
      </c>
      <c r="E118" s="50"/>
      <c r="F118" s="3">
        <v>2024</v>
      </c>
      <c r="G118" s="3">
        <v>8</v>
      </c>
      <c r="H118" s="3">
        <v>15</v>
      </c>
      <c r="I118">
        <v>330.4</v>
      </c>
      <c r="J118" s="3">
        <v>641</v>
      </c>
      <c r="M118" s="2" t="s">
        <v>86</v>
      </c>
      <c r="N118">
        <v>1</v>
      </c>
      <c r="O118">
        <v>0.252</v>
      </c>
      <c r="P118" s="50"/>
      <c r="Q118" s="2" t="s">
        <v>28</v>
      </c>
      <c r="R118" s="2" t="s">
        <v>28</v>
      </c>
      <c r="S118" s="2" t="s">
        <v>28</v>
      </c>
      <c r="T118" s="4"/>
      <c r="U118" s="4"/>
      <c r="V118" s="4"/>
      <c r="W118" s="5"/>
      <c r="AC118" s="2">
        <v>17.139235944309615</v>
      </c>
      <c r="AD118" s="2">
        <f t="shared" si="3"/>
        <v>-0.67521597019105606</v>
      </c>
      <c r="AE118" s="2">
        <f t="shared" si="4"/>
        <v>0.21124382847028703</v>
      </c>
      <c r="AF118" s="2">
        <f t="shared" si="5"/>
        <v>0.91046090070693697</v>
      </c>
    </row>
    <row r="119" spans="1:32" x14ac:dyDescent="0.35">
      <c r="A119" s="3" t="s">
        <v>253</v>
      </c>
      <c r="B119" s="2">
        <v>740</v>
      </c>
      <c r="C119" s="3" t="s">
        <v>225</v>
      </c>
      <c r="D119">
        <v>3</v>
      </c>
      <c r="E119" s="50"/>
      <c r="F119" s="3">
        <v>2024</v>
      </c>
      <c r="G119" s="3">
        <v>8</v>
      </c>
      <c r="H119" s="3">
        <v>19</v>
      </c>
      <c r="I119">
        <v>258.10000000000002</v>
      </c>
      <c r="J119" s="3">
        <v>625</v>
      </c>
      <c r="M119" s="2" t="s">
        <v>86</v>
      </c>
      <c r="N119">
        <v>1</v>
      </c>
      <c r="O119">
        <v>0.34799999999999998</v>
      </c>
      <c r="P119" s="50"/>
      <c r="Q119" s="2" t="s">
        <v>363</v>
      </c>
      <c r="R119" s="2">
        <v>1.49</v>
      </c>
      <c r="S119" s="2" t="s">
        <v>215</v>
      </c>
      <c r="T119" s="2">
        <f>LN(R119)</f>
        <v>0.39877611995736778</v>
      </c>
      <c r="U119" s="2">
        <v>17.120999999999999</v>
      </c>
      <c r="V119" s="2">
        <v>16.844000000000001</v>
      </c>
      <c r="W119" s="1">
        <f>T119*U119+V119</f>
        <v>23.671445949790094</v>
      </c>
      <c r="AC119" s="2">
        <v>17.183040781937894</v>
      </c>
      <c r="AD119" s="2">
        <f t="shared" si="3"/>
        <v>-0.67163819273024128</v>
      </c>
      <c r="AE119" s="2">
        <f t="shared" si="4"/>
        <v>0.21299127203662996</v>
      </c>
      <c r="AF119" s="2">
        <f t="shared" si="5"/>
        <v>0.91799238247787507</v>
      </c>
    </row>
    <row r="120" spans="1:32" x14ac:dyDescent="0.35">
      <c r="A120" s="3" t="s">
        <v>254</v>
      </c>
      <c r="B120" s="2">
        <v>741</v>
      </c>
      <c r="C120" s="3" t="s">
        <v>225</v>
      </c>
      <c r="D120">
        <v>3</v>
      </c>
      <c r="E120" s="50"/>
      <c r="F120" s="3">
        <v>2024</v>
      </c>
      <c r="G120" s="3">
        <v>8</v>
      </c>
      <c r="H120" s="3">
        <v>19</v>
      </c>
      <c r="I120">
        <v>93</v>
      </c>
      <c r="J120" s="3">
        <v>450</v>
      </c>
      <c r="M120" s="2" t="s">
        <v>86</v>
      </c>
      <c r="N120">
        <v>1</v>
      </c>
      <c r="O120">
        <v>1.52E-2</v>
      </c>
      <c r="P120" s="50"/>
      <c r="Q120" s="2" t="s">
        <v>364</v>
      </c>
      <c r="R120" s="2">
        <v>1.4</v>
      </c>
      <c r="S120" s="2" t="s">
        <v>211</v>
      </c>
      <c r="T120" s="2">
        <v>1.4</v>
      </c>
      <c r="U120" s="2">
        <v>3.9074</v>
      </c>
      <c r="V120" s="2">
        <v>1.1612</v>
      </c>
      <c r="AC120" s="2">
        <v>17.593381966430698</v>
      </c>
      <c r="AD120" s="2">
        <f t="shared" si="3"/>
        <v>-0.63855956693872873</v>
      </c>
      <c r="AE120" s="2">
        <f t="shared" si="4"/>
        <v>0.22984784330643346</v>
      </c>
      <c r="AF120" s="2">
        <f t="shared" si="5"/>
        <v>0.99064420465072811</v>
      </c>
    </row>
    <row r="121" spans="1:32" x14ac:dyDescent="0.35">
      <c r="A121" s="3" t="s">
        <v>255</v>
      </c>
      <c r="B121" s="2">
        <v>743</v>
      </c>
      <c r="C121" s="3" t="s">
        <v>225</v>
      </c>
      <c r="D121">
        <v>3</v>
      </c>
      <c r="E121" s="50"/>
      <c r="F121" s="3">
        <v>2024</v>
      </c>
      <c r="G121" s="3">
        <v>8</v>
      </c>
      <c r="H121" s="3">
        <v>19</v>
      </c>
      <c r="I121">
        <v>45.2</v>
      </c>
      <c r="J121" s="3">
        <v>357</v>
      </c>
      <c r="M121" s="2" t="s">
        <v>86</v>
      </c>
      <c r="N121">
        <v>1</v>
      </c>
      <c r="O121">
        <v>3.3700000000000001E-2</v>
      </c>
      <c r="P121" s="50"/>
      <c r="Q121" s="2" t="s">
        <v>370</v>
      </c>
      <c r="R121" s="2">
        <v>9.93</v>
      </c>
      <c r="S121" s="2" t="s">
        <v>216</v>
      </c>
      <c r="T121" s="4"/>
      <c r="U121" s="4"/>
      <c r="V121" s="4"/>
      <c r="W121" s="1">
        <v>9.93</v>
      </c>
      <c r="AC121" s="2">
        <v>17.679336400744848</v>
      </c>
      <c r="AD121" s="2">
        <f t="shared" si="3"/>
        <v>-0.6317283619616072</v>
      </c>
      <c r="AE121" s="2">
        <f t="shared" si="4"/>
        <v>0.233491802612424</v>
      </c>
      <c r="AF121" s="2">
        <f t="shared" si="5"/>
        <v>1.0063496692595473</v>
      </c>
    </row>
    <row r="122" spans="1:32" x14ac:dyDescent="0.35">
      <c r="A122" s="3" t="s">
        <v>256</v>
      </c>
      <c r="B122" s="2">
        <v>744</v>
      </c>
      <c r="C122" s="3" t="s">
        <v>225</v>
      </c>
      <c r="D122">
        <v>3</v>
      </c>
      <c r="E122" s="50"/>
      <c r="F122" s="3">
        <v>2024</v>
      </c>
      <c r="G122" s="3">
        <v>8</v>
      </c>
      <c r="H122" s="3">
        <v>19</v>
      </c>
      <c r="I122">
        <v>73.8</v>
      </c>
      <c r="J122" s="3">
        <v>416</v>
      </c>
      <c r="M122" s="2" t="s">
        <v>86</v>
      </c>
      <c r="N122">
        <v>1</v>
      </c>
      <c r="O122">
        <v>4.7100000000000003E-2</v>
      </c>
      <c r="P122" s="50"/>
      <c r="Q122" s="2" t="s">
        <v>367</v>
      </c>
      <c r="R122" s="2">
        <v>0.77</v>
      </c>
      <c r="S122" s="2" t="s">
        <v>215</v>
      </c>
      <c r="T122" s="2">
        <f>LN(R122)</f>
        <v>-0.26136476413440751</v>
      </c>
      <c r="U122" s="2">
        <v>17.120999999999999</v>
      </c>
      <c r="V122" s="2">
        <v>16.844000000000001</v>
      </c>
      <c r="W122" s="1">
        <f>T122*U122+V122</f>
        <v>12.369173873254811</v>
      </c>
      <c r="AC122" s="2">
        <v>18.058607921477645</v>
      </c>
      <c r="AD122" s="2">
        <f t="shared" si="3"/>
        <v>-0.60197719042755704</v>
      </c>
      <c r="AE122" s="2">
        <f t="shared" si="4"/>
        <v>0.25004766857374816</v>
      </c>
      <c r="AF122" s="2">
        <f t="shared" si="5"/>
        <v>1.0777054515528546</v>
      </c>
    </row>
    <row r="123" spans="1:32" x14ac:dyDescent="0.35">
      <c r="A123" s="3" t="s">
        <v>257</v>
      </c>
      <c r="B123" s="2">
        <v>745</v>
      </c>
      <c r="C123" s="3" t="s">
        <v>225</v>
      </c>
      <c r="D123">
        <v>3</v>
      </c>
      <c r="E123" s="50"/>
      <c r="F123" s="3">
        <v>2024</v>
      </c>
      <c r="G123" s="3">
        <v>8</v>
      </c>
      <c r="H123" s="3">
        <v>19</v>
      </c>
      <c r="I123">
        <v>36.799999999999997</v>
      </c>
      <c r="J123" s="3">
        <v>334</v>
      </c>
      <c r="M123" s="2" t="s">
        <v>86</v>
      </c>
      <c r="N123">
        <v>1</v>
      </c>
      <c r="O123">
        <v>4.1000000000000002E-2</v>
      </c>
      <c r="P123" s="50"/>
      <c r="Q123" s="2" t="s">
        <v>366</v>
      </c>
      <c r="R123" s="2">
        <v>9.5399999999999991</v>
      </c>
      <c r="S123" s="2" t="s">
        <v>216</v>
      </c>
      <c r="T123" s="4"/>
      <c r="U123" s="4"/>
      <c r="V123" s="4"/>
      <c r="W123" s="1">
        <v>9.5399999999999991</v>
      </c>
      <c r="AC123" s="2">
        <v>18.236537999999999</v>
      </c>
      <c r="AD123" s="2">
        <f t="shared" si="3"/>
        <v>-0.58823451136543525</v>
      </c>
      <c r="AE123" s="2">
        <f t="shared" si="4"/>
        <v>0.25808661920472886</v>
      </c>
      <c r="AF123" s="2">
        <f t="shared" si="5"/>
        <v>1.1123533287723812</v>
      </c>
    </row>
    <row r="124" spans="1:32" x14ac:dyDescent="0.35">
      <c r="A124" s="3" t="s">
        <v>258</v>
      </c>
      <c r="B124" s="2">
        <v>746</v>
      </c>
      <c r="C124" s="3" t="s">
        <v>225</v>
      </c>
      <c r="D124">
        <v>3</v>
      </c>
      <c r="E124" s="50"/>
      <c r="F124" s="3">
        <v>2024</v>
      </c>
      <c r="G124" s="3">
        <v>8</v>
      </c>
      <c r="H124" s="3">
        <v>19</v>
      </c>
      <c r="I124">
        <v>49.9</v>
      </c>
      <c r="J124" s="3">
        <v>371</v>
      </c>
      <c r="M124" s="2" t="s">
        <v>86</v>
      </c>
      <c r="N124">
        <v>1</v>
      </c>
      <c r="O124">
        <v>9.0999999999999998E-2</v>
      </c>
      <c r="P124" s="50"/>
      <c r="Q124" s="2" t="s">
        <v>369</v>
      </c>
      <c r="R124" s="2">
        <v>2.95</v>
      </c>
      <c r="S124" s="2" t="s">
        <v>211</v>
      </c>
      <c r="T124" s="2">
        <v>2.95</v>
      </c>
      <c r="U124" s="2">
        <v>3.9074</v>
      </c>
      <c r="V124" s="2">
        <v>1.1612</v>
      </c>
      <c r="W124" s="1">
        <f>T124*U124+V124</f>
        <v>12.688030000000001</v>
      </c>
      <c r="AC124" s="2">
        <v>18.319448337343058</v>
      </c>
      <c r="AD124" s="2">
        <f t="shared" si="3"/>
        <v>-0.58187654798576549</v>
      </c>
      <c r="AE124" s="2">
        <f t="shared" si="4"/>
        <v>0.26189273554830583</v>
      </c>
      <c r="AF124" s="2">
        <f t="shared" si="5"/>
        <v>1.1287576902131979</v>
      </c>
    </row>
    <row r="125" spans="1:32" x14ac:dyDescent="0.35">
      <c r="A125" s="3" t="s">
        <v>259</v>
      </c>
      <c r="B125" s="2">
        <v>747</v>
      </c>
      <c r="C125" s="3" t="s">
        <v>225</v>
      </c>
      <c r="D125">
        <v>3</v>
      </c>
      <c r="E125" s="50"/>
      <c r="F125" s="3">
        <v>2024</v>
      </c>
      <c r="G125" s="3">
        <v>8</v>
      </c>
      <c r="H125" s="3">
        <v>19</v>
      </c>
      <c r="I125">
        <v>43</v>
      </c>
      <c r="J125" s="3">
        <v>320</v>
      </c>
      <c r="M125" s="2" t="s">
        <v>86</v>
      </c>
      <c r="N125">
        <v>1</v>
      </c>
      <c r="O125">
        <v>5.5599999999999997E-2</v>
      </c>
      <c r="P125" s="50"/>
      <c r="Q125" s="2" t="s">
        <v>368</v>
      </c>
      <c r="R125" s="2">
        <v>2.63</v>
      </c>
      <c r="S125" s="2" t="s">
        <v>211</v>
      </c>
      <c r="T125" s="2">
        <v>2.63</v>
      </c>
      <c r="U125" s="2">
        <v>3.9074</v>
      </c>
      <c r="V125" s="2">
        <v>1.1612</v>
      </c>
      <c r="W125" s="1">
        <f>T125*U125+V125</f>
        <v>11.437662</v>
      </c>
      <c r="AC125" s="2">
        <v>18.784300421141204</v>
      </c>
      <c r="AD125" s="2">
        <f t="shared" si="3"/>
        <v>-0.54675393507846426</v>
      </c>
      <c r="AE125" s="2">
        <f t="shared" si="4"/>
        <v>0.28395274075859439</v>
      </c>
      <c r="AF125" s="2">
        <f t="shared" si="5"/>
        <v>1.2238363126695417</v>
      </c>
    </row>
    <row r="126" spans="1:32" x14ac:dyDescent="0.35">
      <c r="A126" s="3" t="s">
        <v>260</v>
      </c>
      <c r="B126" s="2">
        <v>748</v>
      </c>
      <c r="C126" s="3" t="s">
        <v>225</v>
      </c>
      <c r="D126">
        <v>3</v>
      </c>
      <c r="E126" s="50"/>
      <c r="F126" s="3">
        <v>2024</v>
      </c>
      <c r="G126" s="3">
        <v>8</v>
      </c>
      <c r="H126" s="3">
        <v>19</v>
      </c>
      <c r="I126">
        <v>77.7</v>
      </c>
      <c r="J126" s="3">
        <v>420</v>
      </c>
      <c r="M126" s="2" t="s">
        <v>86</v>
      </c>
      <c r="N126">
        <v>1</v>
      </c>
      <c r="O126">
        <v>0.06</v>
      </c>
      <c r="P126" s="50"/>
      <c r="Q126" s="2" t="s">
        <v>362</v>
      </c>
      <c r="R126" s="2">
        <v>1.98</v>
      </c>
      <c r="S126" s="2" t="s">
        <v>211</v>
      </c>
      <c r="T126" s="2">
        <v>1.98</v>
      </c>
      <c r="U126" s="2">
        <v>3.9074</v>
      </c>
      <c r="V126" s="2">
        <v>1.1612</v>
      </c>
      <c r="W126" s="1">
        <f>T126*U126+V126</f>
        <v>8.8978520000000003</v>
      </c>
      <c r="AC126" s="2">
        <v>18.97</v>
      </c>
      <c r="AD126" s="2">
        <f t="shared" si="3"/>
        <v>-0.53296549628993084</v>
      </c>
      <c r="AE126" s="2">
        <f t="shared" si="4"/>
        <v>0.29311261073110673</v>
      </c>
      <c r="AF126" s="2">
        <f t="shared" si="5"/>
        <v>1.2633153522510698</v>
      </c>
    </row>
    <row r="127" spans="1:32" x14ac:dyDescent="0.35">
      <c r="A127" s="3" t="s">
        <v>261</v>
      </c>
      <c r="B127" s="2">
        <v>749</v>
      </c>
      <c r="C127" s="3" t="s">
        <v>225</v>
      </c>
      <c r="D127">
        <v>3</v>
      </c>
      <c r="E127" s="50"/>
      <c r="F127" s="3">
        <v>2024</v>
      </c>
      <c r="G127" s="3">
        <v>8</v>
      </c>
      <c r="H127" s="3">
        <v>19</v>
      </c>
      <c r="I127">
        <v>85.4</v>
      </c>
      <c r="J127" s="3">
        <v>432</v>
      </c>
      <c r="M127" s="2" t="s">
        <v>86</v>
      </c>
      <c r="N127">
        <v>1</v>
      </c>
      <c r="O127">
        <v>8.6699999999999999E-2</v>
      </c>
      <c r="P127" s="50"/>
      <c r="Q127" s="2" t="s">
        <v>28</v>
      </c>
      <c r="R127" s="2" t="s">
        <v>28</v>
      </c>
      <c r="S127" s="2" t="s">
        <v>28</v>
      </c>
      <c r="T127" s="4"/>
      <c r="U127" s="4"/>
      <c r="V127" s="4"/>
      <c r="W127" s="5"/>
      <c r="AC127" s="2">
        <v>19.080163335604258</v>
      </c>
      <c r="AD127" s="2">
        <f t="shared" si="3"/>
        <v>-0.52484936867612131</v>
      </c>
      <c r="AE127" s="2">
        <f t="shared" si="4"/>
        <v>0.29864182529171579</v>
      </c>
      <c r="AF127" s="2">
        <f t="shared" si="5"/>
        <v>1.2871462670072948</v>
      </c>
    </row>
    <row r="128" spans="1:32" x14ac:dyDescent="0.35">
      <c r="A128" s="3" t="s">
        <v>262</v>
      </c>
      <c r="B128" s="2">
        <v>750</v>
      </c>
      <c r="C128" s="3" t="s">
        <v>225</v>
      </c>
      <c r="D128">
        <v>3</v>
      </c>
      <c r="E128" s="50"/>
      <c r="F128" s="3">
        <v>2024</v>
      </c>
      <c r="G128" s="3">
        <v>8</v>
      </c>
      <c r="H128" s="3">
        <v>19</v>
      </c>
      <c r="I128">
        <v>150.19999999999999</v>
      </c>
      <c r="J128" s="3">
        <v>514</v>
      </c>
      <c r="M128" s="2" t="s">
        <v>86</v>
      </c>
      <c r="N128">
        <v>1</v>
      </c>
      <c r="O128">
        <v>0.1178</v>
      </c>
      <c r="P128" s="50"/>
      <c r="Q128" s="2" t="s">
        <v>365</v>
      </c>
      <c r="R128" s="2">
        <v>11.4</v>
      </c>
      <c r="S128" s="2" t="s">
        <v>216</v>
      </c>
      <c r="T128" s="4"/>
      <c r="U128" s="4"/>
      <c r="V128" s="4"/>
      <c r="W128" s="1">
        <v>11.4</v>
      </c>
      <c r="AC128" s="2">
        <v>19.59</v>
      </c>
      <c r="AD128" s="2">
        <f t="shared" si="3"/>
        <v>-0.48788806127058759</v>
      </c>
      <c r="AE128" s="2">
        <f t="shared" si="4"/>
        <v>0.32517109893173946</v>
      </c>
      <c r="AF128" s="2">
        <f t="shared" si="5"/>
        <v>1.401487436395797</v>
      </c>
    </row>
    <row r="129" spans="1:32" x14ac:dyDescent="0.35">
      <c r="A129" s="3" t="s">
        <v>263</v>
      </c>
      <c r="B129" s="2">
        <v>752</v>
      </c>
      <c r="C129" s="3" t="s">
        <v>225</v>
      </c>
      <c r="D129">
        <v>3</v>
      </c>
      <c r="E129" s="50"/>
      <c r="F129" s="3">
        <v>2024</v>
      </c>
      <c r="G129" s="3">
        <v>8</v>
      </c>
      <c r="H129" s="3">
        <v>19</v>
      </c>
      <c r="I129">
        <v>103.2</v>
      </c>
      <c r="J129" s="3">
        <v>450</v>
      </c>
      <c r="M129" s="2" t="s">
        <v>86</v>
      </c>
      <c r="N129">
        <v>1</v>
      </c>
      <c r="O129">
        <v>2.6499999999999999E-2</v>
      </c>
      <c r="P129" s="50"/>
      <c r="Q129" s="2" t="s">
        <v>28</v>
      </c>
      <c r="R129" s="2" t="s">
        <v>28</v>
      </c>
      <c r="S129" s="2" t="s">
        <v>28</v>
      </c>
      <c r="T129" s="4"/>
      <c r="U129" s="4"/>
      <c r="V129" s="4"/>
      <c r="W129" s="5"/>
      <c r="AC129" s="2">
        <v>19.965527373869296</v>
      </c>
      <c r="AD129" s="2">
        <f t="shared" si="3"/>
        <v>-0.46127379051272666</v>
      </c>
      <c r="AE129" s="2">
        <f t="shared" si="4"/>
        <v>0.34572135739419396</v>
      </c>
      <c r="AF129" s="2">
        <f t="shared" si="5"/>
        <v>1.4900590503689759</v>
      </c>
    </row>
    <row r="130" spans="1:32" x14ac:dyDescent="0.35">
      <c r="A130" s="3" t="s">
        <v>264</v>
      </c>
      <c r="B130" s="2">
        <v>753</v>
      </c>
      <c r="C130" s="3" t="s">
        <v>225</v>
      </c>
      <c r="D130">
        <v>3</v>
      </c>
      <c r="E130" s="50"/>
      <c r="F130" s="3">
        <v>2024</v>
      </c>
      <c r="G130" s="3">
        <v>8</v>
      </c>
      <c r="H130" s="3">
        <v>19</v>
      </c>
      <c r="I130">
        <v>66.8</v>
      </c>
      <c r="J130" s="3">
        <v>413</v>
      </c>
      <c r="M130" s="2" t="s">
        <v>86</v>
      </c>
      <c r="N130">
        <v>1</v>
      </c>
      <c r="O130">
        <v>3.7000000000000002E-3</v>
      </c>
      <c r="P130" s="50"/>
      <c r="Q130" s="2" t="s">
        <v>28</v>
      </c>
      <c r="R130" s="2" t="s">
        <v>28</v>
      </c>
      <c r="S130" s="2" t="s">
        <v>28</v>
      </c>
      <c r="T130" s="4"/>
      <c r="U130" s="4"/>
      <c r="V130" s="4"/>
      <c r="W130" s="5"/>
      <c r="AC130" s="2">
        <v>20.936208352955429</v>
      </c>
      <c r="AD130" s="2">
        <f t="shared" si="3"/>
        <v>-0.39473369260406876</v>
      </c>
      <c r="AE130" s="2">
        <f t="shared" si="4"/>
        <v>0.40296405430254961</v>
      </c>
      <c r="AF130" s="2">
        <f t="shared" si="5"/>
        <v>1.7367750740439887</v>
      </c>
    </row>
    <row r="131" spans="1:32" x14ac:dyDescent="0.35">
      <c r="A131" s="3" t="s">
        <v>265</v>
      </c>
      <c r="B131" s="2">
        <v>754</v>
      </c>
      <c r="C131" s="3" t="s">
        <v>225</v>
      </c>
      <c r="D131">
        <v>3</v>
      </c>
      <c r="E131" s="50"/>
      <c r="F131" s="3">
        <v>2024</v>
      </c>
      <c r="G131" s="3">
        <v>8</v>
      </c>
      <c r="H131" s="3">
        <v>19</v>
      </c>
      <c r="I131">
        <v>85.2</v>
      </c>
      <c r="J131" s="3">
        <v>414</v>
      </c>
      <c r="M131" s="2" t="s">
        <v>86</v>
      </c>
      <c r="N131">
        <v>1</v>
      </c>
      <c r="O131">
        <v>4.2000000000000003E-2</v>
      </c>
      <c r="P131" s="50"/>
      <c r="Q131" s="2" t="s">
        <v>372</v>
      </c>
      <c r="R131" s="2">
        <v>9.1</v>
      </c>
      <c r="S131" s="2" t="s">
        <v>28</v>
      </c>
      <c r="T131" s="4"/>
      <c r="U131" s="4"/>
      <c r="V131" s="4"/>
      <c r="W131" s="1">
        <v>9.1</v>
      </c>
      <c r="AC131" s="2">
        <v>20.936208352955429</v>
      </c>
      <c r="AD131" s="2">
        <f t="shared" ref="AD131:AD150" si="6">((3.2274)*(LOG(AC131))+(-4.6578))</f>
        <v>-0.39473369260406876</v>
      </c>
      <c r="AE131" s="2">
        <f t="shared" ref="AE131:AE150" si="7">10^AD131</f>
        <v>0.40296405430254961</v>
      </c>
      <c r="AF131" s="2">
        <f t="shared" ref="AF131:AF150" si="8">4.31*AE131</f>
        <v>1.7367750740439887</v>
      </c>
    </row>
    <row r="132" spans="1:32" x14ac:dyDescent="0.35">
      <c r="A132" s="3" t="s">
        <v>266</v>
      </c>
      <c r="B132" s="2">
        <v>755</v>
      </c>
      <c r="C132" s="3" t="s">
        <v>225</v>
      </c>
      <c r="D132">
        <v>3</v>
      </c>
      <c r="E132" s="50"/>
      <c r="F132" s="3">
        <v>2024</v>
      </c>
      <c r="G132" s="3">
        <v>8</v>
      </c>
      <c r="H132" s="3">
        <v>19</v>
      </c>
      <c r="I132">
        <v>98.6</v>
      </c>
      <c r="J132" s="3">
        <v>460</v>
      </c>
      <c r="M132" s="2" t="s">
        <v>86</v>
      </c>
      <c r="N132">
        <v>2</v>
      </c>
      <c r="O132">
        <v>0.28710000000000002</v>
      </c>
      <c r="P132" s="50"/>
      <c r="Q132" s="2" t="s">
        <v>373</v>
      </c>
      <c r="R132" s="2">
        <v>4.08</v>
      </c>
      <c r="S132" s="2" t="s">
        <v>211</v>
      </c>
      <c r="T132" s="2">
        <v>4.08</v>
      </c>
      <c r="U132" s="2">
        <v>3.9074</v>
      </c>
      <c r="V132" s="2">
        <v>1.1612</v>
      </c>
      <c r="W132" s="1">
        <f>T132*U132+V132</f>
        <v>17.103391999999999</v>
      </c>
      <c r="AC132" s="2">
        <v>20.936208352955429</v>
      </c>
      <c r="AD132" s="2">
        <f t="shared" si="6"/>
        <v>-0.39473369260406876</v>
      </c>
      <c r="AE132" s="2">
        <f t="shared" si="7"/>
        <v>0.40296405430254961</v>
      </c>
      <c r="AF132" s="2">
        <f t="shared" si="8"/>
        <v>1.7367750740439887</v>
      </c>
    </row>
    <row r="133" spans="1:32" x14ac:dyDescent="0.35">
      <c r="A133" s="3" t="s">
        <v>266</v>
      </c>
      <c r="B133" s="2">
        <v>755</v>
      </c>
      <c r="C133" s="3" t="s">
        <v>225</v>
      </c>
      <c r="D133">
        <v>3</v>
      </c>
      <c r="E133" s="50"/>
      <c r="F133" s="3">
        <v>2024</v>
      </c>
      <c r="G133" s="3">
        <v>8</v>
      </c>
      <c r="H133" s="3">
        <v>19</v>
      </c>
      <c r="I133">
        <v>98.6</v>
      </c>
      <c r="J133" s="3">
        <v>460</v>
      </c>
      <c r="M133" s="2" t="s">
        <v>86</v>
      </c>
      <c r="N133">
        <v>2</v>
      </c>
      <c r="O133">
        <v>0.28710000000000002</v>
      </c>
      <c r="P133" s="50"/>
      <c r="Q133" s="2" t="s">
        <v>374</v>
      </c>
      <c r="R133" s="2">
        <v>1.29</v>
      </c>
      <c r="S133" s="2" t="s">
        <v>215</v>
      </c>
      <c r="T133" s="2">
        <f>LN(R133)</f>
        <v>0.25464221837358075</v>
      </c>
      <c r="U133" s="2">
        <v>17.120999999999999</v>
      </c>
      <c r="V133" s="2">
        <v>16.844000000000001</v>
      </c>
      <c r="W133" s="1">
        <f>T133*U133+V133</f>
        <v>21.203729420774078</v>
      </c>
      <c r="AC133" s="2">
        <v>21.203729420774078</v>
      </c>
      <c r="AD133" s="2">
        <f t="shared" si="6"/>
        <v>-0.37693709276387821</v>
      </c>
      <c r="AE133" s="2">
        <f t="shared" si="7"/>
        <v>0.41981979017471199</v>
      </c>
      <c r="AF133" s="2">
        <f t="shared" si="8"/>
        <v>1.8094232956530085</v>
      </c>
    </row>
    <row r="134" spans="1:32" x14ac:dyDescent="0.35">
      <c r="A134" s="3" t="s">
        <v>267</v>
      </c>
      <c r="B134" s="2">
        <v>756</v>
      </c>
      <c r="C134" s="3" t="s">
        <v>225</v>
      </c>
      <c r="D134">
        <v>3</v>
      </c>
      <c r="E134" s="50"/>
      <c r="F134" s="3">
        <v>2024</v>
      </c>
      <c r="G134" s="3">
        <v>8</v>
      </c>
      <c r="H134" s="3">
        <v>19</v>
      </c>
      <c r="I134">
        <v>37.4</v>
      </c>
      <c r="J134" s="3">
        <v>325</v>
      </c>
      <c r="M134" s="2" t="s">
        <v>86</v>
      </c>
      <c r="N134">
        <v>1</v>
      </c>
      <c r="O134">
        <v>3.0499999999999999E-2</v>
      </c>
      <c r="P134" s="50"/>
      <c r="Q134" s="2" t="s">
        <v>375</v>
      </c>
      <c r="R134" s="2">
        <v>0.83</v>
      </c>
      <c r="S134" s="2" t="s">
        <v>215</v>
      </c>
      <c r="T134" s="2">
        <f>LN(R134)</f>
        <v>-0.18632957819149348</v>
      </c>
      <c r="U134" s="2">
        <v>17.120999999999999</v>
      </c>
      <c r="V134" s="2">
        <v>16.844000000000001</v>
      </c>
      <c r="W134" s="1">
        <f>T134*U134+V134</f>
        <v>13.653851291783441</v>
      </c>
      <c r="AC134" s="2">
        <v>21.726548669982535</v>
      </c>
      <c r="AD134" s="2">
        <f t="shared" si="6"/>
        <v>-0.34279607679517721</v>
      </c>
      <c r="AE134" s="2">
        <f t="shared" si="7"/>
        <v>0.45415481522742507</v>
      </c>
      <c r="AF134" s="2">
        <f t="shared" si="8"/>
        <v>1.9574072536302018</v>
      </c>
    </row>
    <row r="135" spans="1:32" x14ac:dyDescent="0.35">
      <c r="A135" s="3" t="s">
        <v>268</v>
      </c>
      <c r="B135" s="2">
        <v>758</v>
      </c>
      <c r="C135" s="3" t="s">
        <v>225</v>
      </c>
      <c r="D135">
        <v>3</v>
      </c>
      <c r="E135" s="50"/>
      <c r="F135" s="3">
        <v>2024</v>
      </c>
      <c r="G135" s="3">
        <v>8</v>
      </c>
      <c r="H135" s="3">
        <v>13</v>
      </c>
      <c r="I135">
        <v>205.8</v>
      </c>
      <c r="J135" s="3">
        <v>566</v>
      </c>
      <c r="M135" s="2" t="s">
        <v>86</v>
      </c>
      <c r="N135">
        <v>1</v>
      </c>
      <c r="O135">
        <v>0.1545</v>
      </c>
      <c r="P135" s="50"/>
      <c r="Q135" s="2" t="s">
        <v>378</v>
      </c>
      <c r="R135" s="2">
        <v>0.92</v>
      </c>
      <c r="S135" s="2" t="s">
        <v>215</v>
      </c>
      <c r="T135" s="2">
        <f>LN(R135)</f>
        <v>-8.3381608939051013E-2</v>
      </c>
      <c r="U135" s="2">
        <v>17.120999999999999</v>
      </c>
      <c r="V135" s="2">
        <v>16.844000000000001</v>
      </c>
      <c r="W135" s="1">
        <f>T135*U135+V135</f>
        <v>15.416423473354509</v>
      </c>
      <c r="AC135" s="2">
        <v>22.108445544384836</v>
      </c>
      <c r="AD135" s="2">
        <f t="shared" si="6"/>
        <v>-0.31837283887212386</v>
      </c>
      <c r="AE135" s="2">
        <f t="shared" si="7"/>
        <v>0.48042672826598698</v>
      </c>
      <c r="AF135" s="2">
        <f t="shared" si="8"/>
        <v>2.0706391988264037</v>
      </c>
    </row>
    <row r="136" spans="1:32" x14ac:dyDescent="0.35">
      <c r="A136" s="3" t="s">
        <v>269</v>
      </c>
      <c r="B136" s="2">
        <v>761</v>
      </c>
      <c r="C136" s="3" t="s">
        <v>20</v>
      </c>
      <c r="D136">
        <v>7</v>
      </c>
      <c r="E136" s="50"/>
      <c r="F136" s="3">
        <v>2024</v>
      </c>
      <c r="G136" s="3">
        <v>8</v>
      </c>
      <c r="H136" s="3">
        <v>5</v>
      </c>
      <c r="I136">
        <v>446.9</v>
      </c>
      <c r="J136" s="3">
        <v>704</v>
      </c>
      <c r="M136" s="2" t="s">
        <v>86</v>
      </c>
      <c r="N136">
        <v>1</v>
      </c>
      <c r="O136">
        <v>4.1500000000000002E-2</v>
      </c>
      <c r="P136" s="50"/>
      <c r="Q136" s="2" t="s">
        <v>379</v>
      </c>
      <c r="R136" s="2">
        <v>8.75</v>
      </c>
      <c r="S136" s="2" t="s">
        <v>216</v>
      </c>
      <c r="T136" s="4"/>
      <c r="U136" s="4"/>
      <c r="V136" s="4"/>
      <c r="W136" s="1">
        <v>8.75</v>
      </c>
      <c r="AC136" s="2">
        <v>22.31</v>
      </c>
      <c r="AD136" s="2">
        <f t="shared" si="6"/>
        <v>-0.30565248686594249</v>
      </c>
      <c r="AE136" s="2">
        <f t="shared" si="7"/>
        <v>0.49470638209383716</v>
      </c>
      <c r="AF136" s="2">
        <f t="shared" si="8"/>
        <v>2.1321845068244381</v>
      </c>
    </row>
    <row r="137" spans="1:32" x14ac:dyDescent="0.35">
      <c r="A137" s="3" t="s">
        <v>270</v>
      </c>
      <c r="B137" s="2">
        <v>766</v>
      </c>
      <c r="C137" s="3" t="s">
        <v>41</v>
      </c>
      <c r="D137" s="6" t="s">
        <v>318</v>
      </c>
      <c r="E137" s="71"/>
      <c r="F137" s="3">
        <v>2024</v>
      </c>
      <c r="G137" s="3">
        <v>8</v>
      </c>
      <c r="H137" s="3">
        <v>9</v>
      </c>
      <c r="I137">
        <v>295.39999999999998</v>
      </c>
      <c r="J137" s="3">
        <v>667</v>
      </c>
      <c r="M137" s="2" t="s">
        <v>86</v>
      </c>
      <c r="N137">
        <v>2</v>
      </c>
      <c r="O137">
        <v>0.54510000000000003</v>
      </c>
      <c r="P137" s="50"/>
      <c r="Q137" s="2" t="s">
        <v>28</v>
      </c>
      <c r="R137" s="2" t="s">
        <v>28</v>
      </c>
      <c r="S137" s="2" t="s">
        <v>28</v>
      </c>
      <c r="T137" s="4"/>
      <c r="U137" s="4"/>
      <c r="V137" s="4"/>
      <c r="W137" s="5"/>
      <c r="AC137" s="2">
        <v>22.847596298889073</v>
      </c>
      <c r="AD137" s="2">
        <f t="shared" si="6"/>
        <v>-0.27227811710305971</v>
      </c>
      <c r="AE137" s="2">
        <f t="shared" si="7"/>
        <v>0.53422214022623349</v>
      </c>
      <c r="AF137" s="2">
        <f t="shared" si="8"/>
        <v>2.302497424375066</v>
      </c>
    </row>
    <row r="138" spans="1:32" x14ac:dyDescent="0.35">
      <c r="A138" s="3" t="s">
        <v>270</v>
      </c>
      <c r="B138" s="2">
        <v>766</v>
      </c>
      <c r="C138" s="3" t="s">
        <v>41</v>
      </c>
      <c r="D138" s="6" t="s">
        <v>318</v>
      </c>
      <c r="E138" s="71"/>
      <c r="F138" s="3">
        <v>2024</v>
      </c>
      <c r="G138" s="3">
        <v>8</v>
      </c>
      <c r="H138" s="3">
        <v>9</v>
      </c>
      <c r="I138">
        <v>295.39999999999998</v>
      </c>
      <c r="J138" s="3">
        <v>667</v>
      </c>
      <c r="M138" s="2" t="s">
        <v>86</v>
      </c>
      <c r="N138">
        <v>2</v>
      </c>
      <c r="O138">
        <v>0.54510000000000003</v>
      </c>
      <c r="P138" s="50"/>
      <c r="Q138" s="2" t="s">
        <v>28</v>
      </c>
      <c r="R138" s="2" t="s">
        <v>28</v>
      </c>
      <c r="S138" s="2" t="s">
        <v>28</v>
      </c>
      <c r="T138" s="4"/>
      <c r="U138" s="4"/>
      <c r="V138" s="4"/>
      <c r="W138" s="5"/>
      <c r="AC138" s="2">
        <v>22.967744160377762</v>
      </c>
      <c r="AD138" s="2">
        <f t="shared" si="6"/>
        <v>-0.26492666343955396</v>
      </c>
      <c r="AE138" s="2">
        <f t="shared" si="7"/>
        <v>0.54334207448341298</v>
      </c>
      <c r="AF138" s="2">
        <f t="shared" si="8"/>
        <v>2.3418043410235097</v>
      </c>
    </row>
    <row r="139" spans="1:32" x14ac:dyDescent="0.35">
      <c r="A139" s="3" t="s">
        <v>271</v>
      </c>
      <c r="B139" s="2">
        <v>770</v>
      </c>
      <c r="C139" s="3" t="s">
        <v>225</v>
      </c>
      <c r="D139">
        <v>3</v>
      </c>
      <c r="E139" s="50"/>
      <c r="F139" s="3">
        <v>2024</v>
      </c>
      <c r="G139" s="3">
        <v>8</v>
      </c>
      <c r="H139" s="3">
        <v>15</v>
      </c>
      <c r="I139">
        <v>275.89999999999998</v>
      </c>
      <c r="J139" s="3">
        <v>597</v>
      </c>
      <c r="M139" s="2" t="s">
        <v>86</v>
      </c>
      <c r="N139">
        <v>1</v>
      </c>
      <c r="O139">
        <v>0.20330000000000001</v>
      </c>
      <c r="P139" s="50"/>
      <c r="Q139" s="2" t="s">
        <v>28</v>
      </c>
      <c r="R139" s="2" t="s">
        <v>28</v>
      </c>
      <c r="S139" s="2" t="s">
        <v>28</v>
      </c>
      <c r="T139" s="4"/>
      <c r="U139" s="4"/>
      <c r="V139" s="4"/>
      <c r="W139" s="5"/>
      <c r="AC139" s="2">
        <v>23.671445949790094</v>
      </c>
      <c r="AD139" s="2">
        <f t="shared" si="6"/>
        <v>-0.22262692165539288</v>
      </c>
      <c r="AE139" s="2">
        <f t="shared" si="7"/>
        <v>0.59892587819492227</v>
      </c>
      <c r="AF139" s="2">
        <f t="shared" si="8"/>
        <v>2.5813705350201146</v>
      </c>
    </row>
    <row r="140" spans="1:32" x14ac:dyDescent="0.35">
      <c r="A140" s="3" t="s">
        <v>272</v>
      </c>
      <c r="B140" s="2">
        <v>771</v>
      </c>
      <c r="C140" s="3" t="s">
        <v>225</v>
      </c>
      <c r="D140">
        <v>3</v>
      </c>
      <c r="E140" s="50"/>
      <c r="F140" s="3">
        <v>2024</v>
      </c>
      <c r="G140" s="3">
        <v>8</v>
      </c>
      <c r="H140" s="3">
        <v>15</v>
      </c>
      <c r="I140">
        <v>72.8</v>
      </c>
      <c r="J140" s="3">
        <v>409</v>
      </c>
      <c r="M140" s="2" t="s">
        <v>86</v>
      </c>
      <c r="N140">
        <v>1</v>
      </c>
      <c r="O140">
        <v>9.7199999999999995E-2</v>
      </c>
      <c r="P140" s="50"/>
      <c r="Q140" s="2" t="s">
        <v>380</v>
      </c>
      <c r="R140" s="2">
        <v>10.91</v>
      </c>
      <c r="S140" s="2" t="s">
        <v>216</v>
      </c>
      <c r="T140" s="4"/>
      <c r="U140" s="4"/>
      <c r="V140" s="4"/>
      <c r="W140" s="1">
        <v>10.91</v>
      </c>
      <c r="AC140" s="2">
        <v>24.347362672472311</v>
      </c>
      <c r="AD140" s="2">
        <f t="shared" si="6"/>
        <v>-0.18316505744264067</v>
      </c>
      <c r="AE140" s="2">
        <f t="shared" si="7"/>
        <v>0.65589593989818229</v>
      </c>
      <c r="AF140" s="2">
        <f t="shared" si="8"/>
        <v>2.8269115009611654</v>
      </c>
    </row>
    <row r="141" spans="1:32" x14ac:dyDescent="0.35">
      <c r="A141" s="3" t="s">
        <v>273</v>
      </c>
      <c r="B141" s="2">
        <v>772</v>
      </c>
      <c r="C141" s="3" t="s">
        <v>225</v>
      </c>
      <c r="D141">
        <v>3</v>
      </c>
      <c r="E141" s="50"/>
      <c r="F141" s="3">
        <v>2024</v>
      </c>
      <c r="G141" s="3">
        <v>8</v>
      </c>
      <c r="H141" s="3">
        <v>15</v>
      </c>
      <c r="I141">
        <v>61.8</v>
      </c>
      <c r="J141" s="3">
        <v>397</v>
      </c>
      <c r="M141" s="2" t="s">
        <v>86</v>
      </c>
      <c r="N141">
        <v>1</v>
      </c>
      <c r="O141">
        <v>0.11119999999999999</v>
      </c>
      <c r="P141" s="50"/>
      <c r="Q141" s="2" t="s">
        <v>381</v>
      </c>
      <c r="R141" s="2">
        <v>15.09</v>
      </c>
      <c r="S141" s="2" t="s">
        <v>216</v>
      </c>
      <c r="T141" s="4"/>
      <c r="U141" s="4"/>
      <c r="V141" s="4"/>
      <c r="W141" s="1">
        <v>15.09</v>
      </c>
      <c r="AC141" s="2">
        <v>24.783590091910472</v>
      </c>
      <c r="AD141" s="2">
        <f t="shared" si="6"/>
        <v>-0.15827440456094788</v>
      </c>
      <c r="AE141" s="2">
        <f t="shared" si="7"/>
        <v>0.69458531223233544</v>
      </c>
      <c r="AF141" s="2">
        <f t="shared" si="8"/>
        <v>2.9936626957213655</v>
      </c>
    </row>
    <row r="142" spans="1:32" x14ac:dyDescent="0.35">
      <c r="A142" s="3" t="s">
        <v>274</v>
      </c>
      <c r="B142" s="2">
        <v>773</v>
      </c>
      <c r="C142" s="3" t="s">
        <v>225</v>
      </c>
      <c r="D142">
        <v>3</v>
      </c>
      <c r="E142" s="50"/>
      <c r="F142" s="3">
        <v>2024</v>
      </c>
      <c r="G142" s="2">
        <v>8</v>
      </c>
      <c r="H142" s="3">
        <v>15</v>
      </c>
      <c r="I142">
        <v>70.400000000000006</v>
      </c>
      <c r="J142" s="3">
        <v>415</v>
      </c>
      <c r="M142" s="2" t="s">
        <v>86</v>
      </c>
      <c r="N142">
        <v>1</v>
      </c>
      <c r="O142">
        <v>0.11260000000000001</v>
      </c>
      <c r="P142" s="50"/>
      <c r="Q142" s="2" t="s">
        <v>28</v>
      </c>
      <c r="R142" s="2" t="s">
        <v>28</v>
      </c>
      <c r="S142" s="2" t="s">
        <v>28</v>
      </c>
      <c r="T142" s="4"/>
      <c r="U142" s="4"/>
      <c r="V142" s="4"/>
      <c r="W142" s="5"/>
      <c r="AC142" s="2">
        <v>25.624053308085152</v>
      </c>
      <c r="AD142" s="2">
        <f t="shared" si="6"/>
        <v>-0.1115299961701961</v>
      </c>
      <c r="AE142" s="2">
        <f t="shared" si="7"/>
        <v>0.77351725107234615</v>
      </c>
      <c r="AF142" s="2">
        <f t="shared" si="8"/>
        <v>3.3338593521218116</v>
      </c>
    </row>
    <row r="143" spans="1:32" x14ac:dyDescent="0.35">
      <c r="A143" s="3" t="s">
        <v>275</v>
      </c>
      <c r="B143" s="2">
        <v>774</v>
      </c>
      <c r="C143" s="3" t="s">
        <v>225</v>
      </c>
      <c r="D143">
        <v>3</v>
      </c>
      <c r="E143" s="50"/>
      <c r="F143" s="3">
        <v>2024</v>
      </c>
      <c r="G143" s="2">
        <v>8</v>
      </c>
      <c r="H143" s="3">
        <v>15</v>
      </c>
      <c r="I143">
        <v>57.1</v>
      </c>
      <c r="J143" s="3">
        <v>315</v>
      </c>
      <c r="M143" s="2" t="s">
        <v>86</v>
      </c>
      <c r="N143">
        <v>1</v>
      </c>
      <c r="O143">
        <v>4.1000000000000002E-2</v>
      </c>
      <c r="P143" s="50"/>
      <c r="Q143" s="2" t="s">
        <v>382</v>
      </c>
      <c r="R143" s="2">
        <v>1.77</v>
      </c>
      <c r="S143" s="2" t="s">
        <v>211</v>
      </c>
      <c r="T143" s="2">
        <v>1.77</v>
      </c>
      <c r="U143" s="2">
        <v>3.9074</v>
      </c>
      <c r="V143" s="2">
        <v>1.1612</v>
      </c>
      <c r="W143" s="1">
        <f>T143*U143+V143</f>
        <v>8.077297999999999</v>
      </c>
      <c r="AC143" s="2">
        <v>25.624053308085152</v>
      </c>
      <c r="AD143" s="2">
        <f t="shared" si="6"/>
        <v>-0.1115299961701961</v>
      </c>
      <c r="AE143" s="2">
        <f t="shared" si="7"/>
        <v>0.77351725107234615</v>
      </c>
      <c r="AF143" s="2">
        <f t="shared" si="8"/>
        <v>3.3338593521218116</v>
      </c>
    </row>
    <row r="144" spans="1:32" x14ac:dyDescent="0.35">
      <c r="A144" s="3" t="s">
        <v>276</v>
      </c>
      <c r="B144" s="2">
        <v>775</v>
      </c>
      <c r="C144" s="3" t="s">
        <v>225</v>
      </c>
      <c r="D144">
        <v>4</v>
      </c>
      <c r="E144" s="50"/>
      <c r="F144" s="3">
        <v>2024</v>
      </c>
      <c r="G144" s="3">
        <v>8</v>
      </c>
      <c r="H144" s="3">
        <v>14</v>
      </c>
      <c r="I144">
        <v>53.7</v>
      </c>
      <c r="J144" s="3">
        <v>404</v>
      </c>
      <c r="M144" s="2" t="s">
        <v>86</v>
      </c>
      <c r="N144">
        <v>1</v>
      </c>
      <c r="O144">
        <v>1.21E-2</v>
      </c>
      <c r="P144" s="50"/>
      <c r="Q144" s="2" t="s">
        <v>28</v>
      </c>
      <c r="R144" s="2" t="s">
        <v>28</v>
      </c>
      <c r="S144" s="2" t="s">
        <v>28</v>
      </c>
      <c r="T144" s="4"/>
      <c r="U144" s="4"/>
      <c r="V144" s="4"/>
      <c r="W144" s="5"/>
      <c r="AC144" s="2">
        <v>26.029302996579929</v>
      </c>
      <c r="AD144" s="2">
        <f t="shared" si="6"/>
        <v>-8.9536202013111854E-2</v>
      </c>
      <c r="AE144" s="2">
        <f t="shared" si="7"/>
        <v>0.81369902945244277</v>
      </c>
      <c r="AF144" s="2">
        <f t="shared" si="8"/>
        <v>3.5070428169400278</v>
      </c>
    </row>
    <row r="145" spans="1:32" x14ac:dyDescent="0.35">
      <c r="A145" s="3" t="s">
        <v>277</v>
      </c>
      <c r="B145" s="2">
        <v>777</v>
      </c>
      <c r="C145" s="3" t="s">
        <v>225</v>
      </c>
      <c r="D145">
        <v>3</v>
      </c>
      <c r="E145" s="50"/>
      <c r="F145" s="3">
        <v>2024</v>
      </c>
      <c r="G145" s="3">
        <v>8</v>
      </c>
      <c r="H145" s="3">
        <v>13</v>
      </c>
      <c r="I145">
        <v>264.60000000000002</v>
      </c>
      <c r="J145" s="3">
        <v>627</v>
      </c>
      <c r="M145" s="2" t="s">
        <v>86</v>
      </c>
      <c r="N145">
        <v>1</v>
      </c>
      <c r="O145">
        <v>0.21920000000000001</v>
      </c>
      <c r="P145" s="50"/>
      <c r="Q145" s="2" t="s">
        <v>383</v>
      </c>
      <c r="R145" s="2">
        <v>0.76</v>
      </c>
      <c r="S145" s="2" t="s">
        <v>215</v>
      </c>
      <c r="T145" s="2">
        <f>LN(R145)</f>
        <v>-0.2744368457017603</v>
      </c>
      <c r="U145" s="2">
        <v>17.120999999999999</v>
      </c>
      <c r="V145" s="2">
        <v>16.844000000000001</v>
      </c>
      <c r="W145" s="1">
        <f>T145*U145+V145</f>
        <v>12.145366764740164</v>
      </c>
      <c r="AC145" s="2">
        <v>26.907495489789181</v>
      </c>
      <c r="AD145" s="2">
        <f t="shared" si="6"/>
        <v>-4.3026988548363398E-2</v>
      </c>
      <c r="AE145" s="2">
        <f t="shared" si="7"/>
        <v>0.905676317317339</v>
      </c>
      <c r="AF145" s="2">
        <f t="shared" si="8"/>
        <v>3.9034649276377307</v>
      </c>
    </row>
    <row r="146" spans="1:32" x14ac:dyDescent="0.35">
      <c r="A146" s="3" t="s">
        <v>278</v>
      </c>
      <c r="B146" s="2">
        <v>778</v>
      </c>
      <c r="C146" s="3" t="s">
        <v>225</v>
      </c>
      <c r="D146">
        <v>3</v>
      </c>
      <c r="E146" s="50"/>
      <c r="F146" s="3">
        <v>2024</v>
      </c>
      <c r="G146" s="3">
        <v>8</v>
      </c>
      <c r="H146" s="3">
        <v>19</v>
      </c>
      <c r="I146">
        <v>71</v>
      </c>
      <c r="J146" s="3">
        <v>413</v>
      </c>
      <c r="M146" s="2" t="s">
        <v>86</v>
      </c>
      <c r="N146">
        <v>2</v>
      </c>
      <c r="O146">
        <v>0.1321</v>
      </c>
      <c r="P146" s="50"/>
      <c r="Q146" s="2" t="s">
        <v>28</v>
      </c>
      <c r="R146" s="2" t="s">
        <v>28</v>
      </c>
      <c r="S146" s="2" t="s">
        <v>28</v>
      </c>
      <c r="T146" s="4"/>
      <c r="U146" s="4"/>
      <c r="V146" s="4"/>
      <c r="W146" s="5"/>
      <c r="AC146" s="2">
        <v>28.101399969938434</v>
      </c>
      <c r="AD146" s="2">
        <f t="shared" si="6"/>
        <v>1.7824606320748337E-2</v>
      </c>
      <c r="AE146" s="2">
        <f t="shared" si="7"/>
        <v>1.0418965652433654</v>
      </c>
      <c r="AF146" s="2">
        <f t="shared" si="8"/>
        <v>4.4905741961989047</v>
      </c>
    </row>
    <row r="147" spans="1:32" x14ac:dyDescent="0.35">
      <c r="A147" s="3" t="s">
        <v>278</v>
      </c>
      <c r="B147" s="2">
        <v>778</v>
      </c>
      <c r="C147" s="3" t="s">
        <v>225</v>
      </c>
      <c r="D147">
        <v>3</v>
      </c>
      <c r="E147" s="50"/>
      <c r="F147" s="3">
        <v>2024</v>
      </c>
      <c r="G147" s="3">
        <v>8</v>
      </c>
      <c r="H147" s="3">
        <v>19</v>
      </c>
      <c r="I147">
        <v>71</v>
      </c>
      <c r="J147" s="3">
        <v>413</v>
      </c>
      <c r="M147" s="2" t="s">
        <v>86</v>
      </c>
      <c r="N147">
        <v>2</v>
      </c>
      <c r="O147">
        <v>0.1321</v>
      </c>
      <c r="P147" s="50"/>
      <c r="Q147" s="2" t="s">
        <v>28</v>
      </c>
      <c r="R147" s="2" t="s">
        <v>28</v>
      </c>
      <c r="S147" s="2" t="s">
        <v>28</v>
      </c>
      <c r="T147" s="4"/>
      <c r="U147" s="4"/>
      <c r="V147" s="4"/>
      <c r="W147" s="5"/>
      <c r="AC147" s="2">
        <v>29.464985973587417</v>
      </c>
      <c r="AD147" s="2">
        <f t="shared" si="6"/>
        <v>8.4238954751772788E-2</v>
      </c>
      <c r="AE147" s="2">
        <f t="shared" si="7"/>
        <v>1.2140566572738138</v>
      </c>
      <c r="AF147" s="2">
        <f t="shared" si="8"/>
        <v>5.2325841928501369</v>
      </c>
    </row>
    <row r="148" spans="1:32" x14ac:dyDescent="0.35">
      <c r="A148" s="3" t="s">
        <v>279</v>
      </c>
      <c r="B148" s="2">
        <v>779</v>
      </c>
      <c r="C148" s="3" t="s">
        <v>225</v>
      </c>
      <c r="D148">
        <v>3</v>
      </c>
      <c r="E148" s="50"/>
      <c r="F148" s="3">
        <v>2024</v>
      </c>
      <c r="G148" s="3">
        <v>8</v>
      </c>
      <c r="H148" s="3">
        <v>19</v>
      </c>
      <c r="I148">
        <v>57.6</v>
      </c>
      <c r="J148" s="3">
        <v>380</v>
      </c>
      <c r="M148" s="2" t="s">
        <v>86</v>
      </c>
      <c r="N148">
        <v>2</v>
      </c>
      <c r="O148">
        <v>0.1188</v>
      </c>
      <c r="P148" s="50"/>
      <c r="Q148" s="2" t="s">
        <v>371</v>
      </c>
      <c r="R148" s="2">
        <v>9.94</v>
      </c>
      <c r="S148" s="2" t="s">
        <v>216</v>
      </c>
      <c r="T148" s="4"/>
      <c r="U148" s="4"/>
      <c r="V148" s="4"/>
      <c r="W148" s="1">
        <v>9.94</v>
      </c>
      <c r="AC148" s="2">
        <v>30.108103835664096</v>
      </c>
      <c r="AD148" s="2">
        <f t="shared" si="6"/>
        <v>0.11450282175797355</v>
      </c>
      <c r="AE148" s="2">
        <f t="shared" si="7"/>
        <v>1.301675772979052</v>
      </c>
      <c r="AF148" s="2">
        <f t="shared" si="8"/>
        <v>5.6102225815397135</v>
      </c>
    </row>
    <row r="149" spans="1:32" x14ac:dyDescent="0.35">
      <c r="A149" s="3" t="s">
        <v>279</v>
      </c>
      <c r="B149" s="2">
        <v>779</v>
      </c>
      <c r="C149" s="3" t="s">
        <v>225</v>
      </c>
      <c r="D149">
        <v>3</v>
      </c>
      <c r="E149" s="50"/>
      <c r="F149" s="3">
        <v>2024</v>
      </c>
      <c r="G149" s="3">
        <v>8</v>
      </c>
      <c r="H149" s="3">
        <v>19</v>
      </c>
      <c r="I149">
        <v>57.6</v>
      </c>
      <c r="J149" s="3">
        <v>380</v>
      </c>
      <c r="M149" s="2" t="s">
        <v>86</v>
      </c>
      <c r="N149">
        <v>2</v>
      </c>
      <c r="O149">
        <v>0.1188</v>
      </c>
      <c r="P149" s="50"/>
      <c r="Q149" s="2" t="s">
        <v>384</v>
      </c>
      <c r="R149" s="2">
        <v>0.93</v>
      </c>
      <c r="S149" s="2" t="s">
        <v>215</v>
      </c>
      <c r="T149" s="2">
        <f>LN(R149)</f>
        <v>-7.2570692834835374E-2</v>
      </c>
      <c r="U149" s="2">
        <v>17.120999999999999</v>
      </c>
      <c r="V149" s="2">
        <v>16.844000000000001</v>
      </c>
      <c r="W149" s="1">
        <f>T149*U149+V149</f>
        <v>15.601517167974785</v>
      </c>
      <c r="AC149" s="2">
        <v>30.954707759026867</v>
      </c>
      <c r="AD149" s="2">
        <f t="shared" si="6"/>
        <v>0.15337137813526169</v>
      </c>
      <c r="AE149" s="2">
        <f t="shared" si="7"/>
        <v>1.4235455829795409</v>
      </c>
      <c r="AF149" s="2">
        <f t="shared" si="8"/>
        <v>6.1354814626418213</v>
      </c>
    </row>
    <row r="150" spans="1:32" x14ac:dyDescent="0.35">
      <c r="A150" s="3" t="s">
        <v>280</v>
      </c>
      <c r="B150" s="2">
        <v>784</v>
      </c>
      <c r="C150" s="3" t="s">
        <v>225</v>
      </c>
      <c r="D150">
        <v>3</v>
      </c>
      <c r="E150" s="50"/>
      <c r="F150" s="3">
        <v>2024</v>
      </c>
      <c r="G150" s="3">
        <v>8</v>
      </c>
      <c r="H150" s="3">
        <v>19</v>
      </c>
      <c r="I150">
        <v>52.1</v>
      </c>
      <c r="J150" s="3">
        <v>372</v>
      </c>
      <c r="M150" s="2" t="s">
        <v>86</v>
      </c>
      <c r="N150">
        <v>1</v>
      </c>
      <c r="O150">
        <v>0.113</v>
      </c>
      <c r="P150" s="50"/>
      <c r="Q150" s="2" t="s">
        <v>385</v>
      </c>
      <c r="R150" s="2">
        <v>9.7200000000000006</v>
      </c>
      <c r="S150" s="2" t="s">
        <v>216</v>
      </c>
      <c r="T150" s="4"/>
      <c r="U150" s="4"/>
      <c r="V150" s="4"/>
      <c r="W150" s="1">
        <v>9.7200000000000006</v>
      </c>
      <c r="AC150" s="2">
        <v>32.463192286070147</v>
      </c>
      <c r="AD150" s="2">
        <f t="shared" si="6"/>
        <v>0.22006403691717757</v>
      </c>
      <c r="AE150" s="2">
        <f t="shared" si="7"/>
        <v>1.6598316323173143</v>
      </c>
      <c r="AF150" s="2">
        <f t="shared" si="8"/>
        <v>7.1538743352876244</v>
      </c>
    </row>
    <row r="151" spans="1:32" x14ac:dyDescent="0.35">
      <c r="A151" s="3" t="s">
        <v>281</v>
      </c>
      <c r="B151" s="2">
        <v>785</v>
      </c>
      <c r="C151" s="3" t="s">
        <v>225</v>
      </c>
      <c r="D151">
        <v>3</v>
      </c>
      <c r="E151" s="50"/>
      <c r="F151" s="3">
        <v>2024</v>
      </c>
      <c r="G151" s="3">
        <v>8</v>
      </c>
      <c r="H151" s="3">
        <v>19</v>
      </c>
      <c r="I151">
        <v>75.2</v>
      </c>
      <c r="J151" s="3">
        <v>42.8</v>
      </c>
      <c r="M151" s="2" t="s">
        <v>86</v>
      </c>
      <c r="N151">
        <v>1</v>
      </c>
      <c r="O151">
        <v>3.1899999999999998E-2</v>
      </c>
      <c r="P151" s="50"/>
      <c r="Q151" s="2" t="s">
        <v>28</v>
      </c>
      <c r="R151" s="2" t="s">
        <v>28</v>
      </c>
      <c r="S151" s="2" t="s">
        <v>28</v>
      </c>
      <c r="T151" s="4"/>
      <c r="U151" s="4"/>
      <c r="V151" s="4"/>
      <c r="W151" s="5"/>
    </row>
    <row r="152" spans="1:32" x14ac:dyDescent="0.35">
      <c r="A152" s="3" t="s">
        <v>282</v>
      </c>
      <c r="B152" s="2">
        <v>787</v>
      </c>
      <c r="C152" s="3" t="s">
        <v>225</v>
      </c>
      <c r="D152">
        <v>3</v>
      </c>
      <c r="E152" s="50"/>
      <c r="F152" s="3">
        <v>2024</v>
      </c>
      <c r="G152" s="3">
        <v>8</v>
      </c>
      <c r="H152" s="3">
        <v>19</v>
      </c>
      <c r="I152">
        <v>71.2</v>
      </c>
      <c r="J152" s="3">
        <v>396</v>
      </c>
      <c r="M152" s="2" t="s">
        <v>86</v>
      </c>
      <c r="N152">
        <v>1</v>
      </c>
      <c r="O152">
        <v>3.7699999999999997E-2</v>
      </c>
      <c r="P152" s="50"/>
      <c r="Q152" s="2" t="s">
        <v>367</v>
      </c>
      <c r="R152" s="2">
        <v>0.77</v>
      </c>
      <c r="S152" s="2" t="s">
        <v>215</v>
      </c>
      <c r="T152" s="2">
        <f t="shared" ref="T152:T157" si="9">LN(R152)</f>
        <v>-0.26136476413440751</v>
      </c>
      <c r="U152" s="2">
        <v>17.120999999999999</v>
      </c>
      <c r="V152" s="2">
        <v>16.844000000000001</v>
      </c>
      <c r="W152" s="1">
        <f t="shared" ref="W152:W157" si="10">T152*U152+V152</f>
        <v>12.369173873254811</v>
      </c>
    </row>
    <row r="153" spans="1:32" x14ac:dyDescent="0.35">
      <c r="A153" s="3" t="s">
        <v>283</v>
      </c>
      <c r="B153" s="2">
        <v>792</v>
      </c>
      <c r="C153" s="3" t="s">
        <v>225</v>
      </c>
      <c r="D153">
        <v>3</v>
      </c>
      <c r="E153" s="50"/>
      <c r="F153" s="3">
        <v>2024</v>
      </c>
      <c r="G153" s="3">
        <v>8</v>
      </c>
      <c r="H153" s="3">
        <v>19</v>
      </c>
      <c r="I153">
        <v>350.4</v>
      </c>
      <c r="J153" s="3">
        <v>669</v>
      </c>
      <c r="M153" s="2" t="s">
        <v>86</v>
      </c>
      <c r="N153">
        <v>2</v>
      </c>
      <c r="O153">
        <v>0.31019999999999998</v>
      </c>
      <c r="P153" s="50"/>
      <c r="Q153" s="2" t="s">
        <v>386</v>
      </c>
      <c r="R153" s="2">
        <v>0.85</v>
      </c>
      <c r="S153" s="2" t="s">
        <v>215</v>
      </c>
      <c r="T153" s="2">
        <f t="shared" si="9"/>
        <v>-0.16251892949777494</v>
      </c>
      <c r="U153" s="2">
        <v>17.120999999999999</v>
      </c>
      <c r="V153" s="2">
        <v>16.844000000000001</v>
      </c>
      <c r="W153" s="1">
        <f t="shared" si="10"/>
        <v>14.061513408068597</v>
      </c>
    </row>
    <row r="154" spans="1:32" x14ac:dyDescent="0.35">
      <c r="A154" s="3" t="s">
        <v>283</v>
      </c>
      <c r="B154" s="2">
        <v>792</v>
      </c>
      <c r="C154" s="3" t="s">
        <v>225</v>
      </c>
      <c r="D154">
        <v>3</v>
      </c>
      <c r="E154" s="50"/>
      <c r="F154" s="3">
        <v>2024</v>
      </c>
      <c r="G154" s="3">
        <v>8</v>
      </c>
      <c r="H154" s="3">
        <v>19</v>
      </c>
      <c r="I154">
        <v>350.4</v>
      </c>
      <c r="J154" s="3">
        <v>669</v>
      </c>
      <c r="M154" s="2" t="s">
        <v>86</v>
      </c>
      <c r="N154">
        <v>2</v>
      </c>
      <c r="O154">
        <v>0.31019999999999998</v>
      </c>
      <c r="P154" s="50"/>
      <c r="Q154" s="2" t="s">
        <v>353</v>
      </c>
      <c r="R154" s="2">
        <v>1.27</v>
      </c>
      <c r="S154" s="2" t="s">
        <v>215</v>
      </c>
      <c r="T154" s="2">
        <f t="shared" si="9"/>
        <v>0.23901690047049992</v>
      </c>
      <c r="U154" s="2">
        <v>17.120999999999999</v>
      </c>
      <c r="V154" s="2">
        <v>16.844000000000001</v>
      </c>
      <c r="W154" s="1">
        <f t="shared" si="10"/>
        <v>20.936208352955429</v>
      </c>
    </row>
    <row r="155" spans="1:32" x14ac:dyDescent="0.35">
      <c r="A155" s="3" t="s">
        <v>284</v>
      </c>
      <c r="B155" s="2">
        <v>793</v>
      </c>
      <c r="C155" s="3" t="s">
        <v>225</v>
      </c>
      <c r="D155">
        <v>3</v>
      </c>
      <c r="E155" s="50"/>
      <c r="F155" s="3">
        <v>2024</v>
      </c>
      <c r="G155" s="3">
        <v>8</v>
      </c>
      <c r="H155" s="3">
        <v>19</v>
      </c>
      <c r="I155">
        <v>128.30000000000001</v>
      </c>
      <c r="J155" s="3">
        <v>481</v>
      </c>
      <c r="M155" s="2" t="s">
        <v>86</v>
      </c>
      <c r="N155">
        <v>1</v>
      </c>
      <c r="O155">
        <v>8.6199999999999999E-2</v>
      </c>
      <c r="P155" s="50"/>
      <c r="Q155" s="2" t="s">
        <v>377</v>
      </c>
      <c r="R155" s="2">
        <v>0.86</v>
      </c>
      <c r="S155" s="2" t="s">
        <v>215</v>
      </c>
      <c r="T155" s="2">
        <f t="shared" si="9"/>
        <v>-0.15082288973458366</v>
      </c>
      <c r="U155" s="2">
        <v>17.120999999999999</v>
      </c>
      <c r="V155" s="2">
        <v>16.844000000000001</v>
      </c>
      <c r="W155" s="1">
        <f t="shared" si="10"/>
        <v>14.261761304854195</v>
      </c>
    </row>
    <row r="156" spans="1:32" x14ac:dyDescent="0.35">
      <c r="A156" s="3" t="s">
        <v>285</v>
      </c>
      <c r="B156" s="2">
        <v>794</v>
      </c>
      <c r="C156" s="3" t="s">
        <v>225</v>
      </c>
      <c r="D156">
        <v>3</v>
      </c>
      <c r="E156" s="50"/>
      <c r="F156" s="3">
        <v>2024</v>
      </c>
      <c r="G156" s="3">
        <v>8</v>
      </c>
      <c r="H156" s="3">
        <v>19</v>
      </c>
      <c r="I156">
        <v>148.80000000000001</v>
      </c>
      <c r="J156" s="3">
        <v>502</v>
      </c>
      <c r="M156" s="2" t="s">
        <v>86</v>
      </c>
      <c r="N156">
        <v>2</v>
      </c>
      <c r="O156">
        <v>0.53879999999999995</v>
      </c>
      <c r="P156" s="50"/>
      <c r="Q156" s="2" t="s">
        <v>387</v>
      </c>
      <c r="R156" s="2">
        <v>0.91</v>
      </c>
      <c r="S156" s="2" t="s">
        <v>215</v>
      </c>
      <c r="T156" s="2">
        <f t="shared" si="9"/>
        <v>-9.431067947124129E-2</v>
      </c>
      <c r="U156" s="2">
        <v>17.120999999999999</v>
      </c>
      <c r="V156" s="2">
        <v>16.844000000000001</v>
      </c>
      <c r="W156" s="1">
        <f t="shared" si="10"/>
        <v>15.22930685677288</v>
      </c>
    </row>
    <row r="157" spans="1:32" x14ac:dyDescent="0.35">
      <c r="A157" s="3" t="s">
        <v>285</v>
      </c>
      <c r="B157" s="2">
        <v>794</v>
      </c>
      <c r="C157" s="3" t="s">
        <v>225</v>
      </c>
      <c r="D157">
        <v>3</v>
      </c>
      <c r="E157" s="50"/>
      <c r="F157" s="3">
        <v>2024</v>
      </c>
      <c r="G157" s="3">
        <v>8</v>
      </c>
      <c r="H157" s="3">
        <v>19</v>
      </c>
      <c r="I157">
        <v>148.80000000000001</v>
      </c>
      <c r="J157" s="3">
        <v>502</v>
      </c>
      <c r="M157" s="2" t="s">
        <v>86</v>
      </c>
      <c r="N157">
        <v>2</v>
      </c>
      <c r="O157">
        <v>0.53879999999999995</v>
      </c>
      <c r="P157" s="50"/>
      <c r="Q157" s="2" t="s">
        <v>195</v>
      </c>
      <c r="R157" s="2">
        <v>1.67</v>
      </c>
      <c r="S157" s="2" t="s">
        <v>215</v>
      </c>
      <c r="T157" s="2">
        <f t="shared" si="9"/>
        <v>0.51282362642866375</v>
      </c>
      <c r="U157" s="2">
        <v>17.120999999999999</v>
      </c>
      <c r="V157" s="2">
        <v>16.844000000000001</v>
      </c>
      <c r="W157" s="1">
        <f t="shared" si="10"/>
        <v>25.624053308085152</v>
      </c>
    </row>
    <row r="158" spans="1:32" x14ac:dyDescent="0.35">
      <c r="A158" s="3" t="s">
        <v>286</v>
      </c>
      <c r="B158" s="2">
        <v>795</v>
      </c>
      <c r="C158" s="3" t="s">
        <v>225</v>
      </c>
      <c r="D158">
        <v>3</v>
      </c>
      <c r="E158" s="50"/>
      <c r="F158" s="3">
        <v>2024</v>
      </c>
      <c r="G158" s="3">
        <v>8</v>
      </c>
      <c r="H158" s="3">
        <v>19</v>
      </c>
      <c r="I158">
        <v>49.8</v>
      </c>
      <c r="J158" s="3">
        <v>381</v>
      </c>
      <c r="M158" s="2" t="s">
        <v>86</v>
      </c>
      <c r="N158">
        <v>2</v>
      </c>
      <c r="O158">
        <v>0.15540000000000001</v>
      </c>
      <c r="P158" s="50"/>
      <c r="Q158" s="2" t="s">
        <v>388</v>
      </c>
      <c r="R158" s="2">
        <v>8.15</v>
      </c>
      <c r="S158" s="2" t="s">
        <v>216</v>
      </c>
      <c r="T158" s="4"/>
      <c r="U158" s="4"/>
      <c r="V158" s="4"/>
      <c r="W158" s="1">
        <v>8.15</v>
      </c>
    </row>
    <row r="159" spans="1:32" x14ac:dyDescent="0.35">
      <c r="A159" s="3" t="s">
        <v>286</v>
      </c>
      <c r="B159" s="2">
        <v>795</v>
      </c>
      <c r="C159" s="3" t="s">
        <v>225</v>
      </c>
      <c r="D159">
        <v>3</v>
      </c>
      <c r="E159" s="50"/>
      <c r="F159" s="3">
        <v>2024</v>
      </c>
      <c r="G159" s="3">
        <v>8</v>
      </c>
      <c r="H159" s="3">
        <v>19</v>
      </c>
      <c r="I159">
        <v>49.8</v>
      </c>
      <c r="J159" s="3">
        <v>381</v>
      </c>
      <c r="M159" s="2" t="s">
        <v>86</v>
      </c>
      <c r="N159">
        <v>2</v>
      </c>
      <c r="O159">
        <v>0.15540000000000001</v>
      </c>
      <c r="P159" s="50"/>
      <c r="Q159" s="2" t="s">
        <v>28</v>
      </c>
      <c r="R159" s="2" t="s">
        <v>28</v>
      </c>
      <c r="S159" s="2" t="s">
        <v>28</v>
      </c>
      <c r="T159" s="4"/>
      <c r="U159" s="4"/>
      <c r="V159" s="4"/>
      <c r="W159" s="5"/>
    </row>
    <row r="160" spans="1:32" x14ac:dyDescent="0.35">
      <c r="A160" s="3" t="s">
        <v>287</v>
      </c>
      <c r="B160" s="2">
        <v>796</v>
      </c>
      <c r="C160" s="3" t="s">
        <v>225</v>
      </c>
      <c r="D160">
        <v>3</v>
      </c>
      <c r="E160" s="50"/>
      <c r="F160" s="3">
        <v>2024</v>
      </c>
      <c r="G160" s="3">
        <v>8</v>
      </c>
      <c r="H160" s="3">
        <v>19</v>
      </c>
      <c r="I160">
        <v>83.6</v>
      </c>
      <c r="J160" s="3">
        <v>434</v>
      </c>
      <c r="M160" s="2" t="s">
        <v>86</v>
      </c>
      <c r="N160">
        <v>1</v>
      </c>
      <c r="O160">
        <v>0.14169999999999999</v>
      </c>
      <c r="P160" s="50"/>
      <c r="Q160" s="2" t="s">
        <v>389</v>
      </c>
      <c r="R160" s="2">
        <v>1.02</v>
      </c>
      <c r="S160" s="2" t="s">
        <v>215</v>
      </c>
      <c r="T160" s="2">
        <f>LN(R160)</f>
        <v>1.980262729617973E-2</v>
      </c>
      <c r="U160" s="2">
        <v>17.120999999999999</v>
      </c>
      <c r="V160" s="2">
        <v>16.844000000000001</v>
      </c>
      <c r="W160" s="1">
        <f>T160*U160+V160</f>
        <v>17.183040781937894</v>
      </c>
    </row>
    <row r="161" spans="1:23" x14ac:dyDescent="0.35">
      <c r="A161" s="3" t="s">
        <v>288</v>
      </c>
      <c r="B161" s="2">
        <v>798</v>
      </c>
      <c r="C161" s="3" t="s">
        <v>225</v>
      </c>
      <c r="D161">
        <v>3</v>
      </c>
      <c r="E161" s="50"/>
      <c r="F161" s="3">
        <v>2024</v>
      </c>
      <c r="G161" s="3">
        <v>8</v>
      </c>
      <c r="H161" s="3">
        <v>19</v>
      </c>
      <c r="I161">
        <v>86.2</v>
      </c>
      <c r="J161" s="3">
        <v>440</v>
      </c>
      <c r="M161" s="2" t="s">
        <v>86</v>
      </c>
      <c r="N161">
        <v>1</v>
      </c>
      <c r="O161">
        <v>0.1386</v>
      </c>
      <c r="P161" s="50"/>
      <c r="Q161" s="2" t="s">
        <v>28</v>
      </c>
      <c r="R161" s="2" t="s">
        <v>28</v>
      </c>
      <c r="S161" s="2" t="s">
        <v>28</v>
      </c>
      <c r="T161" s="4"/>
      <c r="U161" s="4"/>
      <c r="V161" s="4"/>
      <c r="W161" s="5"/>
    </row>
    <row r="162" spans="1:23" x14ac:dyDescent="0.35">
      <c r="A162" s="3" t="s">
        <v>289</v>
      </c>
      <c r="B162" s="2">
        <v>799</v>
      </c>
      <c r="C162" s="3" t="s">
        <v>225</v>
      </c>
      <c r="D162">
        <v>3</v>
      </c>
      <c r="E162" s="50"/>
      <c r="F162" s="3">
        <v>2024</v>
      </c>
      <c r="G162" s="3">
        <v>8</v>
      </c>
      <c r="H162" s="3">
        <v>19</v>
      </c>
      <c r="I162">
        <v>319.3</v>
      </c>
      <c r="J162" s="3">
        <v>655</v>
      </c>
      <c r="M162" s="2" t="s">
        <v>86</v>
      </c>
      <c r="N162">
        <v>1</v>
      </c>
      <c r="O162">
        <v>0.29260000000000003</v>
      </c>
      <c r="P162" s="50"/>
      <c r="Q162" s="2" t="s">
        <v>390</v>
      </c>
      <c r="R162" s="2">
        <v>1.1200000000000001</v>
      </c>
      <c r="S162" s="2" t="s">
        <v>215</v>
      </c>
      <c r="T162" s="2">
        <f>LN(R162)</f>
        <v>0.11332868530700327</v>
      </c>
      <c r="U162" s="2">
        <v>17.120999999999999</v>
      </c>
      <c r="V162" s="2">
        <v>16.844000000000001</v>
      </c>
      <c r="W162" s="1">
        <f>T162*U162+V162</f>
        <v>18.784300421141204</v>
      </c>
    </row>
    <row r="163" spans="1:23" x14ac:dyDescent="0.35">
      <c r="A163" s="3" t="s">
        <v>290</v>
      </c>
      <c r="B163" s="2">
        <v>800</v>
      </c>
      <c r="C163" s="3" t="s">
        <v>225</v>
      </c>
      <c r="D163">
        <v>3</v>
      </c>
      <c r="E163" s="50"/>
      <c r="F163" s="3">
        <v>2024</v>
      </c>
      <c r="G163" s="3">
        <v>6</v>
      </c>
      <c r="H163" s="3">
        <v>19</v>
      </c>
      <c r="I163">
        <v>182.5</v>
      </c>
      <c r="J163" s="3">
        <v>524</v>
      </c>
      <c r="M163" s="2" t="s">
        <v>86</v>
      </c>
      <c r="N163">
        <v>1</v>
      </c>
      <c r="O163">
        <v>0.1041</v>
      </c>
      <c r="P163" s="50"/>
      <c r="Q163" s="2" t="s">
        <v>391</v>
      </c>
      <c r="R163" s="2">
        <v>6.59</v>
      </c>
      <c r="S163" s="2" t="s">
        <v>212</v>
      </c>
      <c r="T163" s="2">
        <f>LOG(R163)</f>
        <v>0.81888541459400987</v>
      </c>
      <c r="U163">
        <v>0.75049999999999994</v>
      </c>
      <c r="V163">
        <v>0.53800000000000003</v>
      </c>
      <c r="W163" s="1">
        <f>10^(T163*U163+V163)</f>
        <v>14.209326831147663</v>
      </c>
    </row>
    <row r="164" spans="1:23" x14ac:dyDescent="0.35">
      <c r="A164" s="3" t="s">
        <v>291</v>
      </c>
      <c r="B164" s="2">
        <v>802</v>
      </c>
      <c r="C164" s="3" t="s">
        <v>225</v>
      </c>
      <c r="D164">
        <v>3</v>
      </c>
      <c r="E164" s="50"/>
      <c r="F164" s="3">
        <v>2024</v>
      </c>
      <c r="G164" s="3">
        <v>6</v>
      </c>
      <c r="H164" s="3">
        <v>19</v>
      </c>
      <c r="I164">
        <v>33.4</v>
      </c>
      <c r="J164" s="3">
        <v>335</v>
      </c>
      <c r="M164" s="2" t="s">
        <v>86</v>
      </c>
      <c r="N164">
        <v>4</v>
      </c>
      <c r="O164">
        <v>2.7E-2</v>
      </c>
      <c r="P164" s="50"/>
      <c r="Q164" s="2" t="s">
        <v>392</v>
      </c>
      <c r="R164" s="2">
        <v>2.94</v>
      </c>
      <c r="S164" s="2" t="s">
        <v>216</v>
      </c>
      <c r="T164" s="4"/>
      <c r="U164" s="4"/>
      <c r="V164" s="4"/>
      <c r="W164" s="1">
        <v>2.94</v>
      </c>
    </row>
    <row r="165" spans="1:23" x14ac:dyDescent="0.35">
      <c r="A165" s="3" t="s">
        <v>291</v>
      </c>
      <c r="B165" s="2">
        <v>802</v>
      </c>
      <c r="C165" s="3" t="s">
        <v>225</v>
      </c>
      <c r="D165">
        <v>4</v>
      </c>
      <c r="E165" s="50"/>
      <c r="F165" s="3">
        <v>2024</v>
      </c>
      <c r="G165" s="3">
        <v>6</v>
      </c>
      <c r="H165" s="3">
        <v>19</v>
      </c>
      <c r="I165">
        <v>33.4</v>
      </c>
      <c r="J165" s="3">
        <v>335</v>
      </c>
      <c r="M165" s="2" t="s">
        <v>86</v>
      </c>
      <c r="N165">
        <v>4</v>
      </c>
      <c r="O165">
        <v>2.7E-2</v>
      </c>
      <c r="P165" s="50"/>
      <c r="Q165" s="2" t="s">
        <v>393</v>
      </c>
      <c r="R165" s="2">
        <v>4.0199999999999996</v>
      </c>
      <c r="S165" s="2" t="s">
        <v>216</v>
      </c>
      <c r="T165" s="4"/>
      <c r="U165" s="4"/>
      <c r="V165" s="4"/>
      <c r="W165" s="1">
        <v>4.0199999999999996</v>
      </c>
    </row>
    <row r="166" spans="1:23" x14ac:dyDescent="0.35">
      <c r="A166" s="3" t="s">
        <v>291</v>
      </c>
      <c r="B166" s="2">
        <v>802</v>
      </c>
      <c r="C166" s="3" t="s">
        <v>225</v>
      </c>
      <c r="D166">
        <v>5</v>
      </c>
      <c r="E166" s="50"/>
      <c r="F166" s="3">
        <v>2024</v>
      </c>
      <c r="G166" s="3">
        <v>6</v>
      </c>
      <c r="H166" s="3">
        <v>19</v>
      </c>
      <c r="I166">
        <v>33.4</v>
      </c>
      <c r="J166" s="3">
        <v>335</v>
      </c>
      <c r="M166" s="2" t="s">
        <v>86</v>
      </c>
      <c r="N166">
        <v>4</v>
      </c>
      <c r="O166">
        <v>2.7E-2</v>
      </c>
      <c r="P166" s="50"/>
      <c r="Q166" s="2" t="s">
        <v>394</v>
      </c>
      <c r="R166" s="2">
        <v>4.29</v>
      </c>
      <c r="S166" s="2" t="s">
        <v>216</v>
      </c>
      <c r="T166" s="4"/>
      <c r="U166" s="4"/>
      <c r="V166" s="4"/>
      <c r="W166" s="1">
        <v>4.29</v>
      </c>
    </row>
    <row r="167" spans="1:23" x14ac:dyDescent="0.35">
      <c r="A167" s="3" t="s">
        <v>291</v>
      </c>
      <c r="B167" s="2">
        <v>802</v>
      </c>
      <c r="C167" s="3" t="s">
        <v>225</v>
      </c>
      <c r="D167">
        <v>6</v>
      </c>
      <c r="E167" s="50"/>
      <c r="F167" s="3">
        <v>2024</v>
      </c>
      <c r="G167" s="3">
        <v>6</v>
      </c>
      <c r="H167" s="3">
        <v>19</v>
      </c>
      <c r="I167">
        <v>33.4</v>
      </c>
      <c r="J167" s="3">
        <v>335</v>
      </c>
      <c r="M167" s="2" t="s">
        <v>86</v>
      </c>
      <c r="N167">
        <v>4</v>
      </c>
      <c r="O167">
        <v>2.7E-2</v>
      </c>
      <c r="P167" s="50"/>
      <c r="Q167" s="2" t="s">
        <v>28</v>
      </c>
      <c r="R167" s="2" t="s">
        <v>28</v>
      </c>
      <c r="S167" s="2" t="s">
        <v>28</v>
      </c>
      <c r="T167" s="4"/>
      <c r="U167" s="4"/>
      <c r="V167" s="4"/>
      <c r="W167" s="5"/>
    </row>
    <row r="168" spans="1:23" x14ac:dyDescent="0.35">
      <c r="A168" s="3" t="s">
        <v>292</v>
      </c>
      <c r="B168" s="2">
        <v>803</v>
      </c>
      <c r="C168" s="3" t="s">
        <v>225</v>
      </c>
      <c r="D168">
        <v>3</v>
      </c>
      <c r="E168" s="50"/>
      <c r="F168" s="3">
        <v>2024</v>
      </c>
      <c r="G168" s="3">
        <v>6</v>
      </c>
      <c r="H168" s="3">
        <v>19</v>
      </c>
      <c r="I168">
        <v>30.9</v>
      </c>
      <c r="J168" s="3">
        <v>322</v>
      </c>
      <c r="K168" s="50"/>
      <c r="M168" s="2" t="s">
        <v>86</v>
      </c>
      <c r="N168">
        <v>1</v>
      </c>
      <c r="O168">
        <v>2.98E-2</v>
      </c>
      <c r="P168" s="50"/>
      <c r="Q168" s="2" t="s">
        <v>395</v>
      </c>
      <c r="R168" s="2">
        <v>2.94</v>
      </c>
      <c r="S168" s="2" t="s">
        <v>211</v>
      </c>
      <c r="T168" s="2">
        <v>2.94</v>
      </c>
      <c r="U168" s="2">
        <v>3.9074</v>
      </c>
      <c r="V168" s="2">
        <v>1.1612</v>
      </c>
      <c r="W168" s="1">
        <f>T168*U168+V168</f>
        <v>12.648955999999998</v>
      </c>
    </row>
    <row r="169" spans="1:23" x14ac:dyDescent="0.35">
      <c r="A169" s="3" t="s">
        <v>293</v>
      </c>
      <c r="B169" s="2">
        <v>806</v>
      </c>
      <c r="C169" s="3" t="s">
        <v>20</v>
      </c>
      <c r="D169">
        <v>6</v>
      </c>
      <c r="E169" s="50"/>
      <c r="F169" s="3">
        <v>2024</v>
      </c>
      <c r="G169" s="3">
        <v>8</v>
      </c>
      <c r="H169" s="3">
        <v>7</v>
      </c>
      <c r="I169">
        <v>40.200000000000003</v>
      </c>
      <c r="J169" s="3">
        <v>364</v>
      </c>
      <c r="K169" s="50"/>
      <c r="M169" s="2" t="s">
        <v>86</v>
      </c>
      <c r="N169">
        <v>1</v>
      </c>
      <c r="O169">
        <v>1.5699999999999999E-2</v>
      </c>
      <c r="P169" s="50"/>
      <c r="Q169" s="2" t="s">
        <v>396</v>
      </c>
      <c r="R169" s="2">
        <v>0.64</v>
      </c>
      <c r="S169" s="2" t="s">
        <v>215</v>
      </c>
      <c r="T169" s="2">
        <f>LN(R169)</f>
        <v>-0.44628710262841947</v>
      </c>
      <c r="U169" s="2">
        <v>17.120999999999999</v>
      </c>
      <c r="V169" s="2">
        <v>16.844000000000001</v>
      </c>
      <c r="W169" s="1">
        <f>T169*U169+V169</f>
        <v>9.2031185158988329</v>
      </c>
    </row>
    <row r="170" spans="1:23" x14ac:dyDescent="0.35">
      <c r="A170" s="3" t="s">
        <v>294</v>
      </c>
      <c r="B170" s="2">
        <v>807</v>
      </c>
      <c r="C170" s="3" t="s">
        <v>20</v>
      </c>
      <c r="D170">
        <v>6</v>
      </c>
      <c r="E170" s="50"/>
      <c r="F170" s="3">
        <v>2024</v>
      </c>
      <c r="G170" s="3">
        <v>8</v>
      </c>
      <c r="H170" s="3">
        <v>7</v>
      </c>
      <c r="I170">
        <v>6.66</v>
      </c>
      <c r="J170" s="3">
        <v>412</v>
      </c>
      <c r="K170" s="50"/>
      <c r="M170" s="2" t="s">
        <v>86</v>
      </c>
      <c r="N170">
        <v>1</v>
      </c>
      <c r="O170">
        <v>2.1999999999999999E-2</v>
      </c>
      <c r="P170" s="50"/>
      <c r="Q170" s="2" t="s">
        <v>397</v>
      </c>
      <c r="R170" s="2">
        <v>4.72</v>
      </c>
      <c r="S170" s="2" t="s">
        <v>212</v>
      </c>
      <c r="T170" s="2">
        <f>LOG(R170)</f>
        <v>0.67394199863408777</v>
      </c>
      <c r="U170">
        <v>0.75049999999999994</v>
      </c>
      <c r="V170">
        <v>0.53800000000000003</v>
      </c>
      <c r="W170" s="1">
        <f>10^(T170*U170+V170)</f>
        <v>11.060976508768015</v>
      </c>
    </row>
    <row r="171" spans="1:23" x14ac:dyDescent="0.35">
      <c r="A171" s="3" t="s">
        <v>295</v>
      </c>
      <c r="B171" s="2">
        <v>808</v>
      </c>
      <c r="C171" s="3" t="s">
        <v>225</v>
      </c>
      <c r="D171">
        <v>3</v>
      </c>
      <c r="E171" s="50"/>
      <c r="F171" s="3">
        <v>2024</v>
      </c>
      <c r="G171" s="3">
        <v>8</v>
      </c>
      <c r="H171" s="3">
        <v>19</v>
      </c>
      <c r="I171">
        <v>79.5</v>
      </c>
      <c r="J171" s="3">
        <v>425</v>
      </c>
      <c r="K171" s="50"/>
      <c r="M171" s="2" t="s">
        <v>86</v>
      </c>
      <c r="N171">
        <v>2</v>
      </c>
      <c r="O171">
        <v>0.13719999999999999</v>
      </c>
      <c r="P171" s="50"/>
      <c r="Q171" s="2" t="s">
        <v>398</v>
      </c>
      <c r="R171" s="2">
        <v>12.57</v>
      </c>
      <c r="S171" s="2" t="s">
        <v>216</v>
      </c>
      <c r="T171" s="4"/>
      <c r="U171" s="4"/>
      <c r="V171" s="4"/>
      <c r="W171" s="1">
        <v>12.57</v>
      </c>
    </row>
    <row r="172" spans="1:23" x14ac:dyDescent="0.35">
      <c r="A172" s="3" t="s">
        <v>295</v>
      </c>
      <c r="B172" s="2">
        <v>808</v>
      </c>
      <c r="C172" s="3" t="s">
        <v>225</v>
      </c>
      <c r="D172">
        <v>3</v>
      </c>
      <c r="E172" s="50"/>
      <c r="F172" s="3">
        <v>2024</v>
      </c>
      <c r="G172" s="3">
        <v>8</v>
      </c>
      <c r="H172" s="3">
        <v>19</v>
      </c>
      <c r="I172">
        <v>79.5</v>
      </c>
      <c r="J172" s="3">
        <v>425</v>
      </c>
      <c r="K172" s="50"/>
      <c r="M172" s="2" t="s">
        <v>86</v>
      </c>
      <c r="N172">
        <v>2</v>
      </c>
      <c r="O172">
        <v>0.13719999999999999</v>
      </c>
      <c r="P172" s="50"/>
      <c r="Q172" s="2" t="s">
        <v>376</v>
      </c>
      <c r="R172" s="2">
        <v>0.87</v>
      </c>
      <c r="S172" s="2" t="s">
        <v>215</v>
      </c>
      <c r="T172" s="2">
        <f>LN(R172)</f>
        <v>-0.13926206733350766</v>
      </c>
      <c r="U172" s="2">
        <v>17.120999999999999</v>
      </c>
      <c r="V172" s="2">
        <v>16.844000000000001</v>
      </c>
      <c r="W172" s="1">
        <f>T172*U172+V172</f>
        <v>14.459694145183017</v>
      </c>
    </row>
    <row r="173" spans="1:23" x14ac:dyDescent="0.35">
      <c r="A173" s="3" t="s">
        <v>296</v>
      </c>
      <c r="B173" s="2">
        <v>809</v>
      </c>
      <c r="C173" s="3" t="s">
        <v>225</v>
      </c>
      <c r="D173">
        <v>3</v>
      </c>
      <c r="E173" s="50"/>
      <c r="F173" s="3">
        <v>2024</v>
      </c>
      <c r="G173" s="3">
        <v>8</v>
      </c>
      <c r="H173" s="3">
        <v>19</v>
      </c>
      <c r="I173">
        <v>49.8</v>
      </c>
      <c r="J173" s="3">
        <v>337</v>
      </c>
      <c r="K173" s="50"/>
      <c r="M173" s="2" t="s">
        <v>86</v>
      </c>
      <c r="N173">
        <v>1</v>
      </c>
      <c r="O173">
        <v>1.5699999999999999E-2</v>
      </c>
      <c r="P173" s="50"/>
      <c r="Q173" s="2" t="s">
        <v>399</v>
      </c>
      <c r="R173" s="2">
        <v>7.29</v>
      </c>
      <c r="S173" s="2" t="s">
        <v>216</v>
      </c>
      <c r="T173" s="4"/>
      <c r="U173" s="4"/>
      <c r="V173" s="4"/>
      <c r="W173" s="1">
        <v>7.29</v>
      </c>
    </row>
    <row r="174" spans="1:23" x14ac:dyDescent="0.35">
      <c r="A174" s="3" t="s">
        <v>297</v>
      </c>
      <c r="B174" s="2">
        <v>811</v>
      </c>
      <c r="C174" s="3" t="s">
        <v>225</v>
      </c>
      <c r="D174">
        <v>3</v>
      </c>
      <c r="E174" s="50"/>
      <c r="F174" s="3">
        <v>2024</v>
      </c>
      <c r="G174">
        <v>8</v>
      </c>
      <c r="H174" s="3">
        <v>19</v>
      </c>
      <c r="I174">
        <v>20.7</v>
      </c>
      <c r="J174" s="3">
        <v>287</v>
      </c>
      <c r="K174" s="50"/>
      <c r="M174" s="2" t="s">
        <v>86</v>
      </c>
      <c r="N174">
        <v>1</v>
      </c>
      <c r="O174">
        <v>2.07E-2</v>
      </c>
      <c r="P174" s="50"/>
      <c r="Q174" s="2" t="s">
        <v>383</v>
      </c>
      <c r="R174" s="2">
        <v>0.76</v>
      </c>
      <c r="S174" s="2" t="s">
        <v>215</v>
      </c>
      <c r="T174" s="2">
        <f>LN(R174)</f>
        <v>-0.2744368457017603</v>
      </c>
      <c r="U174" s="2">
        <v>17.120999999999999</v>
      </c>
      <c r="V174" s="2">
        <v>16.844000000000001</v>
      </c>
      <c r="W174" s="1">
        <f>T174*U174+V174</f>
        <v>12.145366764740164</v>
      </c>
    </row>
    <row r="175" spans="1:23" x14ac:dyDescent="0.35">
      <c r="A175" s="3" t="s">
        <v>298</v>
      </c>
      <c r="B175" s="2">
        <v>812</v>
      </c>
      <c r="C175" s="3" t="s">
        <v>225</v>
      </c>
      <c r="D175">
        <v>3</v>
      </c>
      <c r="E175" s="50"/>
      <c r="F175" s="3">
        <v>2024</v>
      </c>
      <c r="G175">
        <v>8</v>
      </c>
      <c r="H175" s="3">
        <v>19</v>
      </c>
      <c r="I175">
        <v>266.89999999999998</v>
      </c>
      <c r="J175" s="3">
        <v>615</v>
      </c>
      <c r="K175" s="50"/>
      <c r="M175" s="2" t="s">
        <v>86</v>
      </c>
      <c r="N175">
        <v>1</v>
      </c>
      <c r="O175">
        <v>8.2699999999999996E-2</v>
      </c>
      <c r="P175" s="50"/>
      <c r="Q175" s="2" t="s">
        <v>400</v>
      </c>
      <c r="R175" s="2">
        <v>1.05</v>
      </c>
      <c r="S175" s="2" t="s">
        <v>215</v>
      </c>
      <c r="T175" s="2">
        <f>LN(R175)</f>
        <v>4.8790164169432049E-2</v>
      </c>
      <c r="U175" s="2">
        <v>17.120999999999999</v>
      </c>
      <c r="V175" s="2">
        <v>16.844000000000001</v>
      </c>
      <c r="W175" s="1">
        <f>T175*U175+V175</f>
        <v>17.679336400744848</v>
      </c>
    </row>
    <row r="176" spans="1:23" x14ac:dyDescent="0.35">
      <c r="A176" s="3" t="s">
        <v>299</v>
      </c>
      <c r="B176" s="2">
        <v>813</v>
      </c>
      <c r="C176" s="3" t="s">
        <v>225</v>
      </c>
      <c r="D176">
        <v>3</v>
      </c>
      <c r="E176" s="50"/>
      <c r="F176" s="3">
        <v>2024</v>
      </c>
      <c r="G176">
        <v>8</v>
      </c>
      <c r="H176" s="3">
        <v>19</v>
      </c>
      <c r="I176">
        <v>58.9</v>
      </c>
      <c r="J176" s="3">
        <v>364</v>
      </c>
      <c r="K176" s="50"/>
      <c r="M176" s="2" t="s">
        <v>86</v>
      </c>
      <c r="N176">
        <v>1</v>
      </c>
      <c r="O176">
        <v>4.2200000000000001E-2</v>
      </c>
      <c r="P176" s="50"/>
      <c r="Q176" s="2" t="s">
        <v>28</v>
      </c>
      <c r="R176" s="2" t="s">
        <v>28</v>
      </c>
      <c r="S176" s="2" t="s">
        <v>28</v>
      </c>
      <c r="T176" s="4"/>
      <c r="U176" s="4"/>
      <c r="V176" s="4"/>
      <c r="W176" s="5"/>
    </row>
    <row r="177" spans="1:23" x14ac:dyDescent="0.35">
      <c r="A177" s="3" t="s">
        <v>300</v>
      </c>
      <c r="B177" s="2">
        <v>814</v>
      </c>
      <c r="C177" s="3" t="s">
        <v>225</v>
      </c>
      <c r="D177">
        <v>3</v>
      </c>
      <c r="E177" s="50"/>
      <c r="F177" s="3">
        <v>2024</v>
      </c>
      <c r="G177">
        <v>8</v>
      </c>
      <c r="H177" s="3">
        <v>19</v>
      </c>
      <c r="I177">
        <v>147</v>
      </c>
      <c r="J177" s="3">
        <v>464</v>
      </c>
      <c r="K177" s="50"/>
      <c r="M177" s="2" t="s">
        <v>86</v>
      </c>
      <c r="N177">
        <v>3</v>
      </c>
      <c r="O177">
        <v>0.29089999999999999</v>
      </c>
      <c r="P177" s="50"/>
      <c r="Q177" s="2" t="s">
        <v>401</v>
      </c>
      <c r="R177" s="2">
        <v>8.7799999999999994</v>
      </c>
      <c r="S177" s="2" t="s">
        <v>216</v>
      </c>
      <c r="T177" s="4"/>
      <c r="U177" s="4"/>
      <c r="V177" s="4"/>
      <c r="W177" s="1">
        <v>8.7799999999999994</v>
      </c>
    </row>
    <row r="178" spans="1:23" x14ac:dyDescent="0.35">
      <c r="A178" s="3" t="s">
        <v>300</v>
      </c>
      <c r="B178" s="2">
        <v>814</v>
      </c>
      <c r="C178" s="3" t="s">
        <v>225</v>
      </c>
      <c r="D178">
        <v>3</v>
      </c>
      <c r="E178" s="50"/>
      <c r="F178" s="3">
        <v>2024</v>
      </c>
      <c r="G178">
        <v>8</v>
      </c>
      <c r="H178" s="3">
        <v>19</v>
      </c>
      <c r="I178">
        <v>147</v>
      </c>
      <c r="J178" s="3">
        <v>464</v>
      </c>
      <c r="K178" s="50"/>
      <c r="M178" s="2" t="s">
        <v>86</v>
      </c>
      <c r="N178">
        <v>3</v>
      </c>
      <c r="O178">
        <v>0.29089999999999999</v>
      </c>
      <c r="P178" s="50"/>
      <c r="Q178" s="2" t="s">
        <v>402</v>
      </c>
      <c r="R178" s="2">
        <v>1.01</v>
      </c>
      <c r="S178" s="2" t="s">
        <v>215</v>
      </c>
      <c r="T178" s="2">
        <f>LN(R178)</f>
        <v>9.950330853168092E-3</v>
      </c>
      <c r="U178" s="2">
        <v>17.120999999999999</v>
      </c>
      <c r="V178" s="2">
        <v>16.844000000000001</v>
      </c>
      <c r="W178" s="1">
        <f>T178*U178+V178</f>
        <v>17.014359614537092</v>
      </c>
    </row>
    <row r="179" spans="1:23" x14ac:dyDescent="0.35">
      <c r="A179" s="3" t="s">
        <v>300</v>
      </c>
      <c r="B179" s="2">
        <v>814</v>
      </c>
      <c r="C179" s="3" t="s">
        <v>225</v>
      </c>
      <c r="D179">
        <v>3</v>
      </c>
      <c r="E179" s="50"/>
      <c r="F179" s="3">
        <v>2024</v>
      </c>
      <c r="G179">
        <v>8</v>
      </c>
      <c r="H179" s="3">
        <v>19</v>
      </c>
      <c r="I179">
        <v>147</v>
      </c>
      <c r="J179" s="3">
        <v>464</v>
      </c>
      <c r="K179" s="50"/>
      <c r="M179" s="2" t="s">
        <v>86</v>
      </c>
      <c r="N179">
        <v>3</v>
      </c>
      <c r="O179">
        <v>0.29089999999999999</v>
      </c>
      <c r="P179" s="50"/>
      <c r="Q179" s="2" t="s">
        <v>403</v>
      </c>
      <c r="R179" s="2">
        <v>1.55</v>
      </c>
      <c r="S179" s="2" t="s">
        <v>215</v>
      </c>
      <c r="T179" s="2">
        <f>LN(R179)</f>
        <v>0.43825493093115531</v>
      </c>
      <c r="U179" s="2">
        <v>17.120999999999999</v>
      </c>
      <c r="V179" s="2">
        <v>16.844000000000001</v>
      </c>
      <c r="W179" s="1">
        <f>T179*U179+V179</f>
        <v>24.347362672472311</v>
      </c>
    </row>
    <row r="180" spans="1:23" x14ac:dyDescent="0.35">
      <c r="A180" s="3" t="s">
        <v>301</v>
      </c>
      <c r="B180" s="2">
        <v>818</v>
      </c>
      <c r="C180" s="3" t="s">
        <v>225</v>
      </c>
      <c r="D180">
        <v>3</v>
      </c>
      <c r="E180" s="50"/>
      <c r="F180" s="3">
        <v>2024</v>
      </c>
      <c r="G180">
        <v>8</v>
      </c>
      <c r="H180" s="3">
        <v>19</v>
      </c>
      <c r="I180">
        <v>96</v>
      </c>
      <c r="J180" s="3">
        <v>470</v>
      </c>
      <c r="K180" s="50"/>
      <c r="M180" s="2" t="s">
        <v>86</v>
      </c>
      <c r="N180">
        <v>2</v>
      </c>
      <c r="O180">
        <v>8.3199999999999996E-2</v>
      </c>
      <c r="P180" s="50"/>
      <c r="Q180" s="2" t="s">
        <v>405</v>
      </c>
      <c r="R180" s="2">
        <v>0.57999999999999996</v>
      </c>
      <c r="S180" s="2" t="s">
        <v>215</v>
      </c>
      <c r="T180" s="2">
        <f>LN(R180)</f>
        <v>-0.54472717544167215</v>
      </c>
      <c r="U180" s="2">
        <v>17.120999999999999</v>
      </c>
      <c r="V180" s="2">
        <v>16.844000000000001</v>
      </c>
      <c r="W180" s="1">
        <f>T180*U180+V180</f>
        <v>7.5177260292631338</v>
      </c>
    </row>
    <row r="181" spans="1:23" x14ac:dyDescent="0.35">
      <c r="A181" s="3" t="s">
        <v>301</v>
      </c>
      <c r="B181" s="2">
        <v>818</v>
      </c>
      <c r="C181" s="3" t="s">
        <v>225</v>
      </c>
      <c r="D181">
        <v>3</v>
      </c>
      <c r="E181" s="50"/>
      <c r="F181" s="3">
        <v>2024</v>
      </c>
      <c r="G181">
        <v>8</v>
      </c>
      <c r="H181" s="3">
        <v>19</v>
      </c>
      <c r="I181">
        <v>96</v>
      </c>
      <c r="J181" s="3">
        <v>470</v>
      </c>
      <c r="K181" s="50"/>
      <c r="M181" s="2" t="s">
        <v>86</v>
      </c>
      <c r="N181">
        <v>2</v>
      </c>
      <c r="O181">
        <v>8.3199999999999996E-2</v>
      </c>
      <c r="P181" s="50"/>
      <c r="Q181" s="2" t="s">
        <v>404</v>
      </c>
      <c r="R181" s="2">
        <v>0.78</v>
      </c>
      <c r="S181" s="2" t="s">
        <v>215</v>
      </c>
      <c r="T181" s="2">
        <f>LN(R181)</f>
        <v>-0.24846135929849961</v>
      </c>
      <c r="U181" s="2">
        <v>17.120999999999999</v>
      </c>
      <c r="V181" s="2">
        <v>16.844000000000001</v>
      </c>
      <c r="W181" s="1">
        <f>T181*U181+V181</f>
        <v>12.59009306745039</v>
      </c>
    </row>
    <row r="182" spans="1:23" x14ac:dyDescent="0.35">
      <c r="A182" s="3" t="s">
        <v>302</v>
      </c>
      <c r="B182" s="2">
        <v>820</v>
      </c>
      <c r="C182" s="3" t="s">
        <v>225</v>
      </c>
      <c r="D182">
        <v>3</v>
      </c>
      <c r="E182" s="50"/>
      <c r="F182" s="3">
        <v>2024</v>
      </c>
      <c r="G182">
        <v>8</v>
      </c>
      <c r="H182" s="3">
        <v>19</v>
      </c>
      <c r="I182">
        <v>304.10000000000002</v>
      </c>
      <c r="J182" s="3">
        <v>650</v>
      </c>
      <c r="K182" s="50"/>
      <c r="M182" s="2" t="s">
        <v>86</v>
      </c>
      <c r="N182">
        <v>2</v>
      </c>
      <c r="O182">
        <v>0.31740000000000002</v>
      </c>
      <c r="P182" s="50"/>
      <c r="Q182" s="2" t="s">
        <v>353</v>
      </c>
      <c r="R182" s="2">
        <v>1.27</v>
      </c>
      <c r="S182" s="2" t="s">
        <v>215</v>
      </c>
      <c r="T182" s="2">
        <f>LN(R182)</f>
        <v>0.23901690047049992</v>
      </c>
      <c r="U182" s="2">
        <v>17.120999999999999</v>
      </c>
      <c r="V182" s="2">
        <v>16.844000000000001</v>
      </c>
      <c r="W182" s="1">
        <f>T182*U182+V182</f>
        <v>20.936208352955429</v>
      </c>
    </row>
    <row r="183" spans="1:23" x14ac:dyDescent="0.35">
      <c r="A183" s="3" t="s">
        <v>302</v>
      </c>
      <c r="B183" s="2">
        <v>820</v>
      </c>
      <c r="C183" s="3" t="s">
        <v>225</v>
      </c>
      <c r="D183">
        <v>3</v>
      </c>
      <c r="E183" s="50"/>
      <c r="F183" s="3">
        <v>2024</v>
      </c>
      <c r="G183">
        <v>8</v>
      </c>
      <c r="H183" s="3">
        <v>19</v>
      </c>
      <c r="I183">
        <v>304.10000000000002</v>
      </c>
      <c r="J183" s="3">
        <v>650</v>
      </c>
      <c r="K183" s="50"/>
      <c r="M183" s="2" t="s">
        <v>86</v>
      </c>
      <c r="N183">
        <v>2</v>
      </c>
      <c r="O183">
        <v>0.31740000000000002</v>
      </c>
      <c r="P183" s="50"/>
      <c r="Q183" s="2" t="s">
        <v>28</v>
      </c>
      <c r="R183" s="2" t="s">
        <v>28</v>
      </c>
      <c r="S183" s="2" t="s">
        <v>28</v>
      </c>
      <c r="T183" s="4"/>
      <c r="U183" s="4"/>
      <c r="V183" s="4"/>
      <c r="W183" s="5"/>
    </row>
    <row r="184" spans="1:23" x14ac:dyDescent="0.35">
      <c r="A184" s="3" t="s">
        <v>303</v>
      </c>
      <c r="B184" s="2">
        <v>821</v>
      </c>
      <c r="C184" s="3" t="s">
        <v>225</v>
      </c>
      <c r="D184">
        <v>3</v>
      </c>
      <c r="E184" s="50"/>
      <c r="F184" s="3">
        <v>2024</v>
      </c>
      <c r="G184">
        <v>8</v>
      </c>
      <c r="H184" s="3">
        <v>19</v>
      </c>
      <c r="I184">
        <v>243.9</v>
      </c>
      <c r="J184" s="3">
        <v>587</v>
      </c>
      <c r="K184" s="50"/>
      <c r="M184" s="2" t="s">
        <v>86</v>
      </c>
      <c r="N184">
        <v>1</v>
      </c>
      <c r="O184">
        <v>6.4399999999999999E-2</v>
      </c>
      <c r="P184" s="50"/>
      <c r="Q184" s="2" t="s">
        <v>28</v>
      </c>
      <c r="R184" s="2" t="s">
        <v>28</v>
      </c>
      <c r="S184" s="2" t="s">
        <v>28</v>
      </c>
      <c r="T184" s="4"/>
      <c r="U184" s="4"/>
      <c r="V184" s="4"/>
      <c r="W184" s="5"/>
    </row>
    <row r="185" spans="1:23" x14ac:dyDescent="0.35">
      <c r="A185" s="3" t="s">
        <v>304</v>
      </c>
      <c r="B185" s="2">
        <v>822</v>
      </c>
      <c r="C185" s="3" t="s">
        <v>225</v>
      </c>
      <c r="D185">
        <v>3</v>
      </c>
      <c r="E185" s="50"/>
      <c r="F185" s="3">
        <v>2024</v>
      </c>
      <c r="G185">
        <v>8</v>
      </c>
      <c r="H185" s="3">
        <v>19</v>
      </c>
      <c r="I185">
        <v>269.7</v>
      </c>
      <c r="J185" s="3">
        <v>615</v>
      </c>
      <c r="K185" s="50"/>
      <c r="M185" s="2" t="s">
        <v>86</v>
      </c>
      <c r="N185">
        <v>1</v>
      </c>
      <c r="O185">
        <v>0.47839999999999999</v>
      </c>
      <c r="P185" s="50"/>
      <c r="Q185" s="2" t="s">
        <v>406</v>
      </c>
      <c r="R185" s="2">
        <v>1.33</v>
      </c>
      <c r="S185" s="2" t="s">
        <v>215</v>
      </c>
      <c r="T185" s="2">
        <f>LN(R185)</f>
        <v>0.28517894223366247</v>
      </c>
      <c r="U185" s="2">
        <v>17.120999999999999</v>
      </c>
      <c r="V185" s="2">
        <v>16.844000000000001</v>
      </c>
      <c r="W185" s="1">
        <f>T185*U185+V185</f>
        <v>21.726548669982535</v>
      </c>
    </row>
    <row r="186" spans="1:23" x14ac:dyDescent="0.35">
      <c r="A186" s="3" t="s">
        <v>305</v>
      </c>
      <c r="B186" s="2">
        <v>823</v>
      </c>
      <c r="C186" s="3" t="s">
        <v>225</v>
      </c>
      <c r="D186">
        <v>3</v>
      </c>
      <c r="E186" s="50"/>
      <c r="F186" s="3">
        <v>2024</v>
      </c>
      <c r="G186">
        <v>8</v>
      </c>
      <c r="H186" s="3">
        <v>19</v>
      </c>
      <c r="I186">
        <v>117.9</v>
      </c>
      <c r="J186" s="3">
        <v>511</v>
      </c>
      <c r="K186" s="50"/>
      <c r="M186" s="2" t="s">
        <v>86</v>
      </c>
      <c r="N186">
        <v>1</v>
      </c>
      <c r="O186">
        <v>9.0899999999999995E-2</v>
      </c>
      <c r="P186" s="50"/>
      <c r="Q186" s="2" t="s">
        <v>407</v>
      </c>
      <c r="R186" s="2">
        <v>0.68</v>
      </c>
      <c r="S186" s="2" t="s">
        <v>215</v>
      </c>
      <c r="T186" s="2">
        <f>LN(R186)</f>
        <v>-0.38566248081198462</v>
      </c>
      <c r="U186" s="2">
        <v>17.120999999999999</v>
      </c>
      <c r="V186" s="2">
        <v>16.844000000000001</v>
      </c>
      <c r="W186" s="1">
        <f>T186*U186+V186</f>
        <v>10.241072666018013</v>
      </c>
    </row>
    <row r="187" spans="1:23" x14ac:dyDescent="0.35">
      <c r="A187" s="3" t="s">
        <v>306</v>
      </c>
      <c r="B187" s="2">
        <v>824</v>
      </c>
      <c r="C187" s="3" t="s">
        <v>225</v>
      </c>
      <c r="D187">
        <v>3</v>
      </c>
      <c r="E187" s="50"/>
      <c r="F187" s="3">
        <v>2024</v>
      </c>
      <c r="G187">
        <v>8</v>
      </c>
      <c r="H187" s="3">
        <v>19</v>
      </c>
      <c r="I187">
        <v>217.5</v>
      </c>
      <c r="J187" s="3">
        <v>575</v>
      </c>
      <c r="K187" s="50"/>
      <c r="M187" s="2" t="s">
        <v>86</v>
      </c>
      <c r="N187">
        <v>1</v>
      </c>
      <c r="O187">
        <v>4.0099999999999997E-2</v>
      </c>
      <c r="P187" s="50"/>
      <c r="Q187" s="2" t="s">
        <v>28</v>
      </c>
      <c r="R187" s="2" t="s">
        <v>28</v>
      </c>
      <c r="S187" s="2" t="s">
        <v>28</v>
      </c>
      <c r="T187" s="4"/>
      <c r="U187" s="4"/>
      <c r="V187" s="4"/>
      <c r="W187" s="5"/>
    </row>
    <row r="188" spans="1:23" x14ac:dyDescent="0.35">
      <c r="A188" s="3" t="s">
        <v>307</v>
      </c>
      <c r="B188" s="2">
        <v>825</v>
      </c>
      <c r="C188" s="3" t="s">
        <v>225</v>
      </c>
      <c r="D188">
        <v>3</v>
      </c>
      <c r="E188" s="50"/>
      <c r="F188" s="3">
        <v>2024</v>
      </c>
      <c r="G188">
        <v>8</v>
      </c>
      <c r="H188" s="3">
        <v>19</v>
      </c>
      <c r="I188">
        <v>8.31</v>
      </c>
      <c r="J188" s="3">
        <v>419</v>
      </c>
      <c r="K188" s="50"/>
      <c r="M188" s="2" t="s">
        <v>86</v>
      </c>
      <c r="N188">
        <v>1</v>
      </c>
      <c r="O188">
        <v>5.4699999999999999E-2</v>
      </c>
      <c r="P188" s="50"/>
      <c r="Q188" s="2" t="s">
        <v>408</v>
      </c>
      <c r="R188" s="2">
        <v>0.74</v>
      </c>
      <c r="S188" s="2" t="s">
        <v>215</v>
      </c>
      <c r="T188" s="2">
        <f>LN(R188)</f>
        <v>-0.30110509278392161</v>
      </c>
      <c r="U188" s="2">
        <v>17.120999999999999</v>
      </c>
      <c r="V188" s="2">
        <v>16.844000000000001</v>
      </c>
      <c r="W188" s="1">
        <f>T188*U188+V188</f>
        <v>11.688779706446478</v>
      </c>
    </row>
    <row r="189" spans="1:23" x14ac:dyDescent="0.35">
      <c r="A189" s="3" t="s">
        <v>308</v>
      </c>
      <c r="B189" s="2">
        <v>826</v>
      </c>
      <c r="C189" s="3" t="s">
        <v>225</v>
      </c>
      <c r="D189">
        <v>3</v>
      </c>
      <c r="E189" s="50"/>
      <c r="F189" s="3">
        <v>2024</v>
      </c>
      <c r="G189">
        <v>8</v>
      </c>
      <c r="H189" s="3">
        <v>19</v>
      </c>
      <c r="I189">
        <v>57.4</v>
      </c>
      <c r="J189" s="3">
        <v>378</v>
      </c>
      <c r="K189" s="50"/>
      <c r="M189" s="2" t="s">
        <v>86</v>
      </c>
      <c r="N189">
        <v>2</v>
      </c>
      <c r="O189">
        <v>0.12039999999999999</v>
      </c>
      <c r="P189" s="50"/>
      <c r="Q189" s="2" t="s">
        <v>409</v>
      </c>
      <c r="R189" s="2">
        <v>11.06</v>
      </c>
      <c r="S189" s="2" t="s">
        <v>216</v>
      </c>
      <c r="T189" s="4"/>
      <c r="U189" s="4"/>
      <c r="V189" s="4"/>
      <c r="W189" s="1">
        <v>11.06</v>
      </c>
    </row>
    <row r="190" spans="1:23" x14ac:dyDescent="0.35">
      <c r="A190" s="3" t="s">
        <v>308</v>
      </c>
      <c r="B190" s="2">
        <v>826</v>
      </c>
      <c r="C190" s="3" t="s">
        <v>225</v>
      </c>
      <c r="D190">
        <v>3</v>
      </c>
      <c r="E190" s="50"/>
      <c r="F190" s="3">
        <v>2024</v>
      </c>
      <c r="G190">
        <v>8</v>
      </c>
      <c r="H190" s="3">
        <v>19</v>
      </c>
      <c r="I190">
        <v>57.4</v>
      </c>
      <c r="J190" s="3">
        <v>378</v>
      </c>
      <c r="K190" s="50"/>
      <c r="M190" s="2" t="s">
        <v>86</v>
      </c>
      <c r="N190">
        <v>2</v>
      </c>
      <c r="O190">
        <v>0.12039999999999999</v>
      </c>
      <c r="P190" s="50"/>
      <c r="Q190" s="2" t="s">
        <v>410</v>
      </c>
      <c r="R190" s="2">
        <v>0.8</v>
      </c>
      <c r="S190" s="2" t="s">
        <v>215</v>
      </c>
      <c r="T190" s="2">
        <f>LN(R190)</f>
        <v>-0.22314355131420971</v>
      </c>
      <c r="U190" s="2">
        <v>17.120999999999999</v>
      </c>
      <c r="V190" s="2">
        <v>16.844000000000001</v>
      </c>
      <c r="W190" s="1">
        <f>T190*U190+V190</f>
        <v>13.023559257949417</v>
      </c>
    </row>
    <row r="191" spans="1:23" x14ac:dyDescent="0.35">
      <c r="A191" s="3" t="s">
        <v>309</v>
      </c>
      <c r="B191" s="2">
        <v>829</v>
      </c>
      <c r="C191" s="3" t="s">
        <v>225</v>
      </c>
      <c r="D191">
        <v>3</v>
      </c>
      <c r="E191" s="50"/>
      <c r="F191" s="3">
        <v>2024</v>
      </c>
      <c r="G191">
        <v>8</v>
      </c>
      <c r="H191" s="3">
        <v>15</v>
      </c>
      <c r="I191">
        <v>54.4</v>
      </c>
      <c r="J191" s="3">
        <v>391</v>
      </c>
      <c r="K191" s="50"/>
      <c r="M191" s="2" t="s">
        <v>86</v>
      </c>
      <c r="N191">
        <v>1</v>
      </c>
      <c r="O191">
        <v>6.4299999999999996E-2</v>
      </c>
      <c r="P191" s="50"/>
      <c r="Q191" s="2" t="s">
        <v>411</v>
      </c>
      <c r="R191" s="2">
        <v>8.86</v>
      </c>
      <c r="S191" s="2" t="s">
        <v>216</v>
      </c>
      <c r="T191" s="4"/>
      <c r="U191" s="4"/>
      <c r="V191" s="4"/>
      <c r="W191" s="1">
        <v>8.86</v>
      </c>
    </row>
    <row r="192" spans="1:23" x14ac:dyDescent="0.35">
      <c r="A192" s="3" t="s">
        <v>310</v>
      </c>
      <c r="B192" s="2">
        <v>830</v>
      </c>
      <c r="C192" s="3" t="s">
        <v>225</v>
      </c>
      <c r="D192">
        <v>3</v>
      </c>
      <c r="E192" s="50"/>
      <c r="F192" s="3">
        <v>2024</v>
      </c>
      <c r="G192">
        <v>8</v>
      </c>
      <c r="H192" s="3">
        <v>15</v>
      </c>
      <c r="I192">
        <v>60.2</v>
      </c>
      <c r="J192" s="3">
        <v>387</v>
      </c>
      <c r="K192" s="50"/>
      <c r="M192" s="2" t="s">
        <v>86</v>
      </c>
      <c r="N192">
        <v>1</v>
      </c>
      <c r="O192">
        <v>9.35E-2</v>
      </c>
      <c r="P192" s="50"/>
      <c r="Q192" s="2" t="s">
        <v>412</v>
      </c>
      <c r="R192" s="2">
        <v>0.94</v>
      </c>
      <c r="S192" s="2" t="s">
        <v>215</v>
      </c>
      <c r="T192" s="2">
        <f>LN(R192)</f>
        <v>-6.1875403718087529E-2</v>
      </c>
      <c r="U192" s="2">
        <v>17.120999999999999</v>
      </c>
      <c r="V192" s="2">
        <v>16.844000000000001</v>
      </c>
      <c r="W192" s="1">
        <f>T192*U192+V192</f>
        <v>15.784631212942625</v>
      </c>
    </row>
    <row r="193" spans="1:23" x14ac:dyDescent="0.35">
      <c r="A193" s="3" t="s">
        <v>311</v>
      </c>
      <c r="B193" s="2">
        <v>831</v>
      </c>
      <c r="C193" s="3" t="s">
        <v>225</v>
      </c>
      <c r="D193">
        <v>3</v>
      </c>
      <c r="E193" s="50"/>
      <c r="F193" s="3">
        <v>2024</v>
      </c>
      <c r="G193">
        <v>8</v>
      </c>
      <c r="H193" s="3">
        <v>15</v>
      </c>
      <c r="I193">
        <v>84.6</v>
      </c>
      <c r="J193" s="3">
        <v>420</v>
      </c>
      <c r="K193" s="50"/>
      <c r="M193" s="2" t="s">
        <v>86</v>
      </c>
      <c r="N193">
        <v>1</v>
      </c>
      <c r="O193">
        <v>2.52E-2</v>
      </c>
      <c r="P193" s="50"/>
      <c r="Q193" s="2" t="s">
        <v>28</v>
      </c>
      <c r="R193" s="2" t="s">
        <v>28</v>
      </c>
      <c r="S193" s="2" t="s">
        <v>28</v>
      </c>
      <c r="T193" s="4"/>
      <c r="U193" s="4"/>
      <c r="V193" s="4"/>
      <c r="W193" s="5"/>
    </row>
    <row r="194" spans="1:23" x14ac:dyDescent="0.35">
      <c r="A194" s="3" t="s">
        <v>312</v>
      </c>
      <c r="B194" s="2">
        <v>855</v>
      </c>
      <c r="C194" t="s">
        <v>41</v>
      </c>
      <c r="D194" t="s">
        <v>318</v>
      </c>
      <c r="E194" s="50"/>
      <c r="F194" s="3">
        <v>2024</v>
      </c>
      <c r="G194">
        <v>8</v>
      </c>
      <c r="H194" s="3">
        <v>9</v>
      </c>
      <c r="I194">
        <v>25.9</v>
      </c>
      <c r="J194" s="3">
        <v>313</v>
      </c>
      <c r="K194" s="50"/>
      <c r="M194" s="2" t="s">
        <v>86</v>
      </c>
      <c r="N194">
        <v>1</v>
      </c>
      <c r="O194">
        <v>3.3300000000000003E-2</v>
      </c>
      <c r="P194" s="50"/>
      <c r="Q194" s="2" t="s">
        <v>28</v>
      </c>
      <c r="R194" s="2" t="s">
        <v>28</v>
      </c>
      <c r="S194" s="2" t="s">
        <v>28</v>
      </c>
      <c r="T194" s="4"/>
      <c r="U194" s="4"/>
      <c r="V194" s="4"/>
      <c r="W194" s="5"/>
    </row>
    <row r="195" spans="1:23" x14ac:dyDescent="0.35">
      <c r="A195" s="3" t="s">
        <v>313</v>
      </c>
      <c r="B195" s="2">
        <v>858</v>
      </c>
      <c r="C195" t="s">
        <v>225</v>
      </c>
      <c r="D195">
        <v>5</v>
      </c>
      <c r="E195" s="50"/>
      <c r="F195" s="3">
        <v>2024</v>
      </c>
      <c r="G195">
        <v>8</v>
      </c>
      <c r="H195" s="3">
        <v>16</v>
      </c>
      <c r="I195">
        <v>183.7</v>
      </c>
      <c r="J195" s="3">
        <v>535</v>
      </c>
      <c r="K195" s="50"/>
      <c r="M195" s="2" t="s">
        <v>86</v>
      </c>
      <c r="N195">
        <v>2</v>
      </c>
      <c r="O195">
        <v>0.621</v>
      </c>
      <c r="P195" s="50"/>
      <c r="Q195" s="2" t="s">
        <v>413</v>
      </c>
      <c r="R195" s="2">
        <v>8.19</v>
      </c>
      <c r="S195" s="2" t="s">
        <v>212</v>
      </c>
      <c r="T195" s="2">
        <f>LOG(R195)</f>
        <v>0.9132839017604184</v>
      </c>
      <c r="U195">
        <v>0.75049999999999994</v>
      </c>
      <c r="V195">
        <v>0.53800000000000003</v>
      </c>
      <c r="W195" s="1">
        <f>10^(T195*U195+V195)</f>
        <v>16.727058210874066</v>
      </c>
    </row>
    <row r="196" spans="1:23" x14ac:dyDescent="0.35">
      <c r="A196" s="3" t="s">
        <v>313</v>
      </c>
      <c r="B196" s="2">
        <v>858</v>
      </c>
      <c r="C196" t="s">
        <v>225</v>
      </c>
      <c r="D196">
        <v>5</v>
      </c>
      <c r="E196" s="50"/>
      <c r="F196" s="3">
        <v>2024</v>
      </c>
      <c r="G196">
        <v>8</v>
      </c>
      <c r="H196" s="3">
        <v>16</v>
      </c>
      <c r="I196">
        <v>183.7</v>
      </c>
      <c r="J196" s="3">
        <v>535</v>
      </c>
      <c r="K196" s="50"/>
      <c r="M196" s="2" t="s">
        <v>86</v>
      </c>
      <c r="N196">
        <v>2</v>
      </c>
      <c r="O196">
        <v>0.621</v>
      </c>
      <c r="P196" s="50"/>
      <c r="Q196" s="2" t="s">
        <v>28</v>
      </c>
      <c r="R196" s="2" t="s">
        <v>28</v>
      </c>
      <c r="S196" s="2" t="s">
        <v>28</v>
      </c>
      <c r="T196" s="4"/>
      <c r="U196" s="4"/>
      <c r="V196" s="4"/>
      <c r="W196" s="5"/>
    </row>
    <row r="197" spans="1:23" x14ac:dyDescent="0.35">
      <c r="A197" s="3" t="s">
        <v>314</v>
      </c>
      <c r="B197" s="2">
        <v>859</v>
      </c>
      <c r="C197" t="s">
        <v>225</v>
      </c>
      <c r="D197">
        <v>5</v>
      </c>
      <c r="E197" s="50"/>
      <c r="F197" s="3">
        <v>2024</v>
      </c>
      <c r="G197">
        <v>8</v>
      </c>
      <c r="H197" s="3">
        <v>16</v>
      </c>
      <c r="I197">
        <v>196</v>
      </c>
      <c r="J197" s="3">
        <v>575</v>
      </c>
      <c r="K197" s="50"/>
      <c r="M197" s="2" t="s">
        <v>86</v>
      </c>
      <c r="N197">
        <v>2</v>
      </c>
      <c r="O197">
        <v>0.16289999999999999</v>
      </c>
      <c r="P197" s="50"/>
      <c r="Q197" s="2" t="s">
        <v>28</v>
      </c>
      <c r="R197" s="2" t="s">
        <v>28</v>
      </c>
      <c r="S197" s="2" t="s">
        <v>28</v>
      </c>
      <c r="T197" s="4"/>
      <c r="U197" s="4"/>
      <c r="V197" s="4"/>
      <c r="W197" s="5"/>
    </row>
    <row r="198" spans="1:23" x14ac:dyDescent="0.35">
      <c r="A198" s="3" t="s">
        <v>314</v>
      </c>
      <c r="B198" s="2">
        <v>859</v>
      </c>
      <c r="C198" t="s">
        <v>225</v>
      </c>
      <c r="D198">
        <v>5</v>
      </c>
      <c r="E198" s="50"/>
      <c r="F198" s="3">
        <v>2024</v>
      </c>
      <c r="G198">
        <v>8</v>
      </c>
      <c r="H198" s="3">
        <v>16</v>
      </c>
      <c r="I198">
        <v>196</v>
      </c>
      <c r="J198" s="3">
        <v>575</v>
      </c>
      <c r="K198" s="50"/>
      <c r="M198" s="2" t="s">
        <v>86</v>
      </c>
      <c r="N198">
        <v>2</v>
      </c>
      <c r="O198">
        <v>0.16289999999999999</v>
      </c>
      <c r="P198" s="50"/>
      <c r="Q198" s="2" t="s">
        <v>28</v>
      </c>
      <c r="R198" s="2" t="s">
        <v>28</v>
      </c>
      <c r="S198" s="2" t="s">
        <v>28</v>
      </c>
      <c r="T198" s="4"/>
      <c r="U198" s="4"/>
      <c r="V198" s="4"/>
      <c r="W198" s="5"/>
    </row>
    <row r="199" spans="1:23" x14ac:dyDescent="0.35">
      <c r="A199" s="3" t="s">
        <v>315</v>
      </c>
      <c r="B199" s="2">
        <v>860</v>
      </c>
      <c r="C199" t="s">
        <v>225</v>
      </c>
      <c r="D199">
        <v>1</v>
      </c>
      <c r="E199" s="50"/>
      <c r="F199" s="3">
        <v>2024</v>
      </c>
      <c r="G199">
        <v>8</v>
      </c>
      <c r="H199" s="3">
        <v>14</v>
      </c>
      <c r="I199">
        <v>135.30000000000001</v>
      </c>
      <c r="J199" s="3">
        <v>504</v>
      </c>
      <c r="K199" s="50"/>
      <c r="M199" s="2" t="s">
        <v>86</v>
      </c>
      <c r="N199">
        <v>1</v>
      </c>
      <c r="O199">
        <v>4.1000000000000002E-2</v>
      </c>
      <c r="P199" s="50"/>
      <c r="Q199" s="2" t="s">
        <v>386</v>
      </c>
      <c r="R199" s="2">
        <v>0.85</v>
      </c>
      <c r="S199" s="2" t="s">
        <v>215</v>
      </c>
      <c r="T199" s="2">
        <f>LN(R199)</f>
        <v>-0.16251892949777494</v>
      </c>
      <c r="U199" s="2">
        <v>17.120999999999999</v>
      </c>
      <c r="V199" s="2">
        <v>16.844000000000001</v>
      </c>
      <c r="W199" s="1">
        <f>T199*U199+V199</f>
        <v>14.061513408068597</v>
      </c>
    </row>
    <row r="200" spans="1:23" x14ac:dyDescent="0.35">
      <c r="A200" s="3" t="s">
        <v>316</v>
      </c>
      <c r="B200" s="2">
        <v>862</v>
      </c>
      <c r="C200" t="s">
        <v>225</v>
      </c>
      <c r="D200">
        <v>6</v>
      </c>
      <c r="E200" s="50"/>
      <c r="F200" s="3">
        <v>2024</v>
      </c>
      <c r="G200">
        <v>4</v>
      </c>
      <c r="H200" s="3">
        <v>9</v>
      </c>
      <c r="I200">
        <v>174.1</v>
      </c>
      <c r="J200" s="3">
        <v>525</v>
      </c>
      <c r="K200" s="50"/>
      <c r="M200" s="2" t="s">
        <v>86</v>
      </c>
      <c r="N200">
        <v>1</v>
      </c>
      <c r="O200">
        <v>0.1033</v>
      </c>
      <c r="P200" s="50"/>
      <c r="Q200" s="2" t="s">
        <v>28</v>
      </c>
      <c r="R200" s="2" t="s">
        <v>28</v>
      </c>
      <c r="S200" s="2" t="s">
        <v>28</v>
      </c>
      <c r="T200" s="4"/>
      <c r="U200" s="4"/>
      <c r="V200" s="4"/>
      <c r="W200" s="5"/>
    </row>
  </sheetData>
  <autoFilter ref="A1:W200" xr:uid="{00000000-0001-0000-0000-000000000000}">
    <sortState xmlns:xlrd2="http://schemas.microsoft.com/office/spreadsheetml/2017/richdata2" ref="A2:W200">
      <sortCondition ref="B1:B200"/>
    </sortState>
  </autoFilter>
  <sortState xmlns:xlrd2="http://schemas.microsoft.com/office/spreadsheetml/2017/richdata2" ref="A2:W98">
    <sortCondition ref="B1:B98"/>
  </sortState>
  <conditionalFormatting sqref="B99:B200">
    <cfRule type="cellIs" dxfId="12" priority="1" operator="equal">
      <formula>"559, 692"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4BCF-6366-4566-81A6-A9764552527D}">
  <dimension ref="A1:BG878"/>
  <sheetViews>
    <sheetView topLeftCell="O1" workbookViewId="0">
      <pane ySplit="1" topLeftCell="A134" activePane="bottomLeft" state="frozen"/>
      <selection activeCell="L1" sqref="L1"/>
      <selection pane="bottomLeft" activeCell="J1" sqref="J1:J1048576"/>
    </sheetView>
  </sheetViews>
  <sheetFormatPr defaultRowHeight="15.5" x14ac:dyDescent="0.35"/>
  <cols>
    <col min="1" max="1" width="6.4140625" customWidth="1"/>
    <col min="2" max="2" width="7.25" customWidth="1"/>
    <col min="3" max="3" width="5.5" customWidth="1"/>
    <col min="4" max="4" width="8.08203125"/>
    <col min="5" max="5" width="12.75" bestFit="1" customWidth="1"/>
    <col min="6" max="6" width="9.9140625" customWidth="1"/>
    <col min="7" max="7" width="13.25" bestFit="1" customWidth="1"/>
    <col min="8" max="9" width="13.25" customWidth="1"/>
    <col min="10" max="10" width="23.83203125" style="50" bestFit="1" customWidth="1"/>
    <col min="11" max="11" width="14.58203125" bestFit="1" customWidth="1"/>
    <col min="12" max="12" width="7" bestFit="1" customWidth="1"/>
    <col min="13" max="13" width="13.9140625" bestFit="1" customWidth="1"/>
    <col min="14" max="14" width="8.58203125" customWidth="1"/>
    <col min="15" max="15" width="11.33203125" bestFit="1" customWidth="1"/>
    <col min="33" max="33" width="8.6640625" style="35"/>
    <col min="40" max="40" width="15.08203125" bestFit="1" customWidth="1"/>
    <col min="41" max="41" width="18.6640625" bestFit="1" customWidth="1"/>
    <col min="47" max="47" width="9.9140625" bestFit="1" customWidth="1"/>
    <col min="48" max="48" width="26.25" bestFit="1" customWidth="1"/>
    <col min="49" max="49" width="14.33203125" bestFit="1" customWidth="1"/>
    <col min="50" max="50" width="11.5" bestFit="1" customWidth="1"/>
    <col min="51" max="51" width="17.9140625" bestFit="1" customWidth="1"/>
    <col min="52" max="52" width="12.9140625" bestFit="1" customWidth="1"/>
  </cols>
  <sheetData>
    <row r="1" spans="1:59" x14ac:dyDescent="0.35">
      <c r="A1" s="1" t="s">
        <v>3</v>
      </c>
      <c r="B1" s="1" t="s">
        <v>4</v>
      </c>
      <c r="C1" s="1" t="s">
        <v>5</v>
      </c>
      <c r="D1" s="17" t="s">
        <v>1189</v>
      </c>
      <c r="E1" s="1" t="s">
        <v>436</v>
      </c>
      <c r="F1" s="1" t="s">
        <v>437</v>
      </c>
      <c r="G1" s="1" t="s">
        <v>1</v>
      </c>
      <c r="H1" s="1" t="s">
        <v>438</v>
      </c>
      <c r="I1" s="1" t="s">
        <v>439</v>
      </c>
      <c r="J1" s="48"/>
      <c r="K1" s="1" t="s">
        <v>440</v>
      </c>
      <c r="L1" s="1" t="s">
        <v>2</v>
      </c>
      <c r="M1" s="1" t="s">
        <v>441</v>
      </c>
      <c r="N1" s="1" t="s">
        <v>442</v>
      </c>
      <c r="O1" s="1" t="s">
        <v>443</v>
      </c>
      <c r="P1" s="17" t="s">
        <v>1189</v>
      </c>
      <c r="Q1" s="1" t="s">
        <v>1190</v>
      </c>
      <c r="R1" s="1" t="s">
        <v>1191</v>
      </c>
      <c r="S1" s="1" t="s">
        <v>1192</v>
      </c>
      <c r="T1" s="1" t="s">
        <v>1193</v>
      </c>
      <c r="U1" s="1" t="s">
        <v>1194</v>
      </c>
      <c r="V1" s="1" t="s">
        <v>1195</v>
      </c>
      <c r="W1" s="1" t="s">
        <v>1204</v>
      </c>
      <c r="X1" s="1" t="s">
        <v>1196</v>
      </c>
      <c r="Y1" s="1" t="s">
        <v>1197</v>
      </c>
      <c r="AG1" s="35" t="s">
        <v>1271</v>
      </c>
      <c r="AH1" s="18" t="s">
        <v>1285</v>
      </c>
      <c r="AI1" s="18" t="s">
        <v>1236</v>
      </c>
      <c r="AJ1" s="18" t="s">
        <v>1237</v>
      </c>
      <c r="AK1" s="18" t="s">
        <v>1238</v>
      </c>
      <c r="AL1" s="18" t="s">
        <v>1246</v>
      </c>
      <c r="AM1" s="18"/>
      <c r="AU1" s="51" t="s">
        <v>1236</v>
      </c>
      <c r="AV1" s="52" t="s">
        <v>320</v>
      </c>
      <c r="AW1" s="52" t="s">
        <v>414</v>
      </c>
      <c r="AX1" s="52" t="s">
        <v>415</v>
      </c>
      <c r="AY1" s="53" t="s">
        <v>1292</v>
      </c>
      <c r="AZ1" s="53" t="s">
        <v>1293</v>
      </c>
      <c r="BA1" s="52" t="s">
        <v>16</v>
      </c>
      <c r="BB1" s="52" t="s">
        <v>17</v>
      </c>
      <c r="BC1" s="54" t="s">
        <v>323</v>
      </c>
      <c r="BD1" s="54" t="s">
        <v>324</v>
      </c>
      <c r="BE1" s="54" t="s">
        <v>416</v>
      </c>
      <c r="BF1" s="54" t="s">
        <v>417</v>
      </c>
      <c r="BG1" s="28"/>
    </row>
    <row r="2" spans="1:59" x14ac:dyDescent="0.35">
      <c r="A2" s="3">
        <v>2024</v>
      </c>
      <c r="B2" s="3">
        <v>8</v>
      </c>
      <c r="C2" s="3">
        <v>19</v>
      </c>
      <c r="D2" s="2">
        <v>785</v>
      </c>
      <c r="E2" s="3" t="s">
        <v>281</v>
      </c>
      <c r="F2" s="3">
        <v>3</v>
      </c>
      <c r="G2" s="3" t="s">
        <v>225</v>
      </c>
      <c r="H2" s="3" t="str">
        <f t="shared" ref="H2:H33" si="0">IF(L2="A55","2009",IF(L2="A59","2009",IF(L2="A60","2010",IF(L2="A62","2011",IF(L2="CP","2013",IF(L2="MD","2012",IF(L2="TS","2013",IF(L2="DL","2018",IF(L2="SCU","2018",IF(L2="NCU","2018",IF(L2="C1C","2018",IF(L2="C1E","2018",IF(L2="RS1S","2018",IF(L2="C2B","2018",IF(L2="DB3","2018",IF(AND(L2=6,G2="SRS"),"2018",IF(AND(L2=7,G2="SRS"),"2020",IF(AND(L2=8,G2="SRS"),"2020",IF(L2=23,"2019",IF(AND(L2=7,G2="WCA 3B"),"2017",IF(AND(L2=8,G2="WCA 3B"),"2019",IF(L2=1,"2021",IF(L2=2,"2022",IF(L2=3,"2021",IF(L2=4,"2021",IF(L2=5,"2022",IF(AND(L2=6,G2="WCA 3A"),"2022",IF(L2=9,"2023",IF(L2=10,"2023",IF(L2=37,"2020"))))))))))))))))))))))))))))))</f>
        <v>2021</v>
      </c>
      <c r="I2" s="3">
        <v>3</v>
      </c>
      <c r="J2" s="69"/>
      <c r="K2">
        <v>3</v>
      </c>
      <c r="L2">
        <v>3</v>
      </c>
      <c r="M2">
        <v>75.2</v>
      </c>
      <c r="N2" s="3">
        <v>42.8</v>
      </c>
      <c r="O2" s="3" t="str">
        <f t="shared" ref="O2:O65" si="1">IF(G2="PHD", "2007", IF(G2="TSL", "2011", IF(G2 = "SRS", "2018", IF(G2="WCA 3B", "2017", IF(G2="WCA 3A", "2021")))))</f>
        <v>2021</v>
      </c>
      <c r="P2" s="2">
        <v>785</v>
      </c>
      <c r="AA2" s="19" t="s">
        <v>223</v>
      </c>
      <c r="AB2" s="53" t="s">
        <v>224</v>
      </c>
      <c r="AC2" s="53" t="s">
        <v>96</v>
      </c>
      <c r="AD2" s="20" t="s">
        <v>1205</v>
      </c>
      <c r="AH2">
        <v>1.24</v>
      </c>
      <c r="AI2">
        <f t="shared" ref="AI2:AI65" si="2">((2.438)*(LOG(AH2))+(-0.4954))</f>
        <v>-0.26763793157447091</v>
      </c>
      <c r="AJ2">
        <f t="shared" ref="AJ2:AJ65" si="3">10^AI2</f>
        <v>0.53996059648246408</v>
      </c>
      <c r="AK2">
        <f t="shared" ref="AK2:AK13" si="4">AJ2/1000</f>
        <v>5.3996059648246404E-4</v>
      </c>
      <c r="AL2">
        <f t="shared" ref="AL2:AL13" si="5">5*AK2</f>
        <v>2.6998029824123202E-3</v>
      </c>
      <c r="AU2" s="55"/>
      <c r="AV2" s="29" t="s">
        <v>432</v>
      </c>
      <c r="AW2" s="29" t="s">
        <v>433</v>
      </c>
      <c r="AX2" s="29" t="s">
        <v>434</v>
      </c>
      <c r="AY2" s="29" t="s">
        <v>435</v>
      </c>
      <c r="AZ2" s="29" t="s">
        <v>427</v>
      </c>
      <c r="BA2" s="56">
        <v>2.4380000000000002</v>
      </c>
      <c r="BB2" s="56">
        <v>-0.49540000000000001</v>
      </c>
      <c r="BC2" s="56">
        <v>0.56100000000000005</v>
      </c>
      <c r="BD2" s="56">
        <v>84</v>
      </c>
      <c r="BE2" s="56">
        <v>2.2000000000000002</v>
      </c>
      <c r="BF2" s="56">
        <v>6</v>
      </c>
      <c r="BG2" s="26" t="s">
        <v>1291</v>
      </c>
    </row>
    <row r="3" spans="1:59" x14ac:dyDescent="0.35">
      <c r="A3" s="3">
        <v>2023</v>
      </c>
      <c r="B3" s="3">
        <v>8</v>
      </c>
      <c r="C3" s="3">
        <v>2</v>
      </c>
      <c r="D3" s="2">
        <v>429</v>
      </c>
      <c r="E3" s="3" t="s">
        <v>890</v>
      </c>
      <c r="F3" s="3">
        <v>3</v>
      </c>
      <c r="G3" s="3" t="s">
        <v>225</v>
      </c>
      <c r="H3" s="3" t="str">
        <f t="shared" si="0"/>
        <v>2022</v>
      </c>
      <c r="I3" s="3">
        <v>1</v>
      </c>
      <c r="J3" s="69"/>
      <c r="K3" s="3" t="s">
        <v>67</v>
      </c>
      <c r="L3" s="3">
        <v>2</v>
      </c>
      <c r="M3" s="3">
        <v>2.5</v>
      </c>
      <c r="N3" s="3">
        <v>139</v>
      </c>
      <c r="O3" s="3" t="str">
        <f t="shared" si="1"/>
        <v>2021</v>
      </c>
      <c r="P3" s="2">
        <v>429</v>
      </c>
      <c r="AA3" s="21" cm="1">
        <f t="array" ref="AA3">[1]!MEAN(R2:Y878)</f>
        <v>3.7967592592592601</v>
      </c>
      <c r="AB3" s="61" cm="1">
        <f t="array" ref="AB3">[1]!STDERR(R2:Y1048576)</f>
        <v>6.7988911335829988E-2</v>
      </c>
      <c r="AC3" s="61">
        <f>-_xlfn.STDEV.S(R2:Y878)</f>
        <v>-0.99922884564066294</v>
      </c>
      <c r="AD3" s="22">
        <v>216</v>
      </c>
      <c r="AH3">
        <v>1.85</v>
      </c>
      <c r="AI3">
        <f t="shared" si="2"/>
        <v>0.15596467384654783</v>
      </c>
      <c r="AJ3">
        <f t="shared" si="3"/>
        <v>1.4320714077361574</v>
      </c>
      <c r="AK3">
        <f t="shared" si="4"/>
        <v>1.4320714077361574E-3</v>
      </c>
      <c r="AL3">
        <f t="shared" si="5"/>
        <v>7.1603570386807869E-3</v>
      </c>
    </row>
    <row r="4" spans="1:59" x14ac:dyDescent="0.35">
      <c r="A4" s="3">
        <v>2023</v>
      </c>
      <c r="B4" s="3">
        <v>10</v>
      </c>
      <c r="C4" s="3">
        <v>31</v>
      </c>
      <c r="D4" s="2">
        <v>520</v>
      </c>
      <c r="E4" s="3" t="s">
        <v>972</v>
      </c>
      <c r="F4" s="3">
        <v>4</v>
      </c>
      <c r="G4" s="3" t="s">
        <v>225</v>
      </c>
      <c r="H4" s="3" t="str">
        <f t="shared" si="0"/>
        <v>2022</v>
      </c>
      <c r="I4" s="3">
        <v>1</v>
      </c>
      <c r="J4" s="69"/>
      <c r="K4" s="3" t="s">
        <v>67</v>
      </c>
      <c r="L4" s="3">
        <v>2</v>
      </c>
      <c r="M4" s="3">
        <v>1.5</v>
      </c>
      <c r="N4" s="3">
        <v>140</v>
      </c>
      <c r="O4" s="3" t="str">
        <f t="shared" si="1"/>
        <v>2021</v>
      </c>
      <c r="P4" s="2">
        <v>520</v>
      </c>
      <c r="AA4" s="21"/>
      <c r="AB4" s="61"/>
      <c r="AC4" s="61"/>
      <c r="AD4" s="22"/>
      <c r="AH4">
        <v>1.86</v>
      </c>
      <c r="AI4">
        <f t="shared" si="2"/>
        <v>0.16167255800328001</v>
      </c>
      <c r="AJ4">
        <f t="shared" si="3"/>
        <v>1.4510171916985966</v>
      </c>
      <c r="AK4">
        <f t="shared" si="4"/>
        <v>1.4510171916985966E-3</v>
      </c>
      <c r="AL4">
        <f t="shared" si="5"/>
        <v>7.2550859584929834E-3</v>
      </c>
    </row>
    <row r="5" spans="1:59" x14ac:dyDescent="0.35">
      <c r="A5" s="3">
        <v>2023</v>
      </c>
      <c r="B5" s="3">
        <v>11</v>
      </c>
      <c r="C5" s="3">
        <v>3</v>
      </c>
      <c r="D5" s="2">
        <v>534</v>
      </c>
      <c r="E5" s="3" t="s">
        <v>986</v>
      </c>
      <c r="F5" s="3">
        <v>4</v>
      </c>
      <c r="G5" s="3" t="s">
        <v>225</v>
      </c>
      <c r="H5" s="3" t="str">
        <f t="shared" si="0"/>
        <v>2022</v>
      </c>
      <c r="I5" s="3">
        <v>1</v>
      </c>
      <c r="J5" s="69"/>
      <c r="K5" s="3">
        <v>2</v>
      </c>
      <c r="L5" s="3">
        <v>2</v>
      </c>
      <c r="M5" s="3">
        <v>2.5</v>
      </c>
      <c r="N5" s="3">
        <v>145</v>
      </c>
      <c r="O5" s="3" t="str">
        <f t="shared" si="1"/>
        <v>2021</v>
      </c>
      <c r="P5" s="2">
        <v>534</v>
      </c>
      <c r="AA5" s="21" t="s">
        <v>1219</v>
      </c>
      <c r="AB5" s="61" t="s">
        <v>1220</v>
      </c>
      <c r="AC5" s="61"/>
      <c r="AD5" s="22"/>
      <c r="AH5">
        <v>1.98</v>
      </c>
      <c r="AI5">
        <f t="shared" si="2"/>
        <v>0.22786973385761283</v>
      </c>
      <c r="AJ5">
        <f t="shared" si="3"/>
        <v>1.6899339618195139</v>
      </c>
      <c r="AK5">
        <f t="shared" si="4"/>
        <v>1.689933961819514E-3</v>
      </c>
      <c r="AL5">
        <f t="shared" si="5"/>
        <v>8.4496698090975701E-3</v>
      </c>
    </row>
    <row r="6" spans="1:59" x14ac:dyDescent="0.35">
      <c r="A6" s="3">
        <v>2023</v>
      </c>
      <c r="B6" s="3">
        <v>11</v>
      </c>
      <c r="C6" s="3">
        <v>14</v>
      </c>
      <c r="D6" s="2">
        <v>518</v>
      </c>
      <c r="E6" s="3" t="s">
        <v>970</v>
      </c>
      <c r="F6" s="3">
        <v>4</v>
      </c>
      <c r="G6" s="3" t="s">
        <v>225</v>
      </c>
      <c r="H6" s="3" t="str">
        <f t="shared" si="0"/>
        <v>2021</v>
      </c>
      <c r="I6" s="3">
        <v>2</v>
      </c>
      <c r="J6" s="69"/>
      <c r="K6" s="3" t="s">
        <v>227</v>
      </c>
      <c r="L6" s="3">
        <v>4</v>
      </c>
      <c r="M6" s="3">
        <v>2.1</v>
      </c>
      <c r="N6" s="3">
        <v>146</v>
      </c>
      <c r="O6" s="3" t="str">
        <f t="shared" si="1"/>
        <v>2021</v>
      </c>
      <c r="P6" s="2">
        <v>518</v>
      </c>
      <c r="AA6" s="25">
        <f>MIN(R2:Y878)</f>
        <v>1.24</v>
      </c>
      <c r="AB6" s="29">
        <f>MAX(R2:R878)</f>
        <v>7.8</v>
      </c>
      <c r="AC6" s="29"/>
      <c r="AD6" s="26"/>
      <c r="AH6">
        <v>2.13</v>
      </c>
      <c r="AI6">
        <f t="shared" si="2"/>
        <v>0.30518947318364248</v>
      </c>
      <c r="AJ6">
        <f t="shared" si="3"/>
        <v>2.0192471248951405</v>
      </c>
      <c r="AK6">
        <f t="shared" si="4"/>
        <v>2.0192471248951403E-3</v>
      </c>
      <c r="AL6">
        <f t="shared" si="5"/>
        <v>1.0096235624475702E-2</v>
      </c>
      <c r="AN6" s="19" t="s">
        <v>1233</v>
      </c>
      <c r="AO6" s="53" t="s">
        <v>1232</v>
      </c>
      <c r="AP6" s="27"/>
      <c r="AQ6" s="27" t="s">
        <v>1267</v>
      </c>
      <c r="AR6" s="27" t="s">
        <v>1279</v>
      </c>
      <c r="AS6" s="28" t="s">
        <v>1273</v>
      </c>
    </row>
    <row r="7" spans="1:59" x14ac:dyDescent="0.35">
      <c r="A7" s="3">
        <v>2024</v>
      </c>
      <c r="B7" s="3">
        <v>1</v>
      </c>
      <c r="C7" s="3">
        <v>19</v>
      </c>
      <c r="D7" s="2">
        <v>575</v>
      </c>
      <c r="E7" s="3" t="s">
        <v>1019</v>
      </c>
      <c r="F7" s="3">
        <v>1</v>
      </c>
      <c r="G7" s="3" t="s">
        <v>41</v>
      </c>
      <c r="H7" s="3" t="str">
        <f t="shared" si="0"/>
        <v>2013</v>
      </c>
      <c r="I7" s="3">
        <v>11</v>
      </c>
      <c r="J7" s="69"/>
      <c r="K7" t="s">
        <v>509</v>
      </c>
      <c r="L7" s="3" t="s">
        <v>458</v>
      </c>
      <c r="M7">
        <v>6.7</v>
      </c>
      <c r="N7" s="3">
        <v>150</v>
      </c>
      <c r="O7" s="3" t="str">
        <f t="shared" si="1"/>
        <v>2011</v>
      </c>
      <c r="P7" s="2">
        <v>575</v>
      </c>
      <c r="AH7">
        <v>2.14</v>
      </c>
      <c r="AI7">
        <f t="shared" si="2"/>
        <v>0.31014877942532743</v>
      </c>
      <c r="AJ7">
        <f t="shared" si="3"/>
        <v>2.0424375175372274</v>
      </c>
      <c r="AK7">
        <f t="shared" si="4"/>
        <v>2.0424375175372273E-3</v>
      </c>
      <c r="AL7">
        <f t="shared" si="5"/>
        <v>1.0212187587686137E-2</v>
      </c>
      <c r="AN7" s="21" cm="1">
        <f t="array" ref="AN7">[1]!MEAN(AK2:AK217)</f>
        <v>9.3448142869258042E-3</v>
      </c>
      <c r="AO7" s="61">
        <f>5*AN7</f>
        <v>4.6724071434629019E-2</v>
      </c>
      <c r="AP7" s="61" cm="1">
        <f t="array" ref="AP7">[2]!STDERR(AJ2:AJ217)</f>
        <v>0.40812675313093133</v>
      </c>
      <c r="AQ7" s="61" cm="1">
        <f t="array" ref="AQ7">[1]!STDERR(AL2:AL217)</f>
        <v>2.0800697088379757E-3</v>
      </c>
      <c r="AR7" s="61">
        <f>_xlfn.STDEV.S(AL2:AL217)</f>
        <v>3.0143073809107673E-2</v>
      </c>
      <c r="AS7" s="22">
        <f>_xlfn.STDEV.P(AJ2:AJ217)</f>
        <v>5.984312911567808</v>
      </c>
    </row>
    <row r="8" spans="1:59" x14ac:dyDescent="0.35">
      <c r="A8" s="3">
        <v>2016</v>
      </c>
      <c r="B8" s="3">
        <v>11</v>
      </c>
      <c r="C8" s="3">
        <v>7</v>
      </c>
      <c r="D8" s="2">
        <v>228</v>
      </c>
      <c r="E8" s="3" t="s">
        <v>686</v>
      </c>
      <c r="F8" s="3">
        <v>4</v>
      </c>
      <c r="G8" s="3" t="s">
        <v>45</v>
      </c>
      <c r="H8" s="3" t="str">
        <f t="shared" si="0"/>
        <v>2009</v>
      </c>
      <c r="I8" s="3">
        <v>7</v>
      </c>
      <c r="J8" s="69"/>
      <c r="K8" s="3" t="s">
        <v>671</v>
      </c>
      <c r="L8" s="3" t="s">
        <v>512</v>
      </c>
      <c r="M8" s="3">
        <v>0.2</v>
      </c>
      <c r="N8" s="3">
        <v>153</v>
      </c>
      <c r="O8" s="3" t="str">
        <f t="shared" si="1"/>
        <v>2007</v>
      </c>
      <c r="P8" s="2">
        <v>228</v>
      </c>
      <c r="Y8">
        <v>3.91</v>
      </c>
      <c r="AH8">
        <v>2.2000000000000002</v>
      </c>
      <c r="AI8">
        <f t="shared" si="2"/>
        <v>0.33942649584453893</v>
      </c>
      <c r="AJ8">
        <f t="shared" si="3"/>
        <v>2.1848744992829183</v>
      </c>
      <c r="AK8">
        <f t="shared" si="4"/>
        <v>2.1848744992829182E-3</v>
      </c>
      <c r="AL8">
        <f t="shared" si="5"/>
        <v>1.0924372496414592E-2</v>
      </c>
      <c r="AN8" s="23" t="s">
        <v>1234</v>
      </c>
      <c r="AO8" s="65" t="s">
        <v>1235</v>
      </c>
      <c r="AP8" s="61"/>
      <c r="AQ8" s="61"/>
      <c r="AR8" s="61"/>
      <c r="AS8" s="22"/>
    </row>
    <row r="9" spans="1:59" x14ac:dyDescent="0.35">
      <c r="A9" s="3">
        <v>2016</v>
      </c>
      <c r="B9" s="3">
        <v>11</v>
      </c>
      <c r="C9" s="3">
        <v>7</v>
      </c>
      <c r="D9" s="2">
        <v>230</v>
      </c>
      <c r="E9" s="3" t="s">
        <v>688</v>
      </c>
      <c r="F9" s="3">
        <v>4</v>
      </c>
      <c r="G9" s="3" t="s">
        <v>45</v>
      </c>
      <c r="H9" s="3" t="str">
        <f t="shared" si="0"/>
        <v>2009</v>
      </c>
      <c r="I9" s="3">
        <v>7</v>
      </c>
      <c r="J9" s="69"/>
      <c r="K9" s="3" t="s">
        <v>671</v>
      </c>
      <c r="L9" s="3" t="s">
        <v>512</v>
      </c>
      <c r="M9" s="3">
        <v>2.2999999999999998</v>
      </c>
      <c r="N9" s="3">
        <v>155</v>
      </c>
      <c r="O9" s="3" t="str">
        <f t="shared" si="1"/>
        <v>2007</v>
      </c>
      <c r="P9" s="2">
        <v>230</v>
      </c>
      <c r="AH9">
        <v>2.25</v>
      </c>
      <c r="AI9">
        <f t="shared" si="2"/>
        <v>0.36322097915550172</v>
      </c>
      <c r="AJ9">
        <f t="shared" si="3"/>
        <v>2.3079212141188146</v>
      </c>
      <c r="AK9">
        <f t="shared" si="4"/>
        <v>2.3079212141188144E-3</v>
      </c>
      <c r="AL9">
        <f t="shared" si="5"/>
        <v>1.1539606070594071E-2</v>
      </c>
      <c r="AN9" s="25">
        <f>MEDIAN(AK2:AK217)</f>
        <v>7.6837992100638247E-3</v>
      </c>
      <c r="AO9" s="29">
        <f>5*AN9</f>
        <v>3.8418996050319121E-2</v>
      </c>
      <c r="AP9" s="29"/>
      <c r="AQ9" s="29"/>
      <c r="AR9" s="29"/>
      <c r="AS9" s="26"/>
    </row>
    <row r="10" spans="1:59" x14ac:dyDescent="0.35">
      <c r="A10" s="3">
        <v>2023</v>
      </c>
      <c r="B10" s="3">
        <v>8</v>
      </c>
      <c r="C10" s="3">
        <v>1</v>
      </c>
      <c r="D10" s="2">
        <v>428</v>
      </c>
      <c r="E10" s="3" t="s">
        <v>889</v>
      </c>
      <c r="F10" s="3">
        <v>3</v>
      </c>
      <c r="G10" s="3" t="s">
        <v>225</v>
      </c>
      <c r="H10" s="3" t="str">
        <f t="shared" si="0"/>
        <v>2022</v>
      </c>
      <c r="I10" s="3">
        <v>1</v>
      </c>
      <c r="J10" s="69"/>
      <c r="K10" s="3" t="s">
        <v>235</v>
      </c>
      <c r="L10" s="3">
        <v>5</v>
      </c>
      <c r="M10" s="3">
        <v>3.5</v>
      </c>
      <c r="N10" s="3">
        <v>170</v>
      </c>
      <c r="O10" s="3" t="str">
        <f t="shared" si="1"/>
        <v>2021</v>
      </c>
      <c r="P10" s="2">
        <v>428</v>
      </c>
      <c r="AH10">
        <v>2.29</v>
      </c>
      <c r="AI10">
        <f t="shared" si="2"/>
        <v>0.38187890594464696</v>
      </c>
      <c r="AJ10">
        <f t="shared" si="3"/>
        <v>2.4092335699534182</v>
      </c>
      <c r="AK10">
        <f t="shared" si="4"/>
        <v>2.409233569953418E-3</v>
      </c>
      <c r="AL10">
        <f t="shared" si="5"/>
        <v>1.204616784976709E-2</v>
      </c>
    </row>
    <row r="11" spans="1:59" x14ac:dyDescent="0.35">
      <c r="A11" s="3">
        <v>2016</v>
      </c>
      <c r="B11" s="3">
        <v>11</v>
      </c>
      <c r="C11" s="3">
        <v>8</v>
      </c>
      <c r="D11" s="2">
        <v>190</v>
      </c>
      <c r="E11" s="3" t="s">
        <v>641</v>
      </c>
      <c r="F11" s="3">
        <v>4</v>
      </c>
      <c r="G11" s="3" t="s">
        <v>45</v>
      </c>
      <c r="H11" s="3" t="str">
        <f t="shared" si="0"/>
        <v>2011</v>
      </c>
      <c r="I11" s="3">
        <v>5</v>
      </c>
      <c r="J11" s="69"/>
      <c r="K11" s="3" t="s">
        <v>46</v>
      </c>
      <c r="L11" s="3" t="s">
        <v>317</v>
      </c>
      <c r="M11" s="3">
        <v>3.2</v>
      </c>
      <c r="N11" s="3">
        <v>174</v>
      </c>
      <c r="O11" s="3" t="str">
        <f t="shared" si="1"/>
        <v>2007</v>
      </c>
      <c r="P11" s="2">
        <v>190</v>
      </c>
      <c r="AH11">
        <v>2.2999999999999998</v>
      </c>
      <c r="AI11">
        <f t="shared" si="2"/>
        <v>0.3864924642108914</v>
      </c>
      <c r="AJ11">
        <f t="shared" si="3"/>
        <v>2.4349635485955092</v>
      </c>
      <c r="AK11">
        <f t="shared" si="4"/>
        <v>2.4349635485955094E-3</v>
      </c>
      <c r="AL11">
        <f t="shared" si="5"/>
        <v>1.2174817742977547E-2</v>
      </c>
    </row>
    <row r="12" spans="1:59" x14ac:dyDescent="0.35">
      <c r="A12" s="3">
        <v>2023</v>
      </c>
      <c r="B12" s="3">
        <v>11</v>
      </c>
      <c r="C12" s="3">
        <v>17</v>
      </c>
      <c r="D12" s="2">
        <v>499</v>
      </c>
      <c r="E12" s="3" t="s">
        <v>953</v>
      </c>
      <c r="F12" s="3">
        <v>4</v>
      </c>
      <c r="G12" s="3" t="s">
        <v>225</v>
      </c>
      <c r="H12" s="3" t="str">
        <f t="shared" si="0"/>
        <v>2022</v>
      </c>
      <c r="I12" s="3">
        <v>1</v>
      </c>
      <c r="J12" s="69"/>
      <c r="K12" s="3" t="s">
        <v>235</v>
      </c>
      <c r="L12" s="3">
        <v>5</v>
      </c>
      <c r="M12" s="3">
        <v>4.5999999999999996</v>
      </c>
      <c r="N12" s="3">
        <v>181</v>
      </c>
      <c r="O12" s="3" t="str">
        <f t="shared" si="1"/>
        <v>2021</v>
      </c>
      <c r="P12" s="2">
        <v>499</v>
      </c>
      <c r="AH12">
        <v>2.33</v>
      </c>
      <c r="AI12">
        <f t="shared" si="2"/>
        <v>0.40021373546143441</v>
      </c>
      <c r="AJ12">
        <f t="shared" si="3"/>
        <v>2.5131229458115687</v>
      </c>
      <c r="AK12">
        <f t="shared" si="4"/>
        <v>2.5131229458115688E-3</v>
      </c>
      <c r="AL12">
        <f t="shared" si="5"/>
        <v>1.2565614729057845E-2</v>
      </c>
    </row>
    <row r="13" spans="1:59" x14ac:dyDescent="0.35">
      <c r="A13" s="3">
        <v>2019</v>
      </c>
      <c r="B13" s="3">
        <v>11</v>
      </c>
      <c r="C13" s="3">
        <v>27</v>
      </c>
      <c r="D13" s="2">
        <v>42</v>
      </c>
      <c r="E13" s="3" t="s">
        <v>484</v>
      </c>
      <c r="F13" s="3">
        <v>4</v>
      </c>
      <c r="G13" s="3" t="s">
        <v>45</v>
      </c>
      <c r="H13" s="3" t="str">
        <f t="shared" si="0"/>
        <v>2011</v>
      </c>
      <c r="I13" s="3">
        <v>8</v>
      </c>
      <c r="J13" s="69"/>
      <c r="K13" s="3" t="s">
        <v>317</v>
      </c>
      <c r="L13" s="3" t="s">
        <v>317</v>
      </c>
      <c r="M13" s="3">
        <v>16.899999999999999</v>
      </c>
      <c r="N13" s="3">
        <v>188</v>
      </c>
      <c r="O13" s="3" t="str">
        <f t="shared" si="1"/>
        <v>2007</v>
      </c>
      <c r="P13" s="2">
        <v>42</v>
      </c>
      <c r="AH13">
        <v>2.34</v>
      </c>
      <c r="AI13">
        <f t="shared" si="2"/>
        <v>0.4047482603659282</v>
      </c>
      <c r="AJ13">
        <f t="shared" si="3"/>
        <v>2.539500252616004</v>
      </c>
      <c r="AK13">
        <f t="shared" si="4"/>
        <v>2.5395002526160042E-3</v>
      </c>
      <c r="AL13">
        <f t="shared" si="5"/>
        <v>1.2697501263080021E-2</v>
      </c>
    </row>
    <row r="14" spans="1:59" x14ac:dyDescent="0.35">
      <c r="A14" s="3">
        <v>2019</v>
      </c>
      <c r="B14" s="3">
        <v>8</v>
      </c>
      <c r="C14" s="3">
        <v>9</v>
      </c>
      <c r="D14" s="2">
        <v>312</v>
      </c>
      <c r="E14" s="3" t="s">
        <v>779</v>
      </c>
      <c r="F14" s="3">
        <v>3</v>
      </c>
      <c r="G14" s="3" t="s">
        <v>45</v>
      </c>
      <c r="H14" s="3" t="str">
        <f t="shared" si="0"/>
        <v>2011</v>
      </c>
      <c r="I14" s="3">
        <v>8</v>
      </c>
      <c r="J14" s="69"/>
      <c r="K14" s="3" t="s">
        <v>647</v>
      </c>
      <c r="L14" s="3" t="s">
        <v>317</v>
      </c>
      <c r="M14" s="3">
        <v>0.3</v>
      </c>
      <c r="N14" s="3">
        <v>190</v>
      </c>
      <c r="O14" s="3" t="str">
        <f t="shared" si="1"/>
        <v>2007</v>
      </c>
      <c r="P14" s="2">
        <v>312</v>
      </c>
      <c r="AH14">
        <v>2.35</v>
      </c>
      <c r="AI14">
        <f t="shared" si="2"/>
        <v>0.40926344821849309</v>
      </c>
      <c r="AJ14">
        <f t="shared" si="3"/>
        <v>2.5660401550882823</v>
      </c>
    </row>
    <row r="15" spans="1:59" x14ac:dyDescent="0.35">
      <c r="A15" s="3">
        <v>2018</v>
      </c>
      <c r="B15" s="3">
        <v>8</v>
      </c>
      <c r="C15" s="3">
        <v>16</v>
      </c>
      <c r="D15" s="2">
        <v>337</v>
      </c>
      <c r="E15" s="3" t="s">
        <v>803</v>
      </c>
      <c r="F15" s="3">
        <v>3</v>
      </c>
      <c r="G15" s="3" t="s">
        <v>41</v>
      </c>
      <c r="H15" s="3" t="str">
        <f t="shared" si="0"/>
        <v>2013</v>
      </c>
      <c r="I15" s="3">
        <v>5</v>
      </c>
      <c r="J15" s="69"/>
      <c r="K15" s="3" t="s">
        <v>583</v>
      </c>
      <c r="L15" s="3" t="s">
        <v>318</v>
      </c>
      <c r="M15" s="3">
        <v>3.9</v>
      </c>
      <c r="N15" s="3">
        <v>191</v>
      </c>
      <c r="O15" s="3" t="str">
        <f t="shared" si="1"/>
        <v>2011</v>
      </c>
      <c r="P15" s="2">
        <v>337</v>
      </c>
      <c r="AH15">
        <v>2.36</v>
      </c>
      <c r="AI15">
        <f t="shared" si="2"/>
        <v>0.41375946324111984</v>
      </c>
      <c r="AJ15">
        <f t="shared" si="3"/>
        <v>2.5927429572099916</v>
      </c>
      <c r="AK15">
        <f>AJ15/1000</f>
        <v>2.5927429572099917E-3</v>
      </c>
      <c r="AL15">
        <f>5*AK15</f>
        <v>1.2963714786049959E-2</v>
      </c>
    </row>
    <row r="16" spans="1:59" x14ac:dyDescent="0.35">
      <c r="A16" s="3">
        <v>2016</v>
      </c>
      <c r="B16" s="3">
        <v>9</v>
      </c>
      <c r="C16" s="3">
        <v>2</v>
      </c>
      <c r="D16" s="2">
        <v>220</v>
      </c>
      <c r="E16" s="3" t="s">
        <v>678</v>
      </c>
      <c r="F16" s="3">
        <v>3</v>
      </c>
      <c r="G16" s="3" t="s">
        <v>41</v>
      </c>
      <c r="H16" s="3" t="str">
        <f t="shared" si="0"/>
        <v>2013</v>
      </c>
      <c r="I16" s="3">
        <v>3</v>
      </c>
      <c r="J16" s="69"/>
      <c r="K16" s="3" t="s">
        <v>49</v>
      </c>
      <c r="L16" s="3" t="s">
        <v>318</v>
      </c>
      <c r="M16" s="3">
        <v>4.7</v>
      </c>
      <c r="N16" s="3">
        <v>192</v>
      </c>
      <c r="O16" s="3" t="str">
        <f t="shared" si="1"/>
        <v>2011</v>
      </c>
      <c r="P16" s="2">
        <v>220</v>
      </c>
      <c r="AH16">
        <v>2.38</v>
      </c>
      <c r="AI16">
        <f t="shared" si="2"/>
        <v>0.42269462130377616</v>
      </c>
      <c r="AJ16">
        <f t="shared" si="3"/>
        <v>2.6466384727023433</v>
      </c>
      <c r="AK16">
        <f>AJ16/1000</f>
        <v>2.6466384727023432E-3</v>
      </c>
      <c r="AL16">
        <f>5*AK16</f>
        <v>1.3233192363511715E-2</v>
      </c>
    </row>
    <row r="17" spans="1:38" x14ac:dyDescent="0.35">
      <c r="A17" s="3">
        <v>2023</v>
      </c>
      <c r="B17" s="3">
        <v>10</v>
      </c>
      <c r="C17" s="3">
        <v>30</v>
      </c>
      <c r="D17" s="2">
        <v>522</v>
      </c>
      <c r="E17" s="3" t="s">
        <v>974</v>
      </c>
      <c r="F17" s="3">
        <v>4</v>
      </c>
      <c r="G17" s="3" t="s">
        <v>225</v>
      </c>
      <c r="H17" s="3" t="str">
        <f t="shared" si="0"/>
        <v>2021</v>
      </c>
      <c r="I17" s="3">
        <v>2</v>
      </c>
      <c r="J17" s="69"/>
      <c r="K17" s="3" t="s">
        <v>237</v>
      </c>
      <c r="L17" s="3">
        <v>3</v>
      </c>
      <c r="M17" s="3">
        <v>5.6</v>
      </c>
      <c r="N17" s="3">
        <v>194</v>
      </c>
      <c r="O17" s="3" t="str">
        <f t="shared" si="1"/>
        <v>2021</v>
      </c>
      <c r="P17" s="2">
        <v>522</v>
      </c>
      <c r="AH17">
        <v>2.42</v>
      </c>
      <c r="AI17">
        <f t="shared" si="2"/>
        <v>0.44034186226029143</v>
      </c>
      <c r="AJ17">
        <f t="shared" si="3"/>
        <v>2.7563975946585479</v>
      </c>
      <c r="AK17">
        <f>AJ17/1000</f>
        <v>2.7563975946585479E-3</v>
      </c>
      <c r="AL17">
        <f>5*AK17</f>
        <v>1.3781987973292741E-2</v>
      </c>
    </row>
    <row r="18" spans="1:38" x14ac:dyDescent="0.35">
      <c r="A18" s="3">
        <v>2024</v>
      </c>
      <c r="B18" s="3">
        <v>2</v>
      </c>
      <c r="C18" s="3">
        <v>23</v>
      </c>
      <c r="D18" s="2">
        <v>644</v>
      </c>
      <c r="E18" s="3" t="s">
        <v>1078</v>
      </c>
      <c r="F18" s="3">
        <v>1</v>
      </c>
      <c r="G18" s="3" t="s">
        <v>225</v>
      </c>
      <c r="H18" s="3" t="str">
        <f t="shared" si="0"/>
        <v>2022</v>
      </c>
      <c r="I18" s="3">
        <v>2</v>
      </c>
      <c r="J18" s="69"/>
      <c r="K18" t="s">
        <v>21</v>
      </c>
      <c r="L18" s="3">
        <v>2</v>
      </c>
      <c r="M18">
        <v>5.9</v>
      </c>
      <c r="N18" s="3">
        <v>197</v>
      </c>
      <c r="O18" s="3" t="str">
        <f t="shared" si="1"/>
        <v>2021</v>
      </c>
      <c r="P18" s="2">
        <v>644</v>
      </c>
      <c r="AH18">
        <v>2.4300000000000002</v>
      </c>
      <c r="AI18">
        <f t="shared" si="2"/>
        <v>0.44470809503268532</v>
      </c>
      <c r="AJ18">
        <f t="shared" si="3"/>
        <v>2.7842491454162688</v>
      </c>
      <c r="AK18">
        <f>AJ18/1000</f>
        <v>2.7842491454162688E-3</v>
      </c>
      <c r="AL18">
        <f>5*AK18</f>
        <v>1.3921245727081344E-2</v>
      </c>
    </row>
    <row r="19" spans="1:38" x14ac:dyDescent="0.35">
      <c r="A19" s="3" t="s">
        <v>28</v>
      </c>
      <c r="B19" s="3" t="s">
        <v>28</v>
      </c>
      <c r="C19" s="3" t="s">
        <v>28</v>
      </c>
      <c r="D19" s="2">
        <v>449</v>
      </c>
      <c r="E19" s="3" t="s">
        <v>908</v>
      </c>
      <c r="F19" s="3" t="s">
        <v>28</v>
      </c>
      <c r="G19" s="3" t="s">
        <v>28</v>
      </c>
      <c r="H19" s="3" t="b">
        <f t="shared" si="0"/>
        <v>0</v>
      </c>
      <c r="I19" s="3" t="e">
        <v>#VALUE!</v>
      </c>
      <c r="J19" s="69"/>
      <c r="K19" s="3" t="s">
        <v>28</v>
      </c>
      <c r="L19" s="3" t="s">
        <v>28</v>
      </c>
      <c r="M19" s="3">
        <v>6.9</v>
      </c>
      <c r="N19" s="3">
        <v>199</v>
      </c>
      <c r="O19" s="3" t="b">
        <f t="shared" si="1"/>
        <v>0</v>
      </c>
      <c r="P19" s="2">
        <v>449</v>
      </c>
      <c r="AH19">
        <v>2.46</v>
      </c>
      <c r="AI19">
        <f t="shared" si="2"/>
        <v>0.45769979111803843</v>
      </c>
      <c r="AJ19">
        <f t="shared" si="3"/>
        <v>2.8687968220201467</v>
      </c>
    </row>
    <row r="20" spans="1:38" x14ac:dyDescent="0.35">
      <c r="A20" s="3">
        <v>2019</v>
      </c>
      <c r="B20" s="3">
        <v>11</v>
      </c>
      <c r="C20" s="3">
        <v>27</v>
      </c>
      <c r="D20" s="2">
        <v>57</v>
      </c>
      <c r="E20" s="3" t="s">
        <v>500</v>
      </c>
      <c r="F20" s="3">
        <v>4</v>
      </c>
      <c r="G20" s="3" t="s">
        <v>45</v>
      </c>
      <c r="H20" s="3" t="str">
        <f t="shared" si="0"/>
        <v>2009</v>
      </c>
      <c r="I20" s="3">
        <v>10</v>
      </c>
      <c r="J20" s="69"/>
      <c r="K20" s="3" t="s">
        <v>488</v>
      </c>
      <c r="L20" s="3" t="s">
        <v>488</v>
      </c>
      <c r="M20" s="3">
        <v>5.0999999999999996</v>
      </c>
      <c r="N20" s="3">
        <v>200</v>
      </c>
      <c r="O20" s="3" t="str">
        <f t="shared" si="1"/>
        <v>2007</v>
      </c>
      <c r="P20" s="2">
        <v>57</v>
      </c>
      <c r="AH20">
        <v>2.52</v>
      </c>
      <c r="AI20">
        <f t="shared" si="2"/>
        <v>0.48321451842540447</v>
      </c>
      <c r="AJ20">
        <f t="shared" si="3"/>
        <v>3.0423874325187366</v>
      </c>
      <c r="AK20">
        <f t="shared" ref="AK20:AK27" si="6">AJ20/1000</f>
        <v>3.0423874325187367E-3</v>
      </c>
      <c r="AL20">
        <f t="shared" ref="AL20:AL27" si="7">5*AK20</f>
        <v>1.5211937162593683E-2</v>
      </c>
    </row>
    <row r="21" spans="1:38" x14ac:dyDescent="0.35">
      <c r="A21" s="3">
        <v>2024</v>
      </c>
      <c r="B21" s="3">
        <v>8</v>
      </c>
      <c r="C21" s="3">
        <v>5</v>
      </c>
      <c r="D21" s="2">
        <v>760</v>
      </c>
      <c r="E21" s="3" t="s">
        <v>1153</v>
      </c>
      <c r="F21" s="3">
        <v>3</v>
      </c>
      <c r="G21" s="3" t="s">
        <v>20</v>
      </c>
      <c r="H21" s="3" t="str">
        <f t="shared" si="0"/>
        <v>2020</v>
      </c>
      <c r="I21" s="3">
        <v>4</v>
      </c>
      <c r="J21" s="69"/>
      <c r="K21" s="6" t="s">
        <v>783</v>
      </c>
      <c r="L21">
        <v>7</v>
      </c>
      <c r="M21">
        <v>4.9000000000000004</v>
      </c>
      <c r="N21" s="3">
        <v>200</v>
      </c>
      <c r="O21" s="3" t="str">
        <f t="shared" si="1"/>
        <v>2018</v>
      </c>
      <c r="P21" s="2">
        <v>760</v>
      </c>
      <c r="AH21">
        <v>2.52</v>
      </c>
      <c r="AI21">
        <f t="shared" si="2"/>
        <v>0.48321451842540447</v>
      </c>
      <c r="AJ21">
        <f t="shared" si="3"/>
        <v>3.0423874325187366</v>
      </c>
      <c r="AK21">
        <f t="shared" si="6"/>
        <v>3.0423874325187367E-3</v>
      </c>
      <c r="AL21">
        <f t="shared" si="7"/>
        <v>1.5211937162593683E-2</v>
      </c>
    </row>
    <row r="22" spans="1:38" x14ac:dyDescent="0.35">
      <c r="A22" s="3">
        <v>2024</v>
      </c>
      <c r="B22" s="3">
        <v>1</v>
      </c>
      <c r="C22" s="3">
        <v>19</v>
      </c>
      <c r="D22" s="2">
        <v>577</v>
      </c>
      <c r="E22" s="3" t="s">
        <v>1021</v>
      </c>
      <c r="F22" s="3">
        <v>1</v>
      </c>
      <c r="G22" s="3" t="s">
        <v>41</v>
      </c>
      <c r="H22" s="3" t="str">
        <f t="shared" si="0"/>
        <v>2013</v>
      </c>
      <c r="I22" s="3">
        <v>11</v>
      </c>
      <c r="J22" s="69"/>
      <c r="K22" t="s">
        <v>509</v>
      </c>
      <c r="L22" s="3" t="s">
        <v>458</v>
      </c>
      <c r="M22">
        <v>19.7</v>
      </c>
      <c r="N22" s="3">
        <v>202</v>
      </c>
      <c r="O22" s="3" t="str">
        <f t="shared" si="1"/>
        <v>2011</v>
      </c>
      <c r="P22" s="2">
        <v>577</v>
      </c>
      <c r="AH22">
        <v>2.56</v>
      </c>
      <c r="AI22">
        <f t="shared" si="2"/>
        <v>0.49988903543028934</v>
      </c>
      <c r="AJ22">
        <f t="shared" si="3"/>
        <v>3.1614697844762212</v>
      </c>
      <c r="AK22">
        <f t="shared" si="6"/>
        <v>3.161469784476221E-3</v>
      </c>
      <c r="AL22">
        <f t="shared" si="7"/>
        <v>1.5807348922381104E-2</v>
      </c>
    </row>
    <row r="23" spans="1:38" x14ac:dyDescent="0.35">
      <c r="A23" s="3">
        <v>2023</v>
      </c>
      <c r="B23" s="3">
        <v>7</v>
      </c>
      <c r="C23" s="3">
        <v>25</v>
      </c>
      <c r="D23" s="2">
        <v>458</v>
      </c>
      <c r="E23" s="3" t="s">
        <v>913</v>
      </c>
      <c r="F23" s="3">
        <v>3</v>
      </c>
      <c r="G23" s="3" t="s">
        <v>20</v>
      </c>
      <c r="H23" s="3" t="str">
        <f t="shared" si="0"/>
        <v>2019</v>
      </c>
      <c r="I23" s="3">
        <v>4</v>
      </c>
      <c r="J23" s="69"/>
      <c r="K23" s="3" t="s">
        <v>914</v>
      </c>
      <c r="L23" s="3">
        <v>23</v>
      </c>
      <c r="M23" s="3">
        <v>5.4</v>
      </c>
      <c r="N23" s="3">
        <v>204</v>
      </c>
      <c r="O23" s="3" t="str">
        <f t="shared" si="1"/>
        <v>2018</v>
      </c>
      <c r="P23" s="2">
        <v>458</v>
      </c>
      <c r="S23">
        <v>2.35</v>
      </c>
      <c r="AH23">
        <v>2.56</v>
      </c>
      <c r="AI23">
        <f t="shared" si="2"/>
        <v>0.49988903543028934</v>
      </c>
      <c r="AJ23">
        <f t="shared" si="3"/>
        <v>3.1614697844762212</v>
      </c>
      <c r="AK23">
        <f t="shared" si="6"/>
        <v>3.161469784476221E-3</v>
      </c>
      <c r="AL23">
        <f t="shared" si="7"/>
        <v>1.5807348922381104E-2</v>
      </c>
    </row>
    <row r="24" spans="1:38" x14ac:dyDescent="0.35">
      <c r="A24" s="3">
        <v>2016</v>
      </c>
      <c r="B24" s="3">
        <v>9</v>
      </c>
      <c r="C24" s="3">
        <v>2</v>
      </c>
      <c r="D24" s="2">
        <v>297</v>
      </c>
      <c r="E24" s="3" t="s">
        <v>763</v>
      </c>
      <c r="F24" s="3">
        <v>3</v>
      </c>
      <c r="G24" s="3" t="s">
        <v>41</v>
      </c>
      <c r="H24" s="3" t="str">
        <f t="shared" si="0"/>
        <v>2013</v>
      </c>
      <c r="I24" s="3">
        <v>3</v>
      </c>
      <c r="J24" s="69"/>
      <c r="K24" s="3" t="s">
        <v>583</v>
      </c>
      <c r="L24" s="3" t="s">
        <v>318</v>
      </c>
      <c r="M24" s="3">
        <v>5.8</v>
      </c>
      <c r="N24" s="3">
        <v>204</v>
      </c>
      <c r="O24" s="3" t="str">
        <f t="shared" si="1"/>
        <v>2011</v>
      </c>
      <c r="P24" s="2">
        <v>297</v>
      </c>
      <c r="AH24">
        <v>2.56</v>
      </c>
      <c r="AI24">
        <f t="shared" si="2"/>
        <v>0.49988903543028934</v>
      </c>
      <c r="AJ24">
        <f t="shared" si="3"/>
        <v>3.1614697844762212</v>
      </c>
      <c r="AK24">
        <f t="shared" si="6"/>
        <v>3.161469784476221E-3</v>
      </c>
      <c r="AL24">
        <f t="shared" si="7"/>
        <v>1.5807348922381104E-2</v>
      </c>
    </row>
    <row r="25" spans="1:38" x14ac:dyDescent="0.35">
      <c r="A25" s="3">
        <v>2018</v>
      </c>
      <c r="B25" s="3">
        <v>8</v>
      </c>
      <c r="C25" s="3">
        <v>15</v>
      </c>
      <c r="D25" s="2">
        <v>310</v>
      </c>
      <c r="E25" s="3" t="s">
        <v>776</v>
      </c>
      <c r="F25" s="3">
        <v>3</v>
      </c>
      <c r="G25" s="3" t="s">
        <v>41</v>
      </c>
      <c r="H25" s="3" t="str">
        <f t="shared" si="0"/>
        <v>2013</v>
      </c>
      <c r="I25" s="3">
        <v>5</v>
      </c>
      <c r="J25" s="69"/>
      <c r="K25" s="3" t="s">
        <v>49</v>
      </c>
      <c r="L25" s="3" t="s">
        <v>318</v>
      </c>
      <c r="M25" s="3">
        <v>6.6</v>
      </c>
      <c r="N25" s="3">
        <v>204</v>
      </c>
      <c r="O25" s="3" t="str">
        <f t="shared" si="1"/>
        <v>2011</v>
      </c>
      <c r="P25" s="2">
        <v>310</v>
      </c>
      <c r="AH25">
        <v>2.57</v>
      </c>
      <c r="AI25">
        <f t="shared" si="2"/>
        <v>0.50401695468169616</v>
      </c>
      <c r="AJ25">
        <f t="shared" si="3"/>
        <v>3.1916624538856162</v>
      </c>
      <c r="AK25">
        <f t="shared" si="6"/>
        <v>3.1916624538856162E-3</v>
      </c>
      <c r="AL25">
        <f t="shared" si="7"/>
        <v>1.5958312269428079E-2</v>
      </c>
    </row>
    <row r="26" spans="1:38" x14ac:dyDescent="0.35">
      <c r="A26" s="3">
        <v>2016</v>
      </c>
      <c r="B26" s="3">
        <v>8</v>
      </c>
      <c r="C26" s="3">
        <v>31</v>
      </c>
      <c r="D26" s="2">
        <v>251</v>
      </c>
      <c r="E26" s="3" t="s">
        <v>709</v>
      </c>
      <c r="F26" s="3">
        <v>3</v>
      </c>
      <c r="G26" s="3" t="s">
        <v>45</v>
      </c>
      <c r="H26" s="3" t="str">
        <f t="shared" si="0"/>
        <v>2009</v>
      </c>
      <c r="I26" s="3">
        <v>7</v>
      </c>
      <c r="J26" s="69"/>
      <c r="K26" s="3" t="s">
        <v>657</v>
      </c>
      <c r="L26" s="3" t="s">
        <v>488</v>
      </c>
      <c r="M26" s="3">
        <v>5.6</v>
      </c>
      <c r="N26" s="3">
        <v>205</v>
      </c>
      <c r="O26" s="3" t="str">
        <f t="shared" si="1"/>
        <v>2007</v>
      </c>
      <c r="P26" s="2">
        <v>251</v>
      </c>
      <c r="AH26">
        <v>2.57</v>
      </c>
      <c r="AI26">
        <f t="shared" si="2"/>
        <v>0.50401695468169616</v>
      </c>
      <c r="AJ26">
        <f t="shared" si="3"/>
        <v>3.1916624538856162</v>
      </c>
      <c r="AK26">
        <f t="shared" si="6"/>
        <v>3.1916624538856162E-3</v>
      </c>
      <c r="AL26">
        <f t="shared" si="7"/>
        <v>1.5958312269428079E-2</v>
      </c>
    </row>
    <row r="27" spans="1:38" x14ac:dyDescent="0.35">
      <c r="A27" s="3">
        <v>2024</v>
      </c>
      <c r="B27" s="3">
        <v>1</v>
      </c>
      <c r="C27" s="3">
        <v>17</v>
      </c>
      <c r="D27" s="2">
        <v>596</v>
      </c>
      <c r="E27" s="3" t="s">
        <v>1040</v>
      </c>
      <c r="F27" s="3">
        <v>1</v>
      </c>
      <c r="G27" s="3" t="s">
        <v>41</v>
      </c>
      <c r="H27" s="3" t="str">
        <f t="shared" si="0"/>
        <v>2013</v>
      </c>
      <c r="I27" s="3">
        <v>11</v>
      </c>
      <c r="J27" s="69"/>
      <c r="K27" t="s">
        <v>509</v>
      </c>
      <c r="L27" s="3" t="s">
        <v>458</v>
      </c>
      <c r="M27">
        <v>17.899999999999999</v>
      </c>
      <c r="N27" s="3">
        <v>205</v>
      </c>
      <c r="O27" s="3" t="str">
        <f t="shared" si="1"/>
        <v>2011</v>
      </c>
      <c r="P27" s="2">
        <v>596</v>
      </c>
      <c r="AH27">
        <v>2.6</v>
      </c>
      <c r="AI27">
        <f t="shared" si="2"/>
        <v>0.51630502235285425</v>
      </c>
      <c r="AJ27">
        <f t="shared" si="3"/>
        <v>3.2832580847652184</v>
      </c>
      <c r="AK27">
        <f t="shared" si="6"/>
        <v>3.2832580847652186E-3</v>
      </c>
      <c r="AL27">
        <f t="shared" si="7"/>
        <v>1.6416290423826092E-2</v>
      </c>
    </row>
    <row r="28" spans="1:38" x14ac:dyDescent="0.35">
      <c r="A28" s="3">
        <v>2023</v>
      </c>
      <c r="B28" s="3">
        <v>1</v>
      </c>
      <c r="C28" s="3">
        <v>30</v>
      </c>
      <c r="D28" s="2">
        <v>102</v>
      </c>
      <c r="E28" s="14" t="s">
        <v>549</v>
      </c>
      <c r="F28" s="15">
        <v>1</v>
      </c>
      <c r="G28" s="3" t="s">
        <v>225</v>
      </c>
      <c r="H28" s="3" t="str">
        <f t="shared" si="0"/>
        <v>2021</v>
      </c>
      <c r="I28" s="3">
        <v>2</v>
      </c>
      <c r="J28" s="69"/>
      <c r="K28" s="3">
        <v>4</v>
      </c>
      <c r="L28" s="3">
        <v>4</v>
      </c>
      <c r="M28" s="3">
        <v>19.7</v>
      </c>
      <c r="N28" s="3">
        <v>208</v>
      </c>
      <c r="O28" s="3" t="str">
        <f t="shared" si="1"/>
        <v>2021</v>
      </c>
      <c r="P28" s="2">
        <v>102</v>
      </c>
      <c r="X28">
        <v>4.0599999999999996</v>
      </c>
      <c r="AH28">
        <v>2.61</v>
      </c>
      <c r="AI28">
        <f t="shared" si="2"/>
        <v>0.52036955689072895</v>
      </c>
      <c r="AJ28">
        <f t="shared" si="3"/>
        <v>3.3141301285547859</v>
      </c>
    </row>
    <row r="29" spans="1:38" x14ac:dyDescent="0.35">
      <c r="A29" s="3">
        <v>2023</v>
      </c>
      <c r="B29" s="3">
        <v>10</v>
      </c>
      <c r="C29" s="3">
        <v>31</v>
      </c>
      <c r="D29" s="2">
        <v>521</v>
      </c>
      <c r="E29" s="3" t="s">
        <v>973</v>
      </c>
      <c r="F29" s="3">
        <v>4</v>
      </c>
      <c r="G29" s="3" t="s">
        <v>225</v>
      </c>
      <c r="H29" s="3" t="str">
        <f t="shared" si="0"/>
        <v>2022</v>
      </c>
      <c r="I29" s="3">
        <v>1</v>
      </c>
      <c r="J29" s="69"/>
      <c r="K29" s="3" t="s">
        <v>83</v>
      </c>
      <c r="L29" s="3">
        <v>2</v>
      </c>
      <c r="M29" s="3">
        <v>6.5</v>
      </c>
      <c r="N29" s="3">
        <v>209</v>
      </c>
      <c r="O29" s="3" t="str">
        <f t="shared" si="1"/>
        <v>2021</v>
      </c>
      <c r="P29" s="2">
        <v>521</v>
      </c>
      <c r="AH29">
        <v>2.67</v>
      </c>
      <c r="AI29">
        <f t="shared" si="2"/>
        <v>0.54443445520683453</v>
      </c>
      <c r="AJ29">
        <f t="shared" si="3"/>
        <v>3.5029541686460353</v>
      </c>
      <c r="AK29">
        <f t="shared" ref="AK29:AK60" si="8">AJ29/1000</f>
        <v>3.5029541686460355E-3</v>
      </c>
      <c r="AL29">
        <f t="shared" ref="AL29:AL60" si="9">5*AK29</f>
        <v>1.7514770843230179E-2</v>
      </c>
    </row>
    <row r="30" spans="1:38" x14ac:dyDescent="0.35">
      <c r="A30" s="3">
        <v>2019</v>
      </c>
      <c r="B30" s="3">
        <v>11</v>
      </c>
      <c r="C30" s="3">
        <v>27</v>
      </c>
      <c r="D30" s="2">
        <v>56</v>
      </c>
      <c r="E30" s="3" t="s">
        <v>499</v>
      </c>
      <c r="F30" s="3">
        <v>4</v>
      </c>
      <c r="G30" s="3" t="s">
        <v>45</v>
      </c>
      <c r="H30" s="3" t="str">
        <f t="shared" si="0"/>
        <v>2009</v>
      </c>
      <c r="I30" s="3">
        <v>10</v>
      </c>
      <c r="J30" s="69"/>
      <c r="K30" s="3" t="s">
        <v>488</v>
      </c>
      <c r="L30" s="3" t="s">
        <v>488</v>
      </c>
      <c r="M30" s="3">
        <v>5.9</v>
      </c>
      <c r="N30" s="3">
        <v>211</v>
      </c>
      <c r="O30" s="3" t="str">
        <f t="shared" si="1"/>
        <v>2007</v>
      </c>
      <c r="P30" s="2">
        <v>56</v>
      </c>
      <c r="AH30">
        <v>2.72</v>
      </c>
      <c r="AI30">
        <f t="shared" si="2"/>
        <v>0.56407898803537648</v>
      </c>
      <c r="AJ30">
        <f t="shared" si="3"/>
        <v>3.6650422715577733</v>
      </c>
      <c r="AK30">
        <f t="shared" si="8"/>
        <v>3.6650422715577731E-3</v>
      </c>
      <c r="AL30">
        <f t="shared" si="9"/>
        <v>1.8325211357788865E-2</v>
      </c>
    </row>
    <row r="31" spans="1:38" x14ac:dyDescent="0.35">
      <c r="A31" s="3">
        <v>2016</v>
      </c>
      <c r="B31" s="3">
        <v>11</v>
      </c>
      <c r="C31" s="3">
        <v>16</v>
      </c>
      <c r="D31" s="2">
        <v>178</v>
      </c>
      <c r="E31" s="3" t="s">
        <v>628</v>
      </c>
      <c r="F31" s="3">
        <v>4</v>
      </c>
      <c r="G31" s="3" t="s">
        <v>41</v>
      </c>
      <c r="H31" s="3" t="str">
        <f t="shared" si="0"/>
        <v>2013</v>
      </c>
      <c r="I31" s="3">
        <v>3</v>
      </c>
      <c r="J31" s="69"/>
      <c r="K31" s="3" t="s">
        <v>583</v>
      </c>
      <c r="L31" s="3" t="s">
        <v>318</v>
      </c>
      <c r="M31" s="3">
        <v>6.2</v>
      </c>
      <c r="N31" s="3">
        <v>212</v>
      </c>
      <c r="O31" s="3" t="str">
        <f t="shared" si="1"/>
        <v>2011</v>
      </c>
      <c r="P31" s="2">
        <v>178</v>
      </c>
      <c r="AH31">
        <v>2.76</v>
      </c>
      <c r="AI31">
        <f t="shared" si="2"/>
        <v>0.5795363420750006</v>
      </c>
      <c r="AJ31">
        <f t="shared" si="3"/>
        <v>3.7978371821669894</v>
      </c>
      <c r="AK31">
        <f t="shared" si="8"/>
        <v>3.7978371821669895E-3</v>
      </c>
      <c r="AL31">
        <f t="shared" si="9"/>
        <v>1.8989185910834948E-2</v>
      </c>
    </row>
    <row r="32" spans="1:38" x14ac:dyDescent="0.35">
      <c r="A32" s="3">
        <v>2019</v>
      </c>
      <c r="B32" s="3">
        <v>8</v>
      </c>
      <c r="C32" s="3">
        <v>9</v>
      </c>
      <c r="D32" s="2">
        <v>320</v>
      </c>
      <c r="E32" s="3" t="s">
        <v>787</v>
      </c>
      <c r="F32" s="3">
        <v>3</v>
      </c>
      <c r="G32" s="3" t="s">
        <v>45</v>
      </c>
      <c r="H32" s="3" t="str">
        <f t="shared" si="0"/>
        <v>2011</v>
      </c>
      <c r="I32" s="3">
        <v>8</v>
      </c>
      <c r="J32" s="69"/>
      <c r="K32" s="3" t="s">
        <v>632</v>
      </c>
      <c r="L32" s="3" t="s">
        <v>317</v>
      </c>
      <c r="M32" s="3">
        <v>5.0999999999999996</v>
      </c>
      <c r="N32" s="3">
        <v>213</v>
      </c>
      <c r="O32" s="3" t="str">
        <f t="shared" si="1"/>
        <v>2007</v>
      </c>
      <c r="P32" s="2">
        <v>320</v>
      </c>
      <c r="Y32">
        <v>2.61</v>
      </c>
      <c r="AH32">
        <v>2.76</v>
      </c>
      <c r="AI32">
        <f t="shared" si="2"/>
        <v>0.5795363420750006</v>
      </c>
      <c r="AJ32">
        <f t="shared" si="3"/>
        <v>3.7978371821669894</v>
      </c>
      <c r="AK32">
        <f t="shared" si="8"/>
        <v>3.7978371821669895E-3</v>
      </c>
      <c r="AL32">
        <f t="shared" si="9"/>
        <v>1.8989185910834948E-2</v>
      </c>
    </row>
    <row r="33" spans="1:38" x14ac:dyDescent="0.35">
      <c r="A33" s="3">
        <v>2022</v>
      </c>
      <c r="B33" s="3">
        <v>11</v>
      </c>
      <c r="C33" s="3">
        <v>18</v>
      </c>
      <c r="D33" s="2">
        <v>110</v>
      </c>
      <c r="E33" s="14" t="s">
        <v>558</v>
      </c>
      <c r="F33" s="15">
        <v>4</v>
      </c>
      <c r="G33" s="3" t="s">
        <v>225</v>
      </c>
      <c r="H33" s="3" t="str">
        <f t="shared" si="0"/>
        <v>2021</v>
      </c>
      <c r="I33" s="3">
        <v>1</v>
      </c>
      <c r="J33" s="69"/>
      <c r="K33" s="3">
        <v>4</v>
      </c>
      <c r="L33" s="3">
        <v>4</v>
      </c>
      <c r="M33" s="3">
        <v>6.6</v>
      </c>
      <c r="N33" s="3">
        <v>213</v>
      </c>
      <c r="O33" s="3" t="str">
        <f t="shared" si="1"/>
        <v>2021</v>
      </c>
      <c r="P33" s="2">
        <v>110</v>
      </c>
      <c r="AH33">
        <v>2.77</v>
      </c>
      <c r="AI33">
        <f t="shared" si="2"/>
        <v>0.58336567697912556</v>
      </c>
      <c r="AJ33">
        <f t="shared" si="3"/>
        <v>3.8314721839787693</v>
      </c>
      <c r="AK33">
        <f t="shared" si="8"/>
        <v>3.8314721839787691E-3</v>
      </c>
      <c r="AL33">
        <f t="shared" si="9"/>
        <v>1.9157360919893847E-2</v>
      </c>
    </row>
    <row r="34" spans="1:38" x14ac:dyDescent="0.35">
      <c r="A34" s="3">
        <v>2023</v>
      </c>
      <c r="B34" s="3">
        <v>11</v>
      </c>
      <c r="C34" s="3">
        <v>3</v>
      </c>
      <c r="D34" s="2">
        <v>528</v>
      </c>
      <c r="E34" s="3" t="s">
        <v>982</v>
      </c>
      <c r="F34" s="3">
        <v>4</v>
      </c>
      <c r="G34" s="3" t="s">
        <v>226</v>
      </c>
      <c r="H34" s="3" t="str">
        <f t="shared" ref="H34:H65" si="10">IF(L34="A55","2009",IF(L34="A59","2009",IF(L34="A60","2010",IF(L34="A62","2011",IF(L34="CP","2013",IF(L34="MD","2012",IF(L34="TS","2013",IF(L34="DL","2018",IF(L34="SCU","2018",IF(L34="NCU","2018",IF(L34="C1C","2018",IF(L34="C1E","2018",IF(L34="RS1S","2018",IF(L34="C2B","2018",IF(L34="DB3","2018",IF(AND(L34=6,G34="SRS"),"2018",IF(AND(L34=7,G34="SRS"),"2020",IF(AND(L34=8,G34="SRS"),"2020",IF(L34=23,"2019",IF(AND(L34=7,G34="WCA 3B"),"2017",IF(AND(L34=8,G34="WCA 3B"),"2019",IF(L34=1,"2021",IF(L34=2,"2022",IF(L34=3,"2021",IF(L34=4,"2021",IF(L34=5,"2022",IF(AND(L34=6,G34="WCA 3A"),"2022",IF(L34=9,"2023",IF(L34=10,"2023",IF(L34=37,"2020"))))))))))))))))))))))))))))))</f>
        <v>2017</v>
      </c>
      <c r="I34" s="3">
        <v>6</v>
      </c>
      <c r="J34" s="69"/>
      <c r="K34" s="3" t="s">
        <v>228</v>
      </c>
      <c r="L34" s="3">
        <v>7</v>
      </c>
      <c r="M34" s="3">
        <v>7.9</v>
      </c>
      <c r="N34" s="3">
        <v>213</v>
      </c>
      <c r="O34" s="3" t="str">
        <f t="shared" si="1"/>
        <v>2017</v>
      </c>
      <c r="P34" s="2">
        <v>528</v>
      </c>
      <c r="AH34">
        <v>2.78</v>
      </c>
      <c r="AI34">
        <f t="shared" si="2"/>
        <v>0.58718121244826982</v>
      </c>
      <c r="AJ34">
        <f t="shared" si="3"/>
        <v>3.8652822505011035</v>
      </c>
      <c r="AK34">
        <f t="shared" si="8"/>
        <v>3.8652822505011036E-3</v>
      </c>
      <c r="AL34">
        <f t="shared" si="9"/>
        <v>1.9326411252505518E-2</v>
      </c>
    </row>
    <row r="35" spans="1:38" x14ac:dyDescent="0.35">
      <c r="A35" s="3">
        <v>2023</v>
      </c>
      <c r="B35" s="3">
        <v>8</v>
      </c>
      <c r="C35" s="3">
        <v>2</v>
      </c>
      <c r="D35" s="2">
        <v>430</v>
      </c>
      <c r="E35" s="3" t="s">
        <v>891</v>
      </c>
      <c r="F35" s="3">
        <v>3</v>
      </c>
      <c r="G35" s="3" t="s">
        <v>225</v>
      </c>
      <c r="H35" s="3" t="str">
        <f t="shared" si="10"/>
        <v>2022</v>
      </c>
      <c r="I35" s="3">
        <v>1</v>
      </c>
      <c r="J35" s="69"/>
      <c r="K35" s="3" t="s">
        <v>67</v>
      </c>
      <c r="L35" s="3">
        <v>2</v>
      </c>
      <c r="M35" s="3">
        <v>7.3</v>
      </c>
      <c r="N35" s="3">
        <v>216</v>
      </c>
      <c r="O35" s="3" t="str">
        <f t="shared" si="1"/>
        <v>2021</v>
      </c>
      <c r="P35" s="2">
        <v>430</v>
      </c>
      <c r="T35">
        <v>4.62</v>
      </c>
      <c r="AH35">
        <v>2.79</v>
      </c>
      <c r="AI35">
        <f t="shared" si="2"/>
        <v>0.59098304758103093</v>
      </c>
      <c r="AJ35">
        <f t="shared" si="3"/>
        <v>3.8992676582711696</v>
      </c>
      <c r="AK35">
        <f t="shared" si="8"/>
        <v>3.8992676582711694E-3</v>
      </c>
      <c r="AL35">
        <f t="shared" si="9"/>
        <v>1.9496338291355848E-2</v>
      </c>
    </row>
    <row r="36" spans="1:38" x14ac:dyDescent="0.35">
      <c r="A36" s="3">
        <v>2023</v>
      </c>
      <c r="B36" s="3">
        <v>11</v>
      </c>
      <c r="C36" s="3">
        <v>20</v>
      </c>
      <c r="D36" s="2">
        <v>525</v>
      </c>
      <c r="E36" s="3" t="s">
        <v>978</v>
      </c>
      <c r="F36" s="3">
        <v>4</v>
      </c>
      <c r="G36" s="3" t="s">
        <v>225</v>
      </c>
      <c r="H36" s="3" t="str">
        <f t="shared" si="10"/>
        <v>2023</v>
      </c>
      <c r="I36" s="3">
        <v>0</v>
      </c>
      <c r="J36" s="69"/>
      <c r="K36" s="3" t="s">
        <v>979</v>
      </c>
      <c r="L36" s="3">
        <v>9</v>
      </c>
      <c r="M36" s="3">
        <v>8</v>
      </c>
      <c r="N36" s="3">
        <v>216</v>
      </c>
      <c r="O36" s="3" t="str">
        <f t="shared" si="1"/>
        <v>2021</v>
      </c>
      <c r="P36" s="2">
        <v>525</v>
      </c>
      <c r="AH36">
        <v>2.79</v>
      </c>
      <c r="AI36">
        <f t="shared" si="2"/>
        <v>0.59098304758103093</v>
      </c>
      <c r="AJ36">
        <f t="shared" si="3"/>
        <v>3.8992676582711696</v>
      </c>
      <c r="AK36">
        <f t="shared" si="8"/>
        <v>3.8992676582711694E-3</v>
      </c>
      <c r="AL36">
        <f t="shared" si="9"/>
        <v>1.9496338291355848E-2</v>
      </c>
    </row>
    <row r="37" spans="1:38" x14ac:dyDescent="0.35">
      <c r="A37" s="3">
        <v>2019</v>
      </c>
      <c r="B37" s="3">
        <v>8</v>
      </c>
      <c r="C37" s="3">
        <v>9</v>
      </c>
      <c r="D37" s="2">
        <v>313</v>
      </c>
      <c r="E37" s="3" t="s">
        <v>780</v>
      </c>
      <c r="F37" s="3">
        <v>3</v>
      </c>
      <c r="G37" s="3" t="s">
        <v>45</v>
      </c>
      <c r="H37" s="3" t="str">
        <f t="shared" si="10"/>
        <v>2011</v>
      </c>
      <c r="I37" s="3">
        <v>8</v>
      </c>
      <c r="J37" s="69"/>
      <c r="K37" s="3" t="s">
        <v>317</v>
      </c>
      <c r="L37" s="3" t="s">
        <v>317</v>
      </c>
      <c r="M37" s="3">
        <v>3.5</v>
      </c>
      <c r="N37" s="3">
        <v>217</v>
      </c>
      <c r="O37" s="3" t="str">
        <f t="shared" si="1"/>
        <v>2007</v>
      </c>
      <c r="P37" s="2">
        <v>313</v>
      </c>
      <c r="AH37">
        <v>2.8</v>
      </c>
      <c r="AI37">
        <f t="shared" si="2"/>
        <v>0.59477128041233041</v>
      </c>
      <c r="AJ37">
        <f t="shared" si="3"/>
        <v>3.9334286832676506</v>
      </c>
      <c r="AK37">
        <f t="shared" si="8"/>
        <v>3.9334286832676509E-3</v>
      </c>
      <c r="AL37">
        <f t="shared" si="9"/>
        <v>1.9667143416338254E-2</v>
      </c>
    </row>
    <row r="38" spans="1:38" x14ac:dyDescent="0.35">
      <c r="A38" s="3">
        <v>2018</v>
      </c>
      <c r="B38" s="3">
        <v>8</v>
      </c>
      <c r="C38" s="3">
        <v>16</v>
      </c>
      <c r="D38" s="2">
        <v>325</v>
      </c>
      <c r="E38" s="3" t="s">
        <v>792</v>
      </c>
      <c r="F38" s="3">
        <v>3</v>
      </c>
      <c r="G38" s="3" t="s">
        <v>45</v>
      </c>
      <c r="H38" s="3" t="str">
        <f t="shared" si="10"/>
        <v>2011</v>
      </c>
      <c r="I38" s="3">
        <v>7</v>
      </c>
      <c r="J38" s="69"/>
      <c r="K38" s="3" t="s">
        <v>647</v>
      </c>
      <c r="L38" s="3" t="s">
        <v>317</v>
      </c>
      <c r="M38" s="3">
        <v>7.2</v>
      </c>
      <c r="N38" s="3">
        <v>220</v>
      </c>
      <c r="O38" s="3" t="str">
        <f t="shared" si="1"/>
        <v>2007</v>
      </c>
      <c r="P38" s="2">
        <v>325</v>
      </c>
      <c r="AH38">
        <v>2.83</v>
      </c>
      <c r="AI38">
        <f t="shared" si="2"/>
        <v>0.60605532980821963</v>
      </c>
      <c r="AJ38">
        <f t="shared" si="3"/>
        <v>4.036968213090697</v>
      </c>
      <c r="AK38">
        <f t="shared" si="8"/>
        <v>4.0369682130906972E-3</v>
      </c>
      <c r="AL38">
        <f t="shared" si="9"/>
        <v>2.0184841065453485E-2</v>
      </c>
    </row>
    <row r="39" spans="1:38" x14ac:dyDescent="0.35">
      <c r="A39" s="3">
        <v>2024</v>
      </c>
      <c r="B39" s="3">
        <v>8</v>
      </c>
      <c r="C39" s="3">
        <v>15</v>
      </c>
      <c r="D39" s="2">
        <v>730</v>
      </c>
      <c r="E39" s="3" t="s">
        <v>246</v>
      </c>
      <c r="F39" s="3">
        <v>3</v>
      </c>
      <c r="G39" s="3" t="s">
        <v>225</v>
      </c>
      <c r="H39" s="3" t="str">
        <f t="shared" si="10"/>
        <v>2021</v>
      </c>
      <c r="I39" s="3">
        <v>3</v>
      </c>
      <c r="J39" s="69"/>
      <c r="K39">
        <v>3</v>
      </c>
      <c r="L39">
        <v>3</v>
      </c>
      <c r="M39">
        <v>8.9</v>
      </c>
      <c r="N39" s="3">
        <v>220</v>
      </c>
      <c r="O39" s="3" t="str">
        <f t="shared" si="1"/>
        <v>2021</v>
      </c>
      <c r="P39" s="2">
        <v>730</v>
      </c>
      <c r="AH39">
        <v>2.83</v>
      </c>
      <c r="AI39">
        <f t="shared" si="2"/>
        <v>0.60605532980821963</v>
      </c>
      <c r="AJ39">
        <f t="shared" si="3"/>
        <v>4.036968213090697</v>
      </c>
      <c r="AK39">
        <f t="shared" si="8"/>
        <v>4.0369682130906972E-3</v>
      </c>
      <c r="AL39">
        <f t="shared" si="9"/>
        <v>2.0184841065453485E-2</v>
      </c>
    </row>
    <row r="40" spans="1:38" x14ac:dyDescent="0.35">
      <c r="A40" s="3">
        <v>2021</v>
      </c>
      <c r="B40" s="3" t="s">
        <v>28</v>
      </c>
      <c r="C40" s="3" t="s">
        <v>28</v>
      </c>
      <c r="D40" s="2">
        <v>13</v>
      </c>
      <c r="E40" s="3" t="s">
        <v>455</v>
      </c>
      <c r="F40" s="3" t="s">
        <v>28</v>
      </c>
      <c r="G40" s="3" t="s">
        <v>45</v>
      </c>
      <c r="H40" s="3" t="str">
        <f t="shared" si="10"/>
        <v>2011</v>
      </c>
      <c r="I40" s="3">
        <v>10</v>
      </c>
      <c r="J40" s="69"/>
      <c r="K40" s="3" t="s">
        <v>317</v>
      </c>
      <c r="L40" s="3" t="s">
        <v>317</v>
      </c>
      <c r="M40" s="3">
        <v>7.4</v>
      </c>
      <c r="N40" s="3">
        <v>221</v>
      </c>
      <c r="O40" s="3" t="str">
        <f t="shared" si="1"/>
        <v>2007</v>
      </c>
      <c r="P40" s="2">
        <v>13</v>
      </c>
      <c r="AH40">
        <v>2.87</v>
      </c>
      <c r="AI40">
        <f t="shared" si="2"/>
        <v>0.62091606423747336</v>
      </c>
      <c r="AJ40">
        <f t="shared" si="3"/>
        <v>4.177496206941707</v>
      </c>
      <c r="AK40">
        <f t="shared" si="8"/>
        <v>4.177496206941707E-3</v>
      </c>
      <c r="AL40">
        <f t="shared" si="9"/>
        <v>2.0887481034708534E-2</v>
      </c>
    </row>
    <row r="41" spans="1:38" x14ac:dyDescent="0.35">
      <c r="A41" s="3">
        <v>2024</v>
      </c>
      <c r="B41" s="3">
        <v>1</v>
      </c>
      <c r="C41" s="3">
        <v>25</v>
      </c>
      <c r="D41" s="2">
        <v>605</v>
      </c>
      <c r="E41" s="3" t="s">
        <v>1047</v>
      </c>
      <c r="F41" s="3">
        <v>1</v>
      </c>
      <c r="G41" s="3" t="s">
        <v>20</v>
      </c>
      <c r="H41" s="3" t="str">
        <f t="shared" si="10"/>
        <v>2019</v>
      </c>
      <c r="I41" s="3">
        <v>5</v>
      </c>
      <c r="J41" s="69"/>
      <c r="K41" t="s">
        <v>1048</v>
      </c>
      <c r="L41">
        <v>23</v>
      </c>
      <c r="M41">
        <v>8.1999999999999993</v>
      </c>
      <c r="N41" s="3">
        <v>222</v>
      </c>
      <c r="O41" s="3" t="str">
        <f t="shared" si="1"/>
        <v>2018</v>
      </c>
      <c r="P41" s="2">
        <v>605</v>
      </c>
      <c r="AH41">
        <v>2.87</v>
      </c>
      <c r="AI41">
        <f t="shared" si="2"/>
        <v>0.62091606423747336</v>
      </c>
      <c r="AJ41">
        <f t="shared" si="3"/>
        <v>4.177496206941707</v>
      </c>
      <c r="AK41">
        <f t="shared" si="8"/>
        <v>4.177496206941707E-3</v>
      </c>
      <c r="AL41">
        <f t="shared" si="9"/>
        <v>2.0887481034708534E-2</v>
      </c>
    </row>
    <row r="42" spans="1:38" x14ac:dyDescent="0.35">
      <c r="A42" s="3">
        <v>2024</v>
      </c>
      <c r="B42" s="3">
        <v>4</v>
      </c>
      <c r="C42" s="3">
        <v>9</v>
      </c>
      <c r="D42" s="2">
        <v>650</v>
      </c>
      <c r="E42" s="3" t="s">
        <v>145</v>
      </c>
      <c r="F42" s="3">
        <v>2</v>
      </c>
      <c r="G42" s="3" t="s">
        <v>225</v>
      </c>
      <c r="H42" s="3" t="str">
        <f t="shared" si="10"/>
        <v>2022</v>
      </c>
      <c r="I42" s="3">
        <v>2</v>
      </c>
      <c r="J42" s="69"/>
      <c r="K42" t="s">
        <v>235</v>
      </c>
      <c r="L42" s="3">
        <v>5</v>
      </c>
      <c r="M42">
        <v>8.6</v>
      </c>
      <c r="N42" s="3">
        <v>223</v>
      </c>
      <c r="O42" s="3" t="str">
        <f t="shared" si="1"/>
        <v>2021</v>
      </c>
      <c r="P42" s="2">
        <v>650</v>
      </c>
      <c r="AH42">
        <v>2.87</v>
      </c>
      <c r="AI42">
        <f t="shared" si="2"/>
        <v>0.62091606423747336</v>
      </c>
      <c r="AJ42">
        <f t="shared" si="3"/>
        <v>4.177496206941707</v>
      </c>
      <c r="AK42">
        <f t="shared" si="8"/>
        <v>4.177496206941707E-3</v>
      </c>
      <c r="AL42">
        <f t="shared" si="9"/>
        <v>2.0887481034708534E-2</v>
      </c>
    </row>
    <row r="43" spans="1:38" x14ac:dyDescent="0.35">
      <c r="A43" s="3">
        <v>2016</v>
      </c>
      <c r="B43" s="3">
        <v>9</v>
      </c>
      <c r="C43" s="3">
        <v>1</v>
      </c>
      <c r="D43" s="2">
        <v>240</v>
      </c>
      <c r="E43" s="3" t="s">
        <v>698</v>
      </c>
      <c r="F43" s="3">
        <v>3</v>
      </c>
      <c r="G43" s="3" t="s">
        <v>45</v>
      </c>
      <c r="H43" s="3" t="str">
        <f t="shared" si="10"/>
        <v>2011</v>
      </c>
      <c r="I43" s="3">
        <v>5</v>
      </c>
      <c r="J43" s="69"/>
      <c r="K43" s="3" t="s">
        <v>647</v>
      </c>
      <c r="L43" s="3" t="s">
        <v>317</v>
      </c>
      <c r="M43" s="3">
        <v>0.7</v>
      </c>
      <c r="N43" s="3">
        <v>224</v>
      </c>
      <c r="O43" s="3" t="str">
        <f t="shared" si="1"/>
        <v>2007</v>
      </c>
      <c r="P43" s="2">
        <v>240</v>
      </c>
      <c r="AH43">
        <v>2.89</v>
      </c>
      <c r="AI43">
        <f t="shared" si="2"/>
        <v>0.62826894064046379</v>
      </c>
      <c r="AJ43">
        <f t="shared" si="3"/>
        <v>4.2488259474321728</v>
      </c>
      <c r="AK43">
        <f t="shared" si="8"/>
        <v>4.248825947432173E-3</v>
      </c>
      <c r="AL43">
        <f t="shared" si="9"/>
        <v>2.1244129737160864E-2</v>
      </c>
    </row>
    <row r="44" spans="1:38" x14ac:dyDescent="0.35">
      <c r="A44" s="3">
        <v>2016</v>
      </c>
      <c r="B44" s="3">
        <v>8</v>
      </c>
      <c r="C44" s="3">
        <v>31</v>
      </c>
      <c r="D44" s="2">
        <v>285</v>
      </c>
      <c r="E44" s="3" t="s">
        <v>750</v>
      </c>
      <c r="F44" s="3">
        <v>3</v>
      </c>
      <c r="G44" s="3" t="s">
        <v>45</v>
      </c>
      <c r="H44" s="3" t="str">
        <f t="shared" si="10"/>
        <v>2011</v>
      </c>
      <c r="I44" s="3">
        <v>5</v>
      </c>
      <c r="J44" s="69"/>
      <c r="K44" s="3" t="s">
        <v>749</v>
      </c>
      <c r="L44" s="3" t="s">
        <v>317</v>
      </c>
      <c r="M44" s="3">
        <v>10.3</v>
      </c>
      <c r="N44" s="3">
        <v>224</v>
      </c>
      <c r="O44" s="3" t="str">
        <f t="shared" si="1"/>
        <v>2007</v>
      </c>
      <c r="P44" s="2">
        <v>285</v>
      </c>
      <c r="AH44">
        <v>2.89</v>
      </c>
      <c r="AI44">
        <f t="shared" si="2"/>
        <v>0.62826894064046379</v>
      </c>
      <c r="AJ44">
        <f t="shared" si="3"/>
        <v>4.2488259474321728</v>
      </c>
      <c r="AK44">
        <f t="shared" si="8"/>
        <v>4.248825947432173E-3</v>
      </c>
      <c r="AL44">
        <f t="shared" si="9"/>
        <v>2.1244129737160864E-2</v>
      </c>
    </row>
    <row r="45" spans="1:38" x14ac:dyDescent="0.35">
      <c r="A45" s="3">
        <v>2017</v>
      </c>
      <c r="B45" s="3">
        <v>8</v>
      </c>
      <c r="C45" s="3">
        <v>8</v>
      </c>
      <c r="D45" s="2">
        <v>86</v>
      </c>
      <c r="E45" s="14" t="s">
        <v>531</v>
      </c>
      <c r="F45" s="15">
        <v>3</v>
      </c>
      <c r="G45" s="3" t="s">
        <v>45</v>
      </c>
      <c r="H45" s="3" t="str">
        <f t="shared" si="10"/>
        <v>2009</v>
      </c>
      <c r="I45" s="3">
        <v>8</v>
      </c>
      <c r="J45" s="69"/>
      <c r="K45" s="3" t="s">
        <v>512</v>
      </c>
      <c r="L45" s="3" t="s">
        <v>512</v>
      </c>
      <c r="M45" s="3">
        <v>7.3</v>
      </c>
      <c r="N45" s="3">
        <v>225</v>
      </c>
      <c r="O45" s="3" t="str">
        <f t="shared" si="1"/>
        <v>2007</v>
      </c>
      <c r="P45" s="2">
        <v>86</v>
      </c>
      <c r="AH45">
        <v>2.89</v>
      </c>
      <c r="AI45">
        <f t="shared" si="2"/>
        <v>0.62826894064046379</v>
      </c>
      <c r="AJ45">
        <f t="shared" si="3"/>
        <v>4.2488259474321728</v>
      </c>
      <c r="AK45">
        <f t="shared" si="8"/>
        <v>4.248825947432173E-3</v>
      </c>
      <c r="AL45">
        <f t="shared" si="9"/>
        <v>2.1244129737160864E-2</v>
      </c>
    </row>
    <row r="46" spans="1:38" x14ac:dyDescent="0.35">
      <c r="A46" s="3">
        <v>2016</v>
      </c>
      <c r="B46" s="3">
        <v>9</v>
      </c>
      <c r="C46" s="3">
        <v>1</v>
      </c>
      <c r="D46" s="2">
        <v>239</v>
      </c>
      <c r="E46" s="3" t="s">
        <v>697</v>
      </c>
      <c r="F46" s="3">
        <v>3</v>
      </c>
      <c r="G46" s="3" t="s">
        <v>45</v>
      </c>
      <c r="H46" s="3" t="str">
        <f t="shared" si="10"/>
        <v>2011</v>
      </c>
      <c r="I46" s="3">
        <v>5</v>
      </c>
      <c r="J46" s="69"/>
      <c r="K46" s="3" t="s">
        <v>647</v>
      </c>
      <c r="L46" s="3" t="s">
        <v>317</v>
      </c>
      <c r="M46" s="3">
        <v>8.6</v>
      </c>
      <c r="N46" s="3">
        <v>225</v>
      </c>
      <c r="O46" s="3" t="str">
        <f t="shared" si="1"/>
        <v>2007</v>
      </c>
      <c r="P46" s="2">
        <v>239</v>
      </c>
      <c r="AH46">
        <v>2.9</v>
      </c>
      <c r="AI46">
        <f t="shared" si="2"/>
        <v>0.63192631887765494</v>
      </c>
      <c r="AJ46">
        <f t="shared" si="3"/>
        <v>4.2847582028521352</v>
      </c>
      <c r="AK46">
        <f t="shared" si="8"/>
        <v>4.2847582028521349E-3</v>
      </c>
      <c r="AL46">
        <f t="shared" si="9"/>
        <v>2.1423791014260674E-2</v>
      </c>
    </row>
    <row r="47" spans="1:38" x14ac:dyDescent="0.35">
      <c r="A47" s="3">
        <v>2016</v>
      </c>
      <c r="B47" s="3">
        <v>11</v>
      </c>
      <c r="C47" s="3">
        <v>7</v>
      </c>
      <c r="D47" s="2">
        <v>206</v>
      </c>
      <c r="E47" s="3" t="s">
        <v>660</v>
      </c>
      <c r="F47" s="3">
        <v>4</v>
      </c>
      <c r="G47" s="3" t="s">
        <v>45</v>
      </c>
      <c r="H47" s="3" t="str">
        <f t="shared" si="10"/>
        <v>2009</v>
      </c>
      <c r="I47" s="3">
        <v>7</v>
      </c>
      <c r="J47" s="69"/>
      <c r="K47" s="3" t="s">
        <v>657</v>
      </c>
      <c r="L47" s="3" t="s">
        <v>488</v>
      </c>
      <c r="M47" s="3">
        <v>7.2</v>
      </c>
      <c r="N47" s="3">
        <v>226</v>
      </c>
      <c r="O47" s="3" t="str">
        <f t="shared" si="1"/>
        <v>2007</v>
      </c>
      <c r="P47" s="2">
        <v>206</v>
      </c>
      <c r="AH47">
        <v>2.94</v>
      </c>
      <c r="AI47">
        <f t="shared" si="2"/>
        <v>0.64643079154483951</v>
      </c>
      <c r="AJ47">
        <f t="shared" si="3"/>
        <v>4.4302760871173641</v>
      </c>
      <c r="AK47">
        <f t="shared" si="8"/>
        <v>4.430276087117364E-3</v>
      </c>
      <c r="AL47">
        <f t="shared" si="9"/>
        <v>2.2151380435586822E-2</v>
      </c>
    </row>
    <row r="48" spans="1:38" x14ac:dyDescent="0.35">
      <c r="A48" s="3">
        <v>2016</v>
      </c>
      <c r="B48" s="3">
        <v>8</v>
      </c>
      <c r="C48" s="3">
        <v>31</v>
      </c>
      <c r="D48" s="2">
        <v>279</v>
      </c>
      <c r="E48" s="3" t="s">
        <v>743</v>
      </c>
      <c r="F48" s="3">
        <v>3</v>
      </c>
      <c r="G48" s="3" t="s">
        <v>45</v>
      </c>
      <c r="H48" s="3" t="str">
        <f t="shared" si="10"/>
        <v>2009</v>
      </c>
      <c r="I48" s="3">
        <v>7</v>
      </c>
      <c r="J48" s="69"/>
      <c r="K48" s="3" t="s">
        <v>742</v>
      </c>
      <c r="L48" s="3" t="s">
        <v>488</v>
      </c>
      <c r="M48" s="3">
        <v>8.5</v>
      </c>
      <c r="N48" s="3">
        <v>226</v>
      </c>
      <c r="O48" s="3" t="str">
        <f t="shared" si="1"/>
        <v>2007</v>
      </c>
      <c r="P48" s="2">
        <v>279</v>
      </c>
      <c r="AH48">
        <v>2.94</v>
      </c>
      <c r="AI48">
        <f t="shared" si="2"/>
        <v>0.64643079154483951</v>
      </c>
      <c r="AJ48">
        <f t="shared" si="3"/>
        <v>4.4302760871173641</v>
      </c>
      <c r="AK48">
        <f t="shared" si="8"/>
        <v>4.430276087117364E-3</v>
      </c>
      <c r="AL48">
        <f t="shared" si="9"/>
        <v>2.2151380435586822E-2</v>
      </c>
    </row>
    <row r="49" spans="1:38" x14ac:dyDescent="0.35">
      <c r="A49" s="3">
        <v>2016</v>
      </c>
      <c r="B49" s="3">
        <v>11</v>
      </c>
      <c r="C49" s="3">
        <v>16</v>
      </c>
      <c r="D49" s="2">
        <v>177</v>
      </c>
      <c r="E49" s="3" t="s">
        <v>627</v>
      </c>
      <c r="F49" s="3">
        <v>4</v>
      </c>
      <c r="G49" s="3" t="s">
        <v>41</v>
      </c>
      <c r="H49" s="3" t="str">
        <f t="shared" si="10"/>
        <v>2013</v>
      </c>
      <c r="I49" s="3">
        <v>3</v>
      </c>
      <c r="J49" s="69"/>
      <c r="K49" s="3" t="s">
        <v>583</v>
      </c>
      <c r="L49" s="3" t="s">
        <v>318</v>
      </c>
      <c r="M49" s="3">
        <v>0.9</v>
      </c>
      <c r="N49" s="3">
        <v>227</v>
      </c>
      <c r="O49" s="3" t="str">
        <f t="shared" si="1"/>
        <v>2011</v>
      </c>
      <c r="P49" s="2">
        <v>177</v>
      </c>
      <c r="AH49">
        <v>2.94</v>
      </c>
      <c r="AI49">
        <f t="shared" si="2"/>
        <v>0.64643079154483951</v>
      </c>
      <c r="AJ49">
        <f t="shared" si="3"/>
        <v>4.4302760871173641</v>
      </c>
      <c r="AK49">
        <f t="shared" si="8"/>
        <v>4.430276087117364E-3</v>
      </c>
      <c r="AL49">
        <f t="shared" si="9"/>
        <v>2.2151380435586822E-2</v>
      </c>
    </row>
    <row r="50" spans="1:38" x14ac:dyDescent="0.35">
      <c r="A50" s="3">
        <v>2022</v>
      </c>
      <c r="B50" s="3">
        <v>11</v>
      </c>
      <c r="C50" s="3">
        <v>14</v>
      </c>
      <c r="D50" s="2">
        <v>99</v>
      </c>
      <c r="E50" s="14" t="s">
        <v>547</v>
      </c>
      <c r="F50" s="15">
        <v>4</v>
      </c>
      <c r="G50" s="3" t="s">
        <v>20</v>
      </c>
      <c r="H50" s="3" t="str">
        <f t="shared" si="10"/>
        <v>2020</v>
      </c>
      <c r="I50" s="3">
        <v>2</v>
      </c>
      <c r="J50" s="69"/>
      <c r="K50" s="3">
        <v>37</v>
      </c>
      <c r="L50" s="3">
        <v>37</v>
      </c>
      <c r="M50" s="3">
        <v>8.4</v>
      </c>
      <c r="N50" s="3">
        <v>228</v>
      </c>
      <c r="O50" s="3" t="str">
        <f t="shared" si="1"/>
        <v>2018</v>
      </c>
      <c r="P50" s="2">
        <v>99</v>
      </c>
      <c r="Y50">
        <v>2.46</v>
      </c>
      <c r="AH50">
        <v>2.95</v>
      </c>
      <c r="AI50">
        <f t="shared" si="2"/>
        <v>0.6500260749547615</v>
      </c>
      <c r="AJ50">
        <f t="shared" si="3"/>
        <v>4.4671041175056621</v>
      </c>
      <c r="AK50">
        <f t="shared" si="8"/>
        <v>4.4671041175056618E-3</v>
      </c>
      <c r="AL50">
        <f t="shared" si="9"/>
        <v>2.2335520587528308E-2</v>
      </c>
    </row>
    <row r="51" spans="1:38" x14ac:dyDescent="0.35">
      <c r="A51" s="3">
        <v>2016</v>
      </c>
      <c r="B51" s="3">
        <v>8</v>
      </c>
      <c r="C51" s="3">
        <v>31</v>
      </c>
      <c r="D51" s="2">
        <v>286</v>
      </c>
      <c r="E51" s="3" t="s">
        <v>751</v>
      </c>
      <c r="F51" s="3">
        <v>3</v>
      </c>
      <c r="G51" s="3" t="s">
        <v>45</v>
      </c>
      <c r="H51" s="3" t="str">
        <f t="shared" si="10"/>
        <v>2011</v>
      </c>
      <c r="I51" s="3">
        <v>5</v>
      </c>
      <c r="J51" s="69"/>
      <c r="K51" s="3" t="s">
        <v>749</v>
      </c>
      <c r="L51" s="3" t="s">
        <v>317</v>
      </c>
      <c r="M51" s="3">
        <v>6.8</v>
      </c>
      <c r="N51" s="3">
        <v>230</v>
      </c>
      <c r="O51" s="3" t="str">
        <f t="shared" si="1"/>
        <v>2007</v>
      </c>
      <c r="P51" s="2">
        <v>286</v>
      </c>
      <c r="AH51">
        <v>2.96</v>
      </c>
      <c r="AI51">
        <f t="shared" si="2"/>
        <v>0.65360919156169217</v>
      </c>
      <c r="AJ51">
        <f t="shared" si="3"/>
        <v>4.5041121072904096</v>
      </c>
      <c r="AK51">
        <f t="shared" si="8"/>
        <v>4.5041121072904094E-3</v>
      </c>
      <c r="AL51">
        <f t="shared" si="9"/>
        <v>2.2520560536452048E-2</v>
      </c>
    </row>
    <row r="52" spans="1:38" x14ac:dyDescent="0.35">
      <c r="A52" s="3">
        <v>2023</v>
      </c>
      <c r="B52" s="3">
        <v>8</v>
      </c>
      <c r="C52" s="3">
        <v>2</v>
      </c>
      <c r="D52" s="2">
        <v>432</v>
      </c>
      <c r="E52" s="3" t="s">
        <v>893</v>
      </c>
      <c r="F52" s="3">
        <v>3</v>
      </c>
      <c r="G52" s="3" t="s">
        <v>225</v>
      </c>
      <c r="H52" s="3" t="str">
        <f t="shared" si="10"/>
        <v>2022</v>
      </c>
      <c r="I52" s="3">
        <v>1</v>
      </c>
      <c r="J52" s="69"/>
      <c r="K52" s="3" t="s">
        <v>67</v>
      </c>
      <c r="L52" s="3">
        <v>2</v>
      </c>
      <c r="M52" s="3">
        <v>33.6</v>
      </c>
      <c r="N52" s="3">
        <v>230</v>
      </c>
      <c r="O52" s="3" t="str">
        <f t="shared" si="1"/>
        <v>2021</v>
      </c>
      <c r="P52" s="2">
        <v>432</v>
      </c>
      <c r="AH52">
        <v>2.98</v>
      </c>
      <c r="AI52">
        <f t="shared" si="2"/>
        <v>0.66073925181791027</v>
      </c>
      <c r="AJ52">
        <f t="shared" si="3"/>
        <v>4.5786690323036083</v>
      </c>
      <c r="AK52">
        <f t="shared" si="8"/>
        <v>4.5786690323036082E-3</v>
      </c>
      <c r="AL52">
        <f t="shared" si="9"/>
        <v>2.2893345161518041E-2</v>
      </c>
    </row>
    <row r="53" spans="1:38" x14ac:dyDescent="0.35">
      <c r="A53" s="3">
        <v>2019</v>
      </c>
      <c r="B53" s="3">
        <v>11</v>
      </c>
      <c r="C53" s="3">
        <v>27</v>
      </c>
      <c r="D53" s="2">
        <v>55</v>
      </c>
      <c r="E53" s="3" t="s">
        <v>498</v>
      </c>
      <c r="F53" s="3">
        <v>4</v>
      </c>
      <c r="G53" s="3" t="s">
        <v>45</v>
      </c>
      <c r="H53" s="3" t="str">
        <f t="shared" si="10"/>
        <v>2009</v>
      </c>
      <c r="I53" s="3">
        <v>10</v>
      </c>
      <c r="J53" s="69"/>
      <c r="K53" s="3" t="s">
        <v>488</v>
      </c>
      <c r="L53" s="3" t="s">
        <v>488</v>
      </c>
      <c r="M53" s="3">
        <v>8.9</v>
      </c>
      <c r="N53" s="3">
        <v>231</v>
      </c>
      <c r="O53" s="3" t="str">
        <f t="shared" si="1"/>
        <v>2007</v>
      </c>
      <c r="P53" s="2">
        <v>55</v>
      </c>
      <c r="AH53">
        <v>3.03</v>
      </c>
      <c r="AI53">
        <f t="shared" si="2"/>
        <v>0.6783571282886196</v>
      </c>
      <c r="AJ53">
        <f t="shared" si="3"/>
        <v>4.7682292583923349</v>
      </c>
      <c r="AK53">
        <f t="shared" si="8"/>
        <v>4.768229258392335E-3</v>
      </c>
      <c r="AL53">
        <f t="shared" si="9"/>
        <v>2.3841146291961674E-2</v>
      </c>
    </row>
    <row r="54" spans="1:38" x14ac:dyDescent="0.35">
      <c r="A54" s="3">
        <v>2016</v>
      </c>
      <c r="B54" s="3">
        <v>8</v>
      </c>
      <c r="C54" s="3">
        <v>31</v>
      </c>
      <c r="D54" s="2">
        <v>250</v>
      </c>
      <c r="E54" s="3" t="s">
        <v>708</v>
      </c>
      <c r="F54" s="3">
        <v>3</v>
      </c>
      <c r="G54" s="3" t="s">
        <v>45</v>
      </c>
      <c r="H54" s="3" t="str">
        <f t="shared" si="10"/>
        <v>2009</v>
      </c>
      <c r="I54" s="3">
        <v>7</v>
      </c>
      <c r="J54" s="69"/>
      <c r="K54" s="3" t="s">
        <v>657</v>
      </c>
      <c r="L54" s="3" t="s">
        <v>488</v>
      </c>
      <c r="M54" s="3">
        <v>7.6</v>
      </c>
      <c r="N54" s="3">
        <v>232</v>
      </c>
      <c r="O54" s="3" t="str">
        <f t="shared" si="1"/>
        <v>2007</v>
      </c>
      <c r="P54" s="2">
        <v>250</v>
      </c>
      <c r="AH54">
        <v>3.07</v>
      </c>
      <c r="AI54">
        <f t="shared" si="2"/>
        <v>0.69224335941338055</v>
      </c>
      <c r="AJ54">
        <f t="shared" si="3"/>
        <v>4.923153301324704</v>
      </c>
      <c r="AK54">
        <f t="shared" si="8"/>
        <v>4.9231533013247043E-3</v>
      </c>
      <c r="AL54">
        <f t="shared" si="9"/>
        <v>2.4615766506623522E-2</v>
      </c>
    </row>
    <row r="55" spans="1:38" x14ac:dyDescent="0.35">
      <c r="A55" s="3" t="s">
        <v>28</v>
      </c>
      <c r="B55" s="3" t="s">
        <v>28</v>
      </c>
      <c r="C55" s="3" t="s">
        <v>28</v>
      </c>
      <c r="D55" s="2">
        <v>302</v>
      </c>
      <c r="E55" s="3" t="s">
        <v>768</v>
      </c>
      <c r="F55" s="3" t="s">
        <v>28</v>
      </c>
      <c r="G55" s="3" t="s">
        <v>28</v>
      </c>
      <c r="H55" s="3" t="b">
        <f t="shared" si="10"/>
        <v>0</v>
      </c>
      <c r="I55" s="3" t="e">
        <v>#VALUE!</v>
      </c>
      <c r="J55" s="69"/>
      <c r="K55" s="3" t="s">
        <v>28</v>
      </c>
      <c r="L55" s="3" t="s">
        <v>28</v>
      </c>
      <c r="M55" s="3">
        <v>9.1</v>
      </c>
      <c r="N55" s="3">
        <v>233</v>
      </c>
      <c r="O55" s="3" t="b">
        <f t="shared" si="1"/>
        <v>0</v>
      </c>
      <c r="P55" s="2">
        <v>302</v>
      </c>
      <c r="AH55">
        <v>3.09</v>
      </c>
      <c r="AI55">
        <f t="shared" si="2"/>
        <v>0.69911877283774682</v>
      </c>
      <c r="AJ55">
        <f t="shared" si="3"/>
        <v>5.0017130540603425</v>
      </c>
      <c r="AK55">
        <f t="shared" si="8"/>
        <v>5.0017130540603427E-3</v>
      </c>
      <c r="AL55">
        <f t="shared" si="9"/>
        <v>2.5008565270301715E-2</v>
      </c>
    </row>
    <row r="56" spans="1:38" x14ac:dyDescent="0.35">
      <c r="A56" s="3">
        <v>2024</v>
      </c>
      <c r="B56" s="3">
        <v>1</v>
      </c>
      <c r="C56" s="3">
        <v>23</v>
      </c>
      <c r="D56" s="2">
        <v>609</v>
      </c>
      <c r="E56" s="3" t="s">
        <v>1051</v>
      </c>
      <c r="F56" s="3">
        <v>1</v>
      </c>
      <c r="G56" s="3" t="s">
        <v>20</v>
      </c>
      <c r="H56" s="3" t="str">
        <f t="shared" si="10"/>
        <v>2020</v>
      </c>
      <c r="I56" s="3">
        <v>4</v>
      </c>
      <c r="J56" s="69"/>
      <c r="K56" t="s">
        <v>64</v>
      </c>
      <c r="L56">
        <v>7</v>
      </c>
      <c r="M56">
        <v>29.8</v>
      </c>
      <c r="N56" s="3">
        <v>233</v>
      </c>
      <c r="O56" s="3" t="str">
        <f t="shared" si="1"/>
        <v>2018</v>
      </c>
      <c r="P56" s="2">
        <v>609</v>
      </c>
      <c r="AH56">
        <v>3.11</v>
      </c>
      <c r="AI56">
        <f t="shared" si="2"/>
        <v>0.70594982844742993</v>
      </c>
      <c r="AJ56">
        <f t="shared" si="3"/>
        <v>5.0810074120318394</v>
      </c>
      <c r="AK56">
        <f t="shared" si="8"/>
        <v>5.0810074120318394E-3</v>
      </c>
      <c r="AL56">
        <f t="shared" si="9"/>
        <v>2.5405037060159195E-2</v>
      </c>
    </row>
    <row r="57" spans="1:38" x14ac:dyDescent="0.35">
      <c r="A57" s="3">
        <v>2016</v>
      </c>
      <c r="B57" s="3">
        <v>9</v>
      </c>
      <c r="C57" s="3">
        <v>2</v>
      </c>
      <c r="D57" s="2">
        <v>295</v>
      </c>
      <c r="E57" s="3" t="s">
        <v>761</v>
      </c>
      <c r="F57" s="3">
        <v>3</v>
      </c>
      <c r="G57" s="3" t="s">
        <v>41</v>
      </c>
      <c r="H57" s="3" t="str">
        <f t="shared" si="10"/>
        <v>2013</v>
      </c>
      <c r="I57" s="3">
        <v>3</v>
      </c>
      <c r="J57" s="69"/>
      <c r="K57" s="3" t="s">
        <v>583</v>
      </c>
      <c r="L57" s="3" t="s">
        <v>318</v>
      </c>
      <c r="M57" s="3">
        <v>11.6</v>
      </c>
      <c r="N57" s="3">
        <v>235</v>
      </c>
      <c r="O57" s="3" t="str">
        <f t="shared" si="1"/>
        <v>2011</v>
      </c>
      <c r="P57" s="2">
        <v>295</v>
      </c>
      <c r="Q57" s="2">
        <v>2.99</v>
      </c>
      <c r="AH57">
        <v>3.12</v>
      </c>
      <c r="AI57">
        <f t="shared" si="2"/>
        <v>0.70934890021696351</v>
      </c>
      <c r="AJ57">
        <f t="shared" si="3"/>
        <v>5.1209307179009</v>
      </c>
      <c r="AK57">
        <f t="shared" si="8"/>
        <v>5.1209307179009003E-3</v>
      </c>
      <c r="AL57">
        <f t="shared" si="9"/>
        <v>2.5604653589504502E-2</v>
      </c>
    </row>
    <row r="58" spans="1:38" x14ac:dyDescent="0.35">
      <c r="A58" s="3">
        <v>2023</v>
      </c>
      <c r="B58" s="3">
        <v>11</v>
      </c>
      <c r="C58" s="3">
        <v>3</v>
      </c>
      <c r="D58" s="2">
        <v>506</v>
      </c>
      <c r="E58" s="3" t="s">
        <v>960</v>
      </c>
      <c r="F58" s="3">
        <v>4</v>
      </c>
      <c r="G58" s="3" t="s">
        <v>226</v>
      </c>
      <c r="H58" s="3" t="str">
        <f t="shared" si="10"/>
        <v>2017</v>
      </c>
      <c r="I58" s="3">
        <v>6</v>
      </c>
      <c r="J58" s="69"/>
      <c r="K58" s="3" t="s">
        <v>783</v>
      </c>
      <c r="L58" s="3">
        <v>7</v>
      </c>
      <c r="M58" s="3">
        <v>10.199999999999999</v>
      </c>
      <c r="N58" s="3">
        <v>235</v>
      </c>
      <c r="O58" s="3" t="str">
        <f t="shared" si="1"/>
        <v>2017</v>
      </c>
      <c r="P58" s="2">
        <v>506</v>
      </c>
      <c r="AH58">
        <v>3.13</v>
      </c>
      <c r="AI58">
        <f t="shared" si="2"/>
        <v>0.71273709493824122</v>
      </c>
      <c r="AJ58">
        <f t="shared" si="3"/>
        <v>5.1610384540424841</v>
      </c>
      <c r="AK58">
        <f t="shared" si="8"/>
        <v>5.1610384540424839E-3</v>
      </c>
      <c r="AL58">
        <f t="shared" si="9"/>
        <v>2.580519227021242E-2</v>
      </c>
    </row>
    <row r="59" spans="1:38" x14ac:dyDescent="0.35">
      <c r="A59" s="3">
        <v>2024</v>
      </c>
      <c r="B59" s="3">
        <v>2</v>
      </c>
      <c r="C59" s="3">
        <v>23</v>
      </c>
      <c r="D59" s="2">
        <v>643</v>
      </c>
      <c r="E59" s="3" t="s">
        <v>1077</v>
      </c>
      <c r="F59" s="3">
        <v>1</v>
      </c>
      <c r="G59" s="3" t="s">
        <v>225</v>
      </c>
      <c r="H59" s="3" t="str">
        <f t="shared" si="10"/>
        <v>2022</v>
      </c>
      <c r="I59" s="3">
        <v>2</v>
      </c>
      <c r="J59" s="69"/>
      <c r="K59" t="s">
        <v>21</v>
      </c>
      <c r="L59" s="3">
        <v>2</v>
      </c>
      <c r="M59">
        <v>10.6</v>
      </c>
      <c r="N59" s="3">
        <v>235</v>
      </c>
      <c r="O59" s="3" t="str">
        <f t="shared" si="1"/>
        <v>2021</v>
      </c>
      <c r="P59" s="2">
        <v>643</v>
      </c>
      <c r="AH59">
        <v>3.14</v>
      </c>
      <c r="AI59">
        <f t="shared" si="2"/>
        <v>0.71611448200249805</v>
      </c>
      <c r="AJ59">
        <f t="shared" si="3"/>
        <v>5.2013308791357762</v>
      </c>
      <c r="AK59">
        <f t="shared" si="8"/>
        <v>5.201330879135776E-3</v>
      </c>
      <c r="AL59">
        <f t="shared" si="9"/>
        <v>2.6006654395678879E-2</v>
      </c>
    </row>
    <row r="60" spans="1:38" x14ac:dyDescent="0.35">
      <c r="A60" s="3">
        <v>2023</v>
      </c>
      <c r="B60" s="3">
        <v>7</v>
      </c>
      <c r="C60" s="3">
        <v>18</v>
      </c>
      <c r="D60" s="2">
        <v>342</v>
      </c>
      <c r="E60" s="3" t="s">
        <v>808</v>
      </c>
      <c r="F60" s="3">
        <v>3</v>
      </c>
      <c r="G60" s="3" t="s">
        <v>41</v>
      </c>
      <c r="H60" s="3" t="str">
        <f t="shared" si="10"/>
        <v>2012</v>
      </c>
      <c r="I60" s="3">
        <v>11</v>
      </c>
      <c r="J60" s="69"/>
      <c r="K60" s="3" t="s">
        <v>551</v>
      </c>
      <c r="L60" s="3" t="s">
        <v>461</v>
      </c>
      <c r="M60" s="3">
        <v>9.4</v>
      </c>
      <c r="N60" s="3">
        <v>237</v>
      </c>
      <c r="O60" s="3" t="str">
        <f t="shared" si="1"/>
        <v>2011</v>
      </c>
      <c r="P60" s="2">
        <v>342</v>
      </c>
      <c r="AH60">
        <v>3.16</v>
      </c>
      <c r="AI60">
        <f t="shared" si="2"/>
        <v>0.72283710742366858</v>
      </c>
      <c r="AJ60">
        <f t="shared" si="3"/>
        <v>5.2824708285762272</v>
      </c>
      <c r="AK60">
        <f t="shared" si="8"/>
        <v>5.2824708285762268E-3</v>
      </c>
      <c r="AL60">
        <f t="shared" si="9"/>
        <v>2.6412354142881133E-2</v>
      </c>
    </row>
    <row r="61" spans="1:38" x14ac:dyDescent="0.35">
      <c r="A61" s="3">
        <v>2016</v>
      </c>
      <c r="B61" s="3">
        <v>9</v>
      </c>
      <c r="C61" s="3">
        <v>8</v>
      </c>
      <c r="D61" s="2">
        <v>223</v>
      </c>
      <c r="E61" s="3" t="s">
        <v>681</v>
      </c>
      <c r="F61" s="3">
        <v>3</v>
      </c>
      <c r="G61" s="3" t="s">
        <v>41</v>
      </c>
      <c r="H61" s="3" t="str">
        <f t="shared" si="10"/>
        <v>2013</v>
      </c>
      <c r="I61" s="3">
        <v>3</v>
      </c>
      <c r="J61" s="69"/>
      <c r="K61" s="3" t="s">
        <v>669</v>
      </c>
      <c r="L61" s="3" t="s">
        <v>458</v>
      </c>
      <c r="M61" s="3">
        <v>0.9</v>
      </c>
      <c r="N61" s="3">
        <v>238</v>
      </c>
      <c r="O61" s="3" t="str">
        <f t="shared" si="1"/>
        <v>2011</v>
      </c>
      <c r="P61" s="2">
        <v>223</v>
      </c>
      <c r="AH61">
        <v>3.18</v>
      </c>
      <c r="AI61">
        <f t="shared" si="2"/>
        <v>0.72951731852204693</v>
      </c>
      <c r="AJ61">
        <f t="shared" si="3"/>
        <v>5.3643526264160517</v>
      </c>
      <c r="AK61">
        <f t="shared" ref="AK61:AK92" si="11">AJ61/1000</f>
        <v>5.364352626416052E-3</v>
      </c>
      <c r="AL61">
        <f t="shared" ref="AL61:AL92" si="12">5*AK61</f>
        <v>2.6821763132080262E-2</v>
      </c>
    </row>
    <row r="62" spans="1:38" x14ac:dyDescent="0.35">
      <c r="A62" s="3">
        <v>2024</v>
      </c>
      <c r="B62" s="3">
        <v>2</v>
      </c>
      <c r="C62" s="3">
        <v>23</v>
      </c>
      <c r="D62" s="2">
        <v>634</v>
      </c>
      <c r="E62" s="3" t="s">
        <v>1070</v>
      </c>
      <c r="F62" s="3">
        <v>1</v>
      </c>
      <c r="G62" s="3" t="s">
        <v>225</v>
      </c>
      <c r="H62" s="3" t="str">
        <f t="shared" si="10"/>
        <v>2022</v>
      </c>
      <c r="I62" s="3">
        <v>2</v>
      </c>
      <c r="J62" s="69"/>
      <c r="K62" t="s">
        <v>21</v>
      </c>
      <c r="L62" s="3">
        <v>2</v>
      </c>
      <c r="M62">
        <v>13.9</v>
      </c>
      <c r="N62" s="3">
        <v>238</v>
      </c>
      <c r="O62" s="3" t="str">
        <f t="shared" si="1"/>
        <v>2021</v>
      </c>
      <c r="P62" s="2">
        <v>634</v>
      </c>
      <c r="AH62">
        <v>3.18</v>
      </c>
      <c r="AI62">
        <f t="shared" si="2"/>
        <v>0.72951731852204693</v>
      </c>
      <c r="AJ62">
        <f t="shared" si="3"/>
        <v>5.3643526264160517</v>
      </c>
      <c r="AK62">
        <f t="shared" si="11"/>
        <v>5.364352626416052E-3</v>
      </c>
      <c r="AL62">
        <f t="shared" si="12"/>
        <v>2.6821763132080262E-2</v>
      </c>
    </row>
    <row r="63" spans="1:38" x14ac:dyDescent="0.35">
      <c r="A63" s="3">
        <v>2016</v>
      </c>
      <c r="B63" s="3">
        <v>9</v>
      </c>
      <c r="C63" s="3">
        <v>2</v>
      </c>
      <c r="D63" s="2">
        <v>289</v>
      </c>
      <c r="E63" s="3" t="s">
        <v>754</v>
      </c>
      <c r="F63" s="3">
        <v>3</v>
      </c>
      <c r="G63" s="3" t="s">
        <v>41</v>
      </c>
      <c r="H63" s="3" t="str">
        <f t="shared" si="10"/>
        <v>2013</v>
      </c>
      <c r="I63" s="3">
        <v>3</v>
      </c>
      <c r="J63" s="69"/>
      <c r="K63" s="3" t="s">
        <v>755</v>
      </c>
      <c r="L63" s="3" t="s">
        <v>458</v>
      </c>
      <c r="M63" s="3">
        <v>1</v>
      </c>
      <c r="N63" s="3">
        <v>239</v>
      </c>
      <c r="O63" s="3" t="str">
        <f t="shared" si="1"/>
        <v>2011</v>
      </c>
      <c r="P63" s="2">
        <v>289</v>
      </c>
      <c r="AH63">
        <v>3.2</v>
      </c>
      <c r="AI63">
        <f t="shared" si="2"/>
        <v>0.736155647143931</v>
      </c>
      <c r="AJ63">
        <f t="shared" si="3"/>
        <v>5.4469783255338902</v>
      </c>
      <c r="AK63">
        <f t="shared" si="11"/>
        <v>5.4469783255338905E-3</v>
      </c>
      <c r="AL63">
        <f t="shared" si="12"/>
        <v>2.7234891627669452E-2</v>
      </c>
    </row>
    <row r="64" spans="1:38" x14ac:dyDescent="0.35">
      <c r="A64" s="3">
        <v>2022</v>
      </c>
      <c r="B64" s="3">
        <v>11</v>
      </c>
      <c r="C64" s="3">
        <v>14</v>
      </c>
      <c r="D64" s="2">
        <v>121</v>
      </c>
      <c r="E64" s="14" t="s">
        <v>566</v>
      </c>
      <c r="F64" s="15">
        <v>4</v>
      </c>
      <c r="G64" s="3" t="s">
        <v>20</v>
      </c>
      <c r="H64" s="3" t="str">
        <f t="shared" si="10"/>
        <v>2020</v>
      </c>
      <c r="I64" s="3">
        <v>2</v>
      </c>
      <c r="J64" s="69"/>
      <c r="K64" s="3">
        <v>8</v>
      </c>
      <c r="L64" s="3">
        <v>8</v>
      </c>
      <c r="M64" s="3">
        <v>9.8000000000000007</v>
      </c>
      <c r="N64" s="3">
        <v>240</v>
      </c>
      <c r="O64" s="3" t="str">
        <f t="shared" si="1"/>
        <v>2018</v>
      </c>
      <c r="P64" s="2">
        <v>121</v>
      </c>
      <c r="Q64" s="2">
        <v>1.37</v>
      </c>
      <c r="AH64">
        <v>3.22</v>
      </c>
      <c r="AI64">
        <f t="shared" si="2"/>
        <v>0.74275261519443569</v>
      </c>
      <c r="AJ64">
        <f t="shared" si="3"/>
        <v>5.5303499715649655</v>
      </c>
      <c r="AK64">
        <f t="shared" si="11"/>
        <v>5.5303499715649651E-3</v>
      </c>
      <c r="AL64">
        <f t="shared" si="12"/>
        <v>2.7651749857824825E-2</v>
      </c>
    </row>
    <row r="65" spans="1:38" x14ac:dyDescent="0.35">
      <c r="A65" s="3">
        <v>2016</v>
      </c>
      <c r="B65" s="3">
        <v>11</v>
      </c>
      <c r="C65" s="3">
        <v>7</v>
      </c>
      <c r="D65" s="2">
        <v>210</v>
      </c>
      <c r="E65" s="3" t="s">
        <v>665</v>
      </c>
      <c r="F65" s="3">
        <v>4</v>
      </c>
      <c r="G65" s="3" t="s">
        <v>45</v>
      </c>
      <c r="H65" s="3" t="str">
        <f t="shared" si="10"/>
        <v>2009</v>
      </c>
      <c r="I65" s="3">
        <v>7</v>
      </c>
      <c r="J65" s="69"/>
      <c r="K65" s="3" t="s">
        <v>662</v>
      </c>
      <c r="L65" s="3" t="s">
        <v>488</v>
      </c>
      <c r="M65" s="3">
        <v>9.6999999999999993</v>
      </c>
      <c r="N65" s="3">
        <v>240</v>
      </c>
      <c r="O65" s="3" t="str">
        <f t="shared" si="1"/>
        <v>2007</v>
      </c>
      <c r="P65" s="2">
        <v>210</v>
      </c>
      <c r="AH65">
        <v>3.23</v>
      </c>
      <c r="AI65">
        <f t="shared" si="2"/>
        <v>0.74603574944322881</v>
      </c>
      <c r="AJ65">
        <f t="shared" si="3"/>
        <v>5.572316161970754</v>
      </c>
      <c r="AK65">
        <f t="shared" si="11"/>
        <v>5.5723161619707536E-3</v>
      </c>
      <c r="AL65">
        <f t="shared" si="12"/>
        <v>2.7861580809853768E-2</v>
      </c>
    </row>
    <row r="66" spans="1:38" x14ac:dyDescent="0.35">
      <c r="A66" s="3">
        <v>2016</v>
      </c>
      <c r="B66" s="3">
        <v>11</v>
      </c>
      <c r="C66" s="3">
        <v>7</v>
      </c>
      <c r="D66" s="2">
        <v>255</v>
      </c>
      <c r="E66" s="3" t="s">
        <v>714</v>
      </c>
      <c r="F66" s="3">
        <v>4</v>
      </c>
      <c r="G66" s="3" t="s">
        <v>45</v>
      </c>
      <c r="H66" s="3" t="str">
        <f t="shared" ref="H66:H69" si="13">IF(L66="A55","2009",IF(L66="A59","2009",IF(L66="A60","2010",IF(L66="A62","2011",IF(L66="CP","2013",IF(L66="MD","2012",IF(L66="TS","2013",IF(L66="DL","2018",IF(L66="SCU","2018",IF(L66="NCU","2018",IF(L66="C1C","2018",IF(L66="C1E","2018",IF(L66="RS1S","2018",IF(L66="C2B","2018",IF(L66="DB3","2018",IF(AND(L66=6,G66="SRS"),"2018",IF(AND(L66=7,G66="SRS"),"2020",IF(AND(L66=8,G66="SRS"),"2020",IF(L66=23,"2019",IF(AND(L66=7,G66="WCA 3B"),"2017",IF(AND(L66=8,G66="WCA 3B"),"2019",IF(L66=1,"2021",IF(L66=2,"2022",IF(L66=3,"2021",IF(L66=4,"2021",IF(L66=5,"2022",IF(AND(L66=6,G66="WCA 3A"),"2022",IF(L66=9,"2023",IF(L66=10,"2023",IF(L66=37,"2020"))))))))))))))))))))))))))))))</f>
        <v>2009</v>
      </c>
      <c r="I66" s="3">
        <v>7</v>
      </c>
      <c r="J66" s="69"/>
      <c r="K66" s="3" t="s">
        <v>711</v>
      </c>
      <c r="L66" s="3" t="s">
        <v>512</v>
      </c>
      <c r="M66" s="3">
        <v>11.5</v>
      </c>
      <c r="N66" s="3">
        <v>240</v>
      </c>
      <c r="O66" s="3" t="str">
        <f t="shared" ref="O66:O129" si="14">IF(G66="PHD", "2007", IF(G66="TSL", "2011", IF(G66 = "SRS", "2018", IF(G66="WCA 3B", "2017", IF(G66="WCA 3A", "2021")))))</f>
        <v>2007</v>
      </c>
      <c r="P66" s="2">
        <v>255</v>
      </c>
      <c r="AH66">
        <v>3.24</v>
      </c>
      <c r="AI66">
        <f t="shared" ref="AI66:AI129" si="15">((2.438)*(LOG(AH66))+(-0.4954))</f>
        <v>0.74930873488372041</v>
      </c>
      <c r="AJ66">
        <f t="shared" ref="AJ66:AJ129" si="16">10^AI66</f>
        <v>5.6144696029716945</v>
      </c>
      <c r="AK66">
        <f t="shared" si="11"/>
        <v>5.6144696029716947E-3</v>
      </c>
      <c r="AL66">
        <f t="shared" si="12"/>
        <v>2.8072348014858473E-2</v>
      </c>
    </row>
    <row r="67" spans="1:38" x14ac:dyDescent="0.35">
      <c r="A67" s="3">
        <v>2016</v>
      </c>
      <c r="B67" s="3">
        <v>8</v>
      </c>
      <c r="C67" s="3">
        <v>31</v>
      </c>
      <c r="D67" s="2">
        <v>282</v>
      </c>
      <c r="E67" s="3" t="s">
        <v>746</v>
      </c>
      <c r="F67" s="3">
        <v>3</v>
      </c>
      <c r="G67" s="3" t="s">
        <v>45</v>
      </c>
      <c r="H67" s="3" t="str">
        <f t="shared" si="13"/>
        <v>2009</v>
      </c>
      <c r="I67" s="3">
        <v>7</v>
      </c>
      <c r="J67" s="69"/>
      <c r="K67" s="3" t="s">
        <v>742</v>
      </c>
      <c r="L67" s="3" t="s">
        <v>488</v>
      </c>
      <c r="M67" s="3">
        <v>8.9</v>
      </c>
      <c r="N67" s="3">
        <v>240</v>
      </c>
      <c r="O67" s="3" t="str">
        <f t="shared" si="14"/>
        <v>2007</v>
      </c>
      <c r="P67" s="2">
        <v>282</v>
      </c>
      <c r="AH67">
        <v>3.24</v>
      </c>
      <c r="AI67">
        <f t="shared" si="15"/>
        <v>0.74930873488372041</v>
      </c>
      <c r="AJ67">
        <f t="shared" si="16"/>
        <v>5.6144696029716945</v>
      </c>
      <c r="AK67">
        <f t="shared" si="11"/>
        <v>5.6144696029716947E-3</v>
      </c>
      <c r="AL67">
        <f t="shared" si="12"/>
        <v>2.8072348014858473E-2</v>
      </c>
    </row>
    <row r="68" spans="1:38" x14ac:dyDescent="0.35">
      <c r="A68" s="3">
        <v>2024</v>
      </c>
      <c r="B68" s="3">
        <v>1</v>
      </c>
      <c r="C68" s="3">
        <v>26</v>
      </c>
      <c r="D68" s="2">
        <v>574</v>
      </c>
      <c r="E68" s="3" t="s">
        <v>1017</v>
      </c>
      <c r="F68" s="3">
        <v>1</v>
      </c>
      <c r="G68" s="3" t="s">
        <v>225</v>
      </c>
      <c r="H68" s="3" t="str">
        <f t="shared" si="13"/>
        <v>2021</v>
      </c>
      <c r="I68" s="3">
        <v>3</v>
      </c>
      <c r="J68" s="69"/>
      <c r="K68" t="s">
        <v>1018</v>
      </c>
      <c r="L68">
        <v>1</v>
      </c>
      <c r="M68">
        <v>11.1</v>
      </c>
      <c r="N68" s="3">
        <v>240</v>
      </c>
      <c r="O68" s="3" t="str">
        <f t="shared" si="14"/>
        <v>2021</v>
      </c>
      <c r="P68" s="2">
        <v>574</v>
      </c>
      <c r="AH68">
        <v>3.24</v>
      </c>
      <c r="AI68">
        <f t="shared" si="15"/>
        <v>0.74930873488372041</v>
      </c>
      <c r="AJ68">
        <f t="shared" si="16"/>
        <v>5.6144696029716945</v>
      </c>
      <c r="AK68">
        <f t="shared" si="11"/>
        <v>5.6144696029716947E-3</v>
      </c>
      <c r="AL68">
        <f t="shared" si="12"/>
        <v>2.8072348014858473E-2</v>
      </c>
    </row>
    <row r="69" spans="1:38" x14ac:dyDescent="0.35">
      <c r="A69" s="3">
        <v>2019</v>
      </c>
      <c r="B69" s="3">
        <v>11</v>
      </c>
      <c r="C69" s="3">
        <v>27</v>
      </c>
      <c r="D69" s="2">
        <v>53</v>
      </c>
      <c r="E69" s="3" t="s">
        <v>496</v>
      </c>
      <c r="F69" s="3">
        <v>4</v>
      </c>
      <c r="G69" s="3" t="s">
        <v>45</v>
      </c>
      <c r="H69" s="3" t="str">
        <f t="shared" si="13"/>
        <v>2009</v>
      </c>
      <c r="I69" s="3">
        <v>10</v>
      </c>
      <c r="J69" s="69"/>
      <c r="K69" s="3" t="s">
        <v>488</v>
      </c>
      <c r="L69" s="3" t="s">
        <v>488</v>
      </c>
      <c r="M69" s="3">
        <v>8.4</v>
      </c>
      <c r="N69" s="3">
        <v>243</v>
      </c>
      <c r="O69" s="3" t="str">
        <f t="shared" si="14"/>
        <v>2007</v>
      </c>
      <c r="P69" s="2">
        <v>53</v>
      </c>
      <c r="AH69">
        <v>3.25</v>
      </c>
      <c r="AI69">
        <f t="shared" si="15"/>
        <v>0.75257163406649563</v>
      </c>
      <c r="AJ69">
        <f t="shared" si="16"/>
        <v>5.6568105482662281</v>
      </c>
      <c r="AK69">
        <f t="shared" si="11"/>
        <v>5.6568105482662284E-3</v>
      </c>
      <c r="AL69">
        <f t="shared" si="12"/>
        <v>2.8284052741331143E-2</v>
      </c>
    </row>
    <row r="70" spans="1:38" x14ac:dyDescent="0.35">
      <c r="A70" s="3">
        <v>2017</v>
      </c>
      <c r="B70" s="3">
        <v>11</v>
      </c>
      <c r="C70" s="3">
        <v>14</v>
      </c>
      <c r="D70" s="2">
        <v>68</v>
      </c>
      <c r="E70" s="14" t="s">
        <v>513</v>
      </c>
      <c r="F70" s="15">
        <v>4</v>
      </c>
      <c r="G70" s="3" t="s">
        <v>41</v>
      </c>
      <c r="H70" s="3" t="s">
        <v>28</v>
      </c>
      <c r="I70" s="3" t="e">
        <v>#VALUE!</v>
      </c>
      <c r="J70" s="69"/>
      <c r="K70" s="3" t="s">
        <v>28</v>
      </c>
      <c r="L70" s="3" t="s">
        <v>28</v>
      </c>
      <c r="M70" s="3">
        <v>7.3</v>
      </c>
      <c r="N70" s="3">
        <v>245</v>
      </c>
      <c r="O70" s="3" t="str">
        <f t="shared" si="14"/>
        <v>2011</v>
      </c>
      <c r="P70" s="2">
        <v>68</v>
      </c>
      <c r="AH70">
        <v>3.25</v>
      </c>
      <c r="AI70">
        <f t="shared" si="15"/>
        <v>0.75257163406649563</v>
      </c>
      <c r="AJ70">
        <f t="shared" si="16"/>
        <v>5.6568105482662281</v>
      </c>
      <c r="AK70">
        <f t="shared" si="11"/>
        <v>5.6568105482662284E-3</v>
      </c>
      <c r="AL70">
        <f t="shared" si="12"/>
        <v>2.8284052741331143E-2</v>
      </c>
    </row>
    <row r="71" spans="1:38" x14ac:dyDescent="0.35">
      <c r="A71" s="3">
        <v>2016</v>
      </c>
      <c r="B71" s="3">
        <v>8</v>
      </c>
      <c r="C71" s="3">
        <v>31</v>
      </c>
      <c r="D71" s="2">
        <v>249</v>
      </c>
      <c r="E71" s="3" t="s">
        <v>707</v>
      </c>
      <c r="F71" s="3">
        <v>3</v>
      </c>
      <c r="G71" s="3" t="s">
        <v>45</v>
      </c>
      <c r="H71" s="3" t="str">
        <f t="shared" ref="H71:H134" si="17">IF(L71="A55","2009",IF(L71="A59","2009",IF(L71="A60","2010",IF(L71="A62","2011",IF(L71="CP","2013",IF(L71="MD","2012",IF(L71="TS","2013",IF(L71="DL","2018",IF(L71="SCU","2018",IF(L71="NCU","2018",IF(L71="C1C","2018",IF(L71="C1E","2018",IF(L71="RS1S","2018",IF(L71="C2B","2018",IF(L71="DB3","2018",IF(AND(L71=6,G71="SRS"),"2018",IF(AND(L71=7,G71="SRS"),"2020",IF(AND(L71=8,G71="SRS"),"2020",IF(L71=23,"2019",IF(AND(L71=7,G71="WCA 3B"),"2017",IF(AND(L71=8,G71="WCA 3B"),"2019",IF(L71=1,"2021",IF(L71=2,"2022",IF(L71=3,"2021",IF(L71=4,"2021",IF(L71=5,"2022",IF(AND(L71=6,G71="WCA 3A"),"2022",IF(L71=9,"2023",IF(L71=10,"2023",IF(L71=37,"2020"))))))))))))))))))))))))))))))</f>
        <v>2009</v>
      </c>
      <c r="I71" s="3">
        <v>7</v>
      </c>
      <c r="J71" s="69"/>
      <c r="K71" s="3" t="s">
        <v>657</v>
      </c>
      <c r="L71" s="3" t="s">
        <v>488</v>
      </c>
      <c r="M71" s="3">
        <v>8.8000000000000007</v>
      </c>
      <c r="N71" s="3">
        <v>249</v>
      </c>
      <c r="O71" s="3" t="str">
        <f t="shared" si="14"/>
        <v>2007</v>
      </c>
      <c r="P71" s="2">
        <v>249</v>
      </c>
      <c r="AH71">
        <v>3.26</v>
      </c>
      <c r="AI71">
        <f t="shared" si="15"/>
        <v>0.75582450896563502</v>
      </c>
      <c r="AJ71">
        <f t="shared" si="16"/>
        <v>5.6993392511131225</v>
      </c>
      <c r="AK71">
        <f t="shared" si="11"/>
        <v>5.6993392511131228E-3</v>
      </c>
      <c r="AL71">
        <f t="shared" si="12"/>
        <v>2.8496696255565612E-2</v>
      </c>
    </row>
    <row r="72" spans="1:38" x14ac:dyDescent="0.35">
      <c r="A72" s="3">
        <v>2016</v>
      </c>
      <c r="B72" s="3">
        <v>9</v>
      </c>
      <c r="C72" s="3">
        <v>2</v>
      </c>
      <c r="D72" s="2">
        <v>294</v>
      </c>
      <c r="E72" s="3" t="s">
        <v>760</v>
      </c>
      <c r="F72" s="3">
        <v>3</v>
      </c>
      <c r="G72" s="3" t="s">
        <v>41</v>
      </c>
      <c r="H72" s="3" t="str">
        <f t="shared" si="17"/>
        <v>2013</v>
      </c>
      <c r="I72" s="3">
        <v>3</v>
      </c>
      <c r="J72" s="69"/>
      <c r="K72" s="3" t="s">
        <v>583</v>
      </c>
      <c r="L72" s="3" t="s">
        <v>318</v>
      </c>
      <c r="M72" s="3">
        <v>15.6</v>
      </c>
      <c r="N72" s="3">
        <v>250</v>
      </c>
      <c r="O72" s="3" t="str">
        <f t="shared" si="14"/>
        <v>2011</v>
      </c>
      <c r="P72" s="2">
        <v>294</v>
      </c>
      <c r="AH72">
        <v>3.27</v>
      </c>
      <c r="AI72">
        <f t="shared" si="15"/>
        <v>0.75906742098577751</v>
      </c>
      <c r="AJ72">
        <f t="shared" si="16"/>
        <v>5.7420559643335878</v>
      </c>
      <c r="AK72">
        <f t="shared" si="11"/>
        <v>5.7420559643335881E-3</v>
      </c>
      <c r="AL72">
        <f t="shared" si="12"/>
        <v>2.871027982166794E-2</v>
      </c>
    </row>
    <row r="73" spans="1:38" x14ac:dyDescent="0.35">
      <c r="A73" s="3">
        <v>2024</v>
      </c>
      <c r="B73" s="3">
        <v>1</v>
      </c>
      <c r="C73" s="3">
        <v>19</v>
      </c>
      <c r="D73" s="2">
        <v>576</v>
      </c>
      <c r="E73" s="3" t="s">
        <v>1020</v>
      </c>
      <c r="F73" s="3">
        <v>1</v>
      </c>
      <c r="G73" s="3" t="s">
        <v>41</v>
      </c>
      <c r="H73" s="3" t="str">
        <f t="shared" si="17"/>
        <v>2013</v>
      </c>
      <c r="I73" s="3">
        <v>11</v>
      </c>
      <c r="J73" s="69"/>
      <c r="K73" t="s">
        <v>509</v>
      </c>
      <c r="L73" s="3" t="s">
        <v>458</v>
      </c>
      <c r="M73">
        <v>35.299999999999997</v>
      </c>
      <c r="N73" s="3">
        <v>250</v>
      </c>
      <c r="O73" s="3" t="str">
        <f t="shared" si="14"/>
        <v>2011</v>
      </c>
      <c r="P73" s="2">
        <v>576</v>
      </c>
      <c r="AH73">
        <v>3.27</v>
      </c>
      <c r="AI73">
        <f t="shared" si="15"/>
        <v>0.75906742098577751</v>
      </c>
      <c r="AJ73">
        <f t="shared" si="16"/>
        <v>5.7420559643335878</v>
      </c>
      <c r="AK73">
        <f t="shared" si="11"/>
        <v>5.7420559643335881E-3</v>
      </c>
      <c r="AL73">
        <f t="shared" si="12"/>
        <v>2.871027982166794E-2</v>
      </c>
    </row>
    <row r="74" spans="1:38" x14ac:dyDescent="0.35">
      <c r="A74" s="3">
        <v>2016</v>
      </c>
      <c r="B74" s="3">
        <v>9</v>
      </c>
      <c r="C74" s="3">
        <v>1</v>
      </c>
      <c r="D74" s="2">
        <v>241</v>
      </c>
      <c r="E74" s="3" t="s">
        <v>699</v>
      </c>
      <c r="F74" s="3">
        <v>3</v>
      </c>
      <c r="G74" s="3" t="s">
        <v>45</v>
      </c>
      <c r="H74" s="3" t="str">
        <f t="shared" si="17"/>
        <v>2011</v>
      </c>
      <c r="I74" s="3">
        <v>5</v>
      </c>
      <c r="J74" s="69"/>
      <c r="K74" s="3" t="s">
        <v>647</v>
      </c>
      <c r="L74" s="3" t="s">
        <v>317</v>
      </c>
      <c r="M74" s="3">
        <v>10.7</v>
      </c>
      <c r="N74" s="3">
        <v>251</v>
      </c>
      <c r="O74" s="3" t="str">
        <f t="shared" si="14"/>
        <v>2007</v>
      </c>
      <c r="P74" s="2">
        <v>241</v>
      </c>
      <c r="AH74">
        <v>3.3</v>
      </c>
      <c r="AI74">
        <f t="shared" si="15"/>
        <v>0.76873698542228963</v>
      </c>
      <c r="AJ74">
        <f t="shared" si="16"/>
        <v>5.8713366879287365</v>
      </c>
      <c r="AK74">
        <f t="shared" si="11"/>
        <v>5.8713366879287361E-3</v>
      </c>
      <c r="AL74">
        <f t="shared" si="12"/>
        <v>2.9356683439643681E-2</v>
      </c>
    </row>
    <row r="75" spans="1:38" x14ac:dyDescent="0.35">
      <c r="A75" s="3">
        <v>2018</v>
      </c>
      <c r="B75" s="3">
        <v>8</v>
      </c>
      <c r="C75" s="3">
        <v>17</v>
      </c>
      <c r="D75" s="2">
        <v>277</v>
      </c>
      <c r="E75" s="3" t="s">
        <v>739</v>
      </c>
      <c r="F75" s="3">
        <v>3</v>
      </c>
      <c r="G75" s="3" t="s">
        <v>45</v>
      </c>
      <c r="H75" s="3" t="str">
        <f t="shared" si="17"/>
        <v>2009</v>
      </c>
      <c r="I75" s="3">
        <v>9</v>
      </c>
      <c r="J75" s="69"/>
      <c r="K75" s="3" t="s">
        <v>740</v>
      </c>
      <c r="L75" s="3" t="s">
        <v>488</v>
      </c>
      <c r="M75" s="3">
        <v>8.1</v>
      </c>
      <c r="N75" s="3">
        <v>251</v>
      </c>
      <c r="O75" s="3" t="str">
        <f t="shared" si="14"/>
        <v>2007</v>
      </c>
      <c r="P75" s="2">
        <v>277</v>
      </c>
      <c r="AH75">
        <v>3.31</v>
      </c>
      <c r="AI75">
        <f t="shared" si="15"/>
        <v>0.7719406488252023</v>
      </c>
      <c r="AJ75">
        <f t="shared" si="16"/>
        <v>5.9148079621771048</v>
      </c>
      <c r="AK75">
        <f t="shared" si="11"/>
        <v>5.9148079621771047E-3</v>
      </c>
      <c r="AL75">
        <f t="shared" si="12"/>
        <v>2.9574039810885522E-2</v>
      </c>
    </row>
    <row r="76" spans="1:38" x14ac:dyDescent="0.35">
      <c r="A76" s="3">
        <v>2022</v>
      </c>
      <c r="B76" s="3">
        <v>11</v>
      </c>
      <c r="C76" s="3">
        <v>15</v>
      </c>
      <c r="D76" s="2">
        <v>107</v>
      </c>
      <c r="E76" s="14" t="s">
        <v>555</v>
      </c>
      <c r="F76" s="15">
        <v>4</v>
      </c>
      <c r="G76" s="3" t="s">
        <v>20</v>
      </c>
      <c r="H76" s="3" t="str">
        <f t="shared" si="17"/>
        <v>2020</v>
      </c>
      <c r="I76" s="3">
        <v>2</v>
      </c>
      <c r="J76" s="69"/>
      <c r="K76" s="3">
        <v>7</v>
      </c>
      <c r="L76" s="3">
        <v>7</v>
      </c>
      <c r="M76" s="3">
        <v>14.8</v>
      </c>
      <c r="N76" s="3">
        <v>252</v>
      </c>
      <c r="O76" s="3" t="str">
        <f t="shared" si="14"/>
        <v>2018</v>
      </c>
      <c r="P76" s="2">
        <v>107</v>
      </c>
      <c r="AH76">
        <v>3.34</v>
      </c>
      <c r="AI76">
        <f t="shared" si="15"/>
        <v>0.78149388608659409</v>
      </c>
      <c r="AJ76">
        <f t="shared" si="16"/>
        <v>6.0463583933887728</v>
      </c>
      <c r="AK76">
        <f t="shared" si="11"/>
        <v>6.0463583933887729E-3</v>
      </c>
      <c r="AL76">
        <f t="shared" si="12"/>
        <v>3.0231791966943866E-2</v>
      </c>
    </row>
    <row r="77" spans="1:38" x14ac:dyDescent="0.35">
      <c r="A77" s="3">
        <v>2016</v>
      </c>
      <c r="B77" s="3">
        <v>8</v>
      </c>
      <c r="C77" s="3">
        <v>31</v>
      </c>
      <c r="D77" s="2">
        <v>281</v>
      </c>
      <c r="E77" s="3" t="s">
        <v>745</v>
      </c>
      <c r="F77" s="3">
        <v>3</v>
      </c>
      <c r="G77" s="3" t="s">
        <v>45</v>
      </c>
      <c r="H77" s="3" t="str">
        <f t="shared" si="17"/>
        <v>2009</v>
      </c>
      <c r="I77" s="3">
        <v>7</v>
      </c>
      <c r="J77" s="69"/>
      <c r="K77" s="3" t="s">
        <v>742</v>
      </c>
      <c r="L77" s="3" t="s">
        <v>488</v>
      </c>
      <c r="M77" s="3">
        <v>12.6</v>
      </c>
      <c r="N77" s="3">
        <v>252</v>
      </c>
      <c r="O77" s="3" t="str">
        <f t="shared" si="14"/>
        <v>2007</v>
      </c>
      <c r="P77" s="2">
        <v>281</v>
      </c>
      <c r="AH77">
        <v>3.36</v>
      </c>
      <c r="AI77">
        <f t="shared" si="15"/>
        <v>0.78781515827643966</v>
      </c>
      <c r="AJ77">
        <f t="shared" si="16"/>
        <v>6.1350083516989766</v>
      </c>
      <c r="AK77">
        <f t="shared" si="11"/>
        <v>6.1350083516989763E-3</v>
      </c>
      <c r="AL77">
        <f t="shared" si="12"/>
        <v>3.0675041758494882E-2</v>
      </c>
    </row>
    <row r="78" spans="1:38" x14ac:dyDescent="0.35">
      <c r="A78" s="3">
        <v>2016</v>
      </c>
      <c r="B78" s="3">
        <v>8</v>
      </c>
      <c r="C78" s="3">
        <v>31</v>
      </c>
      <c r="D78" s="2">
        <v>280</v>
      </c>
      <c r="E78" s="3" t="s">
        <v>744</v>
      </c>
      <c r="F78" s="3">
        <v>3</v>
      </c>
      <c r="G78" s="3" t="s">
        <v>45</v>
      </c>
      <c r="H78" s="3" t="str">
        <f t="shared" si="17"/>
        <v>2009</v>
      </c>
      <c r="I78" s="3">
        <v>7</v>
      </c>
      <c r="J78" s="69"/>
      <c r="K78" s="3" t="s">
        <v>742</v>
      </c>
      <c r="L78" s="3" t="s">
        <v>488</v>
      </c>
      <c r="M78" s="3">
        <v>9.8000000000000007</v>
      </c>
      <c r="N78" s="3">
        <v>253</v>
      </c>
      <c r="O78" s="3" t="str">
        <f t="shared" si="14"/>
        <v>2007</v>
      </c>
      <c r="P78" s="2">
        <v>280</v>
      </c>
      <c r="Y78">
        <v>2.94</v>
      </c>
      <c r="AH78">
        <v>3.37</v>
      </c>
      <c r="AI78">
        <f t="shared" si="15"/>
        <v>0.79096169832432373</v>
      </c>
      <c r="AJ78">
        <f t="shared" si="16"/>
        <v>6.1796189790334681</v>
      </c>
      <c r="AK78">
        <f t="shared" si="11"/>
        <v>6.1796189790334684E-3</v>
      </c>
      <c r="AL78">
        <f t="shared" si="12"/>
        <v>3.0898094895167344E-2</v>
      </c>
    </row>
    <row r="79" spans="1:38" x14ac:dyDescent="0.35">
      <c r="A79" s="3">
        <v>2016</v>
      </c>
      <c r="B79" s="3">
        <v>8</v>
      </c>
      <c r="C79" s="3">
        <v>31</v>
      </c>
      <c r="D79" s="2">
        <v>280</v>
      </c>
      <c r="E79" s="3" t="s">
        <v>744</v>
      </c>
      <c r="F79" s="3">
        <v>3</v>
      </c>
      <c r="G79" s="3" t="s">
        <v>45</v>
      </c>
      <c r="H79" s="3" t="str">
        <f t="shared" si="17"/>
        <v>2009</v>
      </c>
      <c r="I79" s="3">
        <v>7</v>
      </c>
      <c r="J79" s="69"/>
      <c r="K79" s="3" t="s">
        <v>742</v>
      </c>
      <c r="L79" s="3" t="s">
        <v>488</v>
      </c>
      <c r="M79" s="3">
        <v>9.8000000000000007</v>
      </c>
      <c r="N79" s="3">
        <v>253</v>
      </c>
      <c r="O79" s="3" t="str">
        <f t="shared" si="14"/>
        <v>2007</v>
      </c>
      <c r="P79" s="2">
        <v>280</v>
      </c>
      <c r="Y79">
        <v>2.76</v>
      </c>
      <c r="AH79">
        <v>3.37</v>
      </c>
      <c r="AI79">
        <f t="shared" si="15"/>
        <v>0.79096169832432373</v>
      </c>
      <c r="AJ79">
        <f t="shared" si="16"/>
        <v>6.1796189790334681</v>
      </c>
      <c r="AK79">
        <f t="shared" si="11"/>
        <v>6.1796189790334684E-3</v>
      </c>
      <c r="AL79">
        <f t="shared" si="12"/>
        <v>3.0898094895167344E-2</v>
      </c>
    </row>
    <row r="80" spans="1:38" x14ac:dyDescent="0.35">
      <c r="A80" s="3">
        <v>2016</v>
      </c>
      <c r="B80" s="3">
        <v>8</v>
      </c>
      <c r="C80" s="3">
        <v>31</v>
      </c>
      <c r="D80" s="2">
        <v>280</v>
      </c>
      <c r="E80" s="3" t="s">
        <v>744</v>
      </c>
      <c r="F80" s="3">
        <v>3</v>
      </c>
      <c r="G80" s="3" t="s">
        <v>45</v>
      </c>
      <c r="H80" s="3" t="str">
        <f t="shared" si="17"/>
        <v>2009</v>
      </c>
      <c r="I80" s="3">
        <v>7</v>
      </c>
      <c r="J80" s="69"/>
      <c r="K80" s="3" t="s">
        <v>742</v>
      </c>
      <c r="L80" s="3" t="s">
        <v>488</v>
      </c>
      <c r="M80" s="3">
        <v>9.8000000000000007</v>
      </c>
      <c r="N80" s="3">
        <v>253</v>
      </c>
      <c r="O80" s="3" t="str">
        <f t="shared" si="14"/>
        <v>2007</v>
      </c>
      <c r="P80" s="2">
        <v>280</v>
      </c>
      <c r="Y80">
        <v>1.85</v>
      </c>
      <c r="AH80">
        <v>3.38</v>
      </c>
      <c r="AI80">
        <f t="shared" si="15"/>
        <v>0.79409891527692222</v>
      </c>
      <c r="AJ80">
        <f t="shared" si="16"/>
        <v>6.2244203694829485</v>
      </c>
      <c r="AK80">
        <f t="shared" si="11"/>
        <v>6.2244203694829482E-3</v>
      </c>
      <c r="AL80">
        <f t="shared" si="12"/>
        <v>3.1122101847414742E-2</v>
      </c>
    </row>
    <row r="81" spans="1:38" x14ac:dyDescent="0.35">
      <c r="A81" s="3">
        <v>2016</v>
      </c>
      <c r="B81" s="3">
        <v>11</v>
      </c>
      <c r="C81" s="3">
        <v>7</v>
      </c>
      <c r="D81" s="2">
        <v>231</v>
      </c>
      <c r="E81" s="3" t="s">
        <v>689</v>
      </c>
      <c r="F81" s="3">
        <v>4</v>
      </c>
      <c r="G81" s="3" t="s">
        <v>45</v>
      </c>
      <c r="H81" s="3" t="str">
        <f t="shared" si="17"/>
        <v>2009</v>
      </c>
      <c r="I81" s="3">
        <v>7</v>
      </c>
      <c r="J81" s="69"/>
      <c r="K81" s="3" t="s">
        <v>671</v>
      </c>
      <c r="L81" s="3" t="s">
        <v>512</v>
      </c>
      <c r="M81" s="3">
        <v>12.7</v>
      </c>
      <c r="N81" s="3">
        <v>254</v>
      </c>
      <c r="O81" s="3" t="str">
        <f t="shared" si="14"/>
        <v>2007</v>
      </c>
      <c r="P81" s="2">
        <v>231</v>
      </c>
      <c r="AH81">
        <v>3.38</v>
      </c>
      <c r="AI81">
        <f t="shared" si="15"/>
        <v>0.79409891527692222</v>
      </c>
      <c r="AJ81">
        <f t="shared" si="16"/>
        <v>6.2244203694829485</v>
      </c>
      <c r="AK81">
        <f t="shared" si="11"/>
        <v>6.2244203694829482E-3</v>
      </c>
      <c r="AL81">
        <f t="shared" si="12"/>
        <v>3.1122101847414742E-2</v>
      </c>
    </row>
    <row r="82" spans="1:38" x14ac:dyDescent="0.35">
      <c r="A82" s="3">
        <v>2023</v>
      </c>
      <c r="B82" s="3">
        <v>7</v>
      </c>
      <c r="C82" s="3">
        <v>31</v>
      </c>
      <c r="D82" s="2">
        <v>453</v>
      </c>
      <c r="E82" s="3" t="s">
        <v>911</v>
      </c>
      <c r="F82" s="3">
        <v>3</v>
      </c>
      <c r="G82" s="3" t="s">
        <v>225</v>
      </c>
      <c r="H82" s="3" t="str">
        <f t="shared" si="17"/>
        <v>2022</v>
      </c>
      <c r="I82" s="3">
        <v>1</v>
      </c>
      <c r="J82" s="69"/>
      <c r="K82" s="3" t="s">
        <v>67</v>
      </c>
      <c r="L82" s="3">
        <v>2</v>
      </c>
      <c r="M82" s="3">
        <v>13.8</v>
      </c>
      <c r="N82" s="3">
        <v>254</v>
      </c>
      <c r="O82" s="3" t="str">
        <f t="shared" si="14"/>
        <v>2021</v>
      </c>
      <c r="P82" s="2">
        <v>453</v>
      </c>
      <c r="AH82">
        <v>3.38</v>
      </c>
      <c r="AI82">
        <f t="shared" si="15"/>
        <v>0.79409891527692222</v>
      </c>
      <c r="AJ82">
        <f t="shared" si="16"/>
        <v>6.2244203694829485</v>
      </c>
      <c r="AK82">
        <f t="shared" si="11"/>
        <v>6.2244203694829482E-3</v>
      </c>
      <c r="AL82">
        <f t="shared" si="12"/>
        <v>3.1122101847414742E-2</v>
      </c>
    </row>
    <row r="83" spans="1:38" x14ac:dyDescent="0.35">
      <c r="A83" s="3">
        <v>2024</v>
      </c>
      <c r="B83" s="3">
        <v>4</v>
      </c>
      <c r="C83" s="3">
        <v>8</v>
      </c>
      <c r="D83" s="2">
        <v>671</v>
      </c>
      <c r="E83" s="3" t="s">
        <v>1092</v>
      </c>
      <c r="F83" s="3">
        <v>2</v>
      </c>
      <c r="G83" s="3" t="s">
        <v>225</v>
      </c>
      <c r="H83" s="3" t="str">
        <f t="shared" si="17"/>
        <v>2022</v>
      </c>
      <c r="I83" s="3">
        <v>2</v>
      </c>
      <c r="J83" s="69"/>
      <c r="K83" t="s">
        <v>1093</v>
      </c>
      <c r="L83">
        <v>2</v>
      </c>
      <c r="M83">
        <v>12.5</v>
      </c>
      <c r="N83" s="3">
        <v>254</v>
      </c>
      <c r="O83" s="3" t="str">
        <f t="shared" si="14"/>
        <v>2021</v>
      </c>
      <c r="P83" s="2">
        <v>671</v>
      </c>
      <c r="AH83">
        <v>3.39</v>
      </c>
      <c r="AI83">
        <f t="shared" si="15"/>
        <v>0.79722686421911448</v>
      </c>
      <c r="AJ83">
        <f t="shared" si="16"/>
        <v>6.2694127707766585</v>
      </c>
      <c r="AK83">
        <f t="shared" si="11"/>
        <v>6.2694127707766589E-3</v>
      </c>
      <c r="AL83">
        <f t="shared" si="12"/>
        <v>3.1347063853883292E-2</v>
      </c>
    </row>
    <row r="84" spans="1:38" x14ac:dyDescent="0.35">
      <c r="A84" s="3">
        <v>2016</v>
      </c>
      <c r="B84" s="3">
        <v>9</v>
      </c>
      <c r="C84" s="3">
        <v>8</v>
      </c>
      <c r="D84" s="2">
        <v>224</v>
      </c>
      <c r="E84" s="3" t="s">
        <v>682</v>
      </c>
      <c r="F84" s="3">
        <v>3</v>
      </c>
      <c r="G84" s="3" t="s">
        <v>41</v>
      </c>
      <c r="H84" s="3" t="str">
        <f t="shared" si="17"/>
        <v>2013</v>
      </c>
      <c r="I84" s="3">
        <v>3</v>
      </c>
      <c r="J84" s="69"/>
      <c r="K84" s="3" t="s">
        <v>669</v>
      </c>
      <c r="L84" s="3" t="s">
        <v>458</v>
      </c>
      <c r="M84" s="3">
        <v>12.8</v>
      </c>
      <c r="N84" s="3">
        <v>255</v>
      </c>
      <c r="O84" s="3" t="str">
        <f t="shared" si="14"/>
        <v>2011</v>
      </c>
      <c r="P84" s="2">
        <v>224</v>
      </c>
      <c r="AH84">
        <v>3.39</v>
      </c>
      <c r="AI84">
        <f t="shared" si="15"/>
        <v>0.79722686421911448</v>
      </c>
      <c r="AJ84">
        <f t="shared" si="16"/>
        <v>6.2694127707766585</v>
      </c>
      <c r="AK84">
        <f t="shared" si="11"/>
        <v>6.2694127707766589E-3</v>
      </c>
      <c r="AL84">
        <f t="shared" si="12"/>
        <v>3.1347063853883292E-2</v>
      </c>
    </row>
    <row r="85" spans="1:38" x14ac:dyDescent="0.35">
      <c r="A85" s="3">
        <v>2022</v>
      </c>
      <c r="B85" s="3">
        <v>11</v>
      </c>
      <c r="C85" s="3">
        <v>15</v>
      </c>
      <c r="D85" s="2">
        <v>108</v>
      </c>
      <c r="E85" s="14" t="s">
        <v>556</v>
      </c>
      <c r="F85" s="15">
        <v>4</v>
      </c>
      <c r="G85" s="3" t="s">
        <v>20</v>
      </c>
      <c r="H85" s="3" t="str">
        <f t="shared" si="17"/>
        <v>2020</v>
      </c>
      <c r="I85" s="3">
        <v>2</v>
      </c>
      <c r="J85" s="69"/>
      <c r="K85" s="3">
        <v>7</v>
      </c>
      <c r="L85" s="3">
        <v>7</v>
      </c>
      <c r="M85" s="3">
        <v>11.2</v>
      </c>
      <c r="N85" s="3">
        <v>257</v>
      </c>
      <c r="O85" s="3" t="str">
        <f t="shared" si="14"/>
        <v>2018</v>
      </c>
      <c r="P85" s="2">
        <v>108</v>
      </c>
      <c r="AH85">
        <v>3.4</v>
      </c>
      <c r="AI85">
        <f t="shared" si="15"/>
        <v>0.80034559974901809</v>
      </c>
      <c r="AJ85">
        <f t="shared" si="16"/>
        <v>6.314596430232255</v>
      </c>
      <c r="AK85">
        <f t="shared" si="11"/>
        <v>6.3145964302322548E-3</v>
      </c>
      <c r="AL85">
        <f t="shared" si="12"/>
        <v>3.1572982151161277E-2</v>
      </c>
    </row>
    <row r="86" spans="1:38" x14ac:dyDescent="0.35">
      <c r="A86" s="3">
        <v>2017</v>
      </c>
      <c r="B86" s="3">
        <v>8</v>
      </c>
      <c r="C86" s="3">
        <v>3</v>
      </c>
      <c r="D86" s="2">
        <v>137</v>
      </c>
      <c r="E86" s="14" t="s">
        <v>582</v>
      </c>
      <c r="F86" s="15">
        <v>3</v>
      </c>
      <c r="G86" s="3" t="s">
        <v>41</v>
      </c>
      <c r="H86" s="3" t="str">
        <f t="shared" si="17"/>
        <v>2013</v>
      </c>
      <c r="I86" s="3">
        <v>4</v>
      </c>
      <c r="J86" s="69"/>
      <c r="K86" s="3" t="s">
        <v>583</v>
      </c>
      <c r="L86" s="3" t="s">
        <v>318</v>
      </c>
      <c r="M86" s="3">
        <v>9.9</v>
      </c>
      <c r="N86" s="3">
        <v>257</v>
      </c>
      <c r="O86" s="3" t="str">
        <f t="shared" si="14"/>
        <v>2011</v>
      </c>
      <c r="P86" s="2">
        <v>137</v>
      </c>
      <c r="AH86">
        <v>3.41</v>
      </c>
      <c r="AI86">
        <f t="shared" si="15"/>
        <v>0.80345517598370964</v>
      </c>
      <c r="AJ86">
        <f t="shared" si="16"/>
        <v>6.3599715947577415</v>
      </c>
      <c r="AK86">
        <f t="shared" si="11"/>
        <v>6.3599715947577412E-3</v>
      </c>
      <c r="AL86">
        <f t="shared" si="12"/>
        <v>3.1799857973788703E-2</v>
      </c>
    </row>
    <row r="87" spans="1:38" x14ac:dyDescent="0.35">
      <c r="A87" s="3">
        <v>2016</v>
      </c>
      <c r="B87" s="3">
        <v>8</v>
      </c>
      <c r="C87" s="3">
        <v>31</v>
      </c>
      <c r="D87" s="2">
        <v>276</v>
      </c>
      <c r="E87" s="3" t="s">
        <v>738</v>
      </c>
      <c r="F87" s="3">
        <v>3</v>
      </c>
      <c r="G87" s="3" t="s">
        <v>45</v>
      </c>
      <c r="H87" s="3" t="str">
        <f t="shared" si="17"/>
        <v>2009</v>
      </c>
      <c r="I87" s="3">
        <v>7</v>
      </c>
      <c r="J87" s="69"/>
      <c r="K87" s="3" t="s">
        <v>644</v>
      </c>
      <c r="L87" s="3" t="s">
        <v>488</v>
      </c>
      <c r="M87" s="3">
        <v>1.3</v>
      </c>
      <c r="N87" s="3">
        <v>257</v>
      </c>
      <c r="O87" s="3" t="str">
        <f t="shared" si="14"/>
        <v>2007</v>
      </c>
      <c r="P87" s="2">
        <v>276</v>
      </c>
      <c r="AH87">
        <v>3.41</v>
      </c>
      <c r="AI87">
        <f t="shared" si="15"/>
        <v>0.80345517598370964</v>
      </c>
      <c r="AJ87">
        <f t="shared" si="16"/>
        <v>6.3599715947577415</v>
      </c>
      <c r="AK87">
        <f t="shared" si="11"/>
        <v>6.3599715947577412E-3</v>
      </c>
      <c r="AL87">
        <f t="shared" si="12"/>
        <v>3.1799857973788703E-2</v>
      </c>
    </row>
    <row r="88" spans="1:38" x14ac:dyDescent="0.35">
      <c r="A88" s="3">
        <v>2017</v>
      </c>
      <c r="B88" s="3">
        <v>8</v>
      </c>
      <c r="C88" s="3">
        <v>8</v>
      </c>
      <c r="D88" s="2">
        <v>85</v>
      </c>
      <c r="E88" s="14" t="s">
        <v>530</v>
      </c>
      <c r="F88" s="15">
        <v>3</v>
      </c>
      <c r="G88" s="3" t="s">
        <v>45</v>
      </c>
      <c r="H88" s="3" t="str">
        <f t="shared" si="17"/>
        <v>2009</v>
      </c>
      <c r="I88" s="3">
        <v>8</v>
      </c>
      <c r="J88" s="69"/>
      <c r="K88" s="3" t="s">
        <v>512</v>
      </c>
      <c r="L88" s="3" t="s">
        <v>512</v>
      </c>
      <c r="M88" s="3">
        <v>1.1000000000000001</v>
      </c>
      <c r="N88" s="3">
        <v>258</v>
      </c>
      <c r="O88" s="3" t="str">
        <f t="shared" si="14"/>
        <v>2007</v>
      </c>
      <c r="P88" s="2">
        <v>85</v>
      </c>
      <c r="AH88">
        <v>3.43</v>
      </c>
      <c r="AI88">
        <f t="shared" si="15"/>
        <v>0.80964706466427461</v>
      </c>
      <c r="AJ88">
        <f t="shared" si="16"/>
        <v>6.4512974246132817</v>
      </c>
      <c r="AK88">
        <f t="shared" si="11"/>
        <v>6.451297424613282E-3</v>
      </c>
      <c r="AL88">
        <f t="shared" si="12"/>
        <v>3.2256487123066412E-2</v>
      </c>
    </row>
    <row r="89" spans="1:38" x14ac:dyDescent="0.35">
      <c r="A89" s="3">
        <v>2018</v>
      </c>
      <c r="B89" s="3">
        <v>8</v>
      </c>
      <c r="C89" s="3">
        <v>16</v>
      </c>
      <c r="D89" s="2">
        <v>329</v>
      </c>
      <c r="E89" s="3" t="s">
        <v>796</v>
      </c>
      <c r="F89" s="3">
        <v>3</v>
      </c>
      <c r="G89" s="3" t="s">
        <v>45</v>
      </c>
      <c r="H89" s="3" t="str">
        <f t="shared" si="17"/>
        <v>2011</v>
      </c>
      <c r="I89" s="3">
        <v>7</v>
      </c>
      <c r="J89" s="69"/>
      <c r="K89" s="3" t="s">
        <v>632</v>
      </c>
      <c r="L89" s="3" t="s">
        <v>317</v>
      </c>
      <c r="M89" s="3">
        <v>11.6</v>
      </c>
      <c r="N89" s="3">
        <v>258</v>
      </c>
      <c r="O89" s="3" t="str">
        <f t="shared" si="14"/>
        <v>2007</v>
      </c>
      <c r="P89" s="2">
        <v>329</v>
      </c>
      <c r="AH89">
        <v>3.43</v>
      </c>
      <c r="AI89">
        <f t="shared" si="15"/>
        <v>0.80964706466427461</v>
      </c>
      <c r="AJ89">
        <f t="shared" si="16"/>
        <v>6.4512974246132817</v>
      </c>
      <c r="AK89">
        <f t="shared" si="11"/>
        <v>6.451297424613282E-3</v>
      </c>
      <c r="AL89">
        <f t="shared" si="12"/>
        <v>3.2256487123066412E-2</v>
      </c>
    </row>
    <row r="90" spans="1:38" x14ac:dyDescent="0.35">
      <c r="A90" s="3">
        <v>2024</v>
      </c>
      <c r="B90" s="3">
        <v>8</v>
      </c>
      <c r="C90" s="3">
        <v>13</v>
      </c>
      <c r="D90" s="2">
        <v>717</v>
      </c>
      <c r="E90" s="3" t="s">
        <v>1133</v>
      </c>
      <c r="F90" s="3">
        <v>3</v>
      </c>
      <c r="G90" s="3" t="s">
        <v>225</v>
      </c>
      <c r="H90" s="3" t="str">
        <f t="shared" si="17"/>
        <v>2022</v>
      </c>
      <c r="I90" s="3">
        <v>2</v>
      </c>
      <c r="J90" s="69"/>
      <c r="K90" t="s">
        <v>67</v>
      </c>
      <c r="L90">
        <v>2</v>
      </c>
      <c r="M90">
        <v>12</v>
      </c>
      <c r="N90" s="3">
        <v>258</v>
      </c>
      <c r="O90" s="3" t="str">
        <f t="shared" si="14"/>
        <v>2021</v>
      </c>
      <c r="P90" s="2">
        <v>717</v>
      </c>
      <c r="AH90">
        <v>3.45</v>
      </c>
      <c r="AI90">
        <f t="shared" si="15"/>
        <v>0.81580295378864243</v>
      </c>
      <c r="AJ90">
        <f t="shared" si="16"/>
        <v>6.543392227484973</v>
      </c>
      <c r="AK90">
        <f t="shared" si="11"/>
        <v>6.543392227484973E-3</v>
      </c>
      <c r="AL90">
        <f t="shared" si="12"/>
        <v>3.2716961137424866E-2</v>
      </c>
    </row>
    <row r="91" spans="1:38" x14ac:dyDescent="0.35">
      <c r="A91" s="3">
        <v>2016</v>
      </c>
      <c r="B91" s="3">
        <v>9</v>
      </c>
      <c r="C91" s="3">
        <v>2</v>
      </c>
      <c r="D91" s="2">
        <v>222</v>
      </c>
      <c r="E91" s="3" t="s">
        <v>680</v>
      </c>
      <c r="F91" s="3">
        <v>3</v>
      </c>
      <c r="G91" s="3" t="s">
        <v>41</v>
      </c>
      <c r="H91" s="3" t="str">
        <f t="shared" si="17"/>
        <v>2013</v>
      </c>
      <c r="I91" s="3">
        <v>3</v>
      </c>
      <c r="J91" s="69"/>
      <c r="K91" s="3" t="s">
        <v>42</v>
      </c>
      <c r="L91" s="3" t="s">
        <v>318</v>
      </c>
      <c r="M91" s="3">
        <v>13.7</v>
      </c>
      <c r="N91" s="3">
        <v>259</v>
      </c>
      <c r="O91" s="3" t="str">
        <f t="shared" si="14"/>
        <v>2011</v>
      </c>
      <c r="P91" s="2">
        <v>222</v>
      </c>
      <c r="AH91">
        <v>3.45</v>
      </c>
      <c r="AI91">
        <f t="shared" si="15"/>
        <v>0.81580295378864243</v>
      </c>
      <c r="AJ91">
        <f t="shared" si="16"/>
        <v>6.543392227484973</v>
      </c>
      <c r="AK91">
        <f t="shared" si="11"/>
        <v>6.543392227484973E-3</v>
      </c>
      <c r="AL91">
        <f t="shared" si="12"/>
        <v>3.2716961137424866E-2</v>
      </c>
    </row>
    <row r="92" spans="1:38" x14ac:dyDescent="0.35">
      <c r="A92" s="3">
        <v>2019</v>
      </c>
      <c r="B92" s="3">
        <v>8</v>
      </c>
      <c r="C92" s="3">
        <v>9</v>
      </c>
      <c r="D92" s="2">
        <v>321</v>
      </c>
      <c r="E92" s="3" t="s">
        <v>788</v>
      </c>
      <c r="F92" s="3">
        <v>3</v>
      </c>
      <c r="G92" s="3" t="s">
        <v>45</v>
      </c>
      <c r="H92" s="3" t="str">
        <f t="shared" si="17"/>
        <v>2011</v>
      </c>
      <c r="I92" s="3">
        <v>8</v>
      </c>
      <c r="J92" s="69"/>
      <c r="K92" s="3" t="s">
        <v>46</v>
      </c>
      <c r="L92" s="3" t="s">
        <v>317</v>
      </c>
      <c r="M92" s="3">
        <v>9.8000000000000007</v>
      </c>
      <c r="N92" s="3">
        <v>259</v>
      </c>
      <c r="O92" s="3" t="str">
        <f t="shared" si="14"/>
        <v>2007</v>
      </c>
      <c r="P92" s="2">
        <v>321</v>
      </c>
      <c r="AH92">
        <v>3.45</v>
      </c>
      <c r="AI92">
        <f t="shared" si="15"/>
        <v>0.81580295378864243</v>
      </c>
      <c r="AJ92">
        <f t="shared" si="16"/>
        <v>6.543392227484973</v>
      </c>
      <c r="AK92">
        <f t="shared" si="11"/>
        <v>6.543392227484973E-3</v>
      </c>
      <c r="AL92">
        <f t="shared" si="12"/>
        <v>3.2716961137424866E-2</v>
      </c>
    </row>
    <row r="93" spans="1:38" x14ac:dyDescent="0.35">
      <c r="A93" s="3">
        <v>2021</v>
      </c>
      <c r="B93" s="3">
        <v>10</v>
      </c>
      <c r="C93" s="3" t="s">
        <v>28</v>
      </c>
      <c r="D93" s="2">
        <v>30</v>
      </c>
      <c r="E93" s="3" t="s">
        <v>472</v>
      </c>
      <c r="F93" s="3">
        <v>4</v>
      </c>
      <c r="G93" s="3" t="s">
        <v>41</v>
      </c>
      <c r="H93" s="3" t="str">
        <f t="shared" si="17"/>
        <v>2013</v>
      </c>
      <c r="I93" s="3">
        <v>8</v>
      </c>
      <c r="J93" s="69"/>
      <c r="K93" s="3" t="s">
        <v>318</v>
      </c>
      <c r="L93" s="3" t="s">
        <v>318</v>
      </c>
      <c r="M93" s="3">
        <v>12.4</v>
      </c>
      <c r="N93" s="3">
        <v>260</v>
      </c>
      <c r="O93" s="3" t="str">
        <f t="shared" si="14"/>
        <v>2011</v>
      </c>
      <c r="P93" s="2">
        <v>30</v>
      </c>
      <c r="Y93">
        <v>3.18</v>
      </c>
      <c r="AH93">
        <v>3.46</v>
      </c>
      <c r="AI93">
        <f t="shared" si="15"/>
        <v>0.81886752885678948</v>
      </c>
      <c r="AJ93">
        <f t="shared" si="16"/>
        <v>6.5897286067722645</v>
      </c>
      <c r="AK93">
        <f t="shared" ref="AK93:AK124" si="18">AJ93/1000</f>
        <v>6.5897286067722648E-3</v>
      </c>
      <c r="AL93">
        <f t="shared" ref="AL93:AL124" si="19">5*AK93</f>
        <v>3.2948643033861323E-2</v>
      </c>
    </row>
    <row r="94" spans="1:38" x14ac:dyDescent="0.35">
      <c r="A94" s="3">
        <v>2024</v>
      </c>
      <c r="B94" s="3">
        <v>1</v>
      </c>
      <c r="C94" s="3">
        <v>19</v>
      </c>
      <c r="D94" s="2">
        <v>578</v>
      </c>
      <c r="E94" s="3" t="s">
        <v>1022</v>
      </c>
      <c r="F94" s="3">
        <v>1</v>
      </c>
      <c r="G94" s="3" t="s">
        <v>41</v>
      </c>
      <c r="H94" s="3" t="str">
        <f t="shared" si="17"/>
        <v>2013</v>
      </c>
      <c r="I94" s="3">
        <v>11</v>
      </c>
      <c r="J94" s="69"/>
      <c r="K94" t="s">
        <v>509</v>
      </c>
      <c r="L94" s="3" t="s">
        <v>458</v>
      </c>
      <c r="M94">
        <v>41.3</v>
      </c>
      <c r="N94" s="3">
        <v>260</v>
      </c>
      <c r="O94" s="3" t="str">
        <f t="shared" si="14"/>
        <v>2011</v>
      </c>
      <c r="P94" s="2">
        <v>578</v>
      </c>
      <c r="AH94">
        <v>3.47</v>
      </c>
      <c r="AI94">
        <f t="shared" si="15"/>
        <v>0.82192325954015022</v>
      </c>
      <c r="AJ94">
        <f t="shared" si="16"/>
        <v>6.6362579640786947</v>
      </c>
      <c r="AK94">
        <f t="shared" si="18"/>
        <v>6.6362579640786949E-3</v>
      </c>
      <c r="AL94">
        <f t="shared" si="19"/>
        <v>3.3181289820393478E-2</v>
      </c>
    </row>
    <row r="95" spans="1:38" x14ac:dyDescent="0.35">
      <c r="A95" s="3">
        <v>2024</v>
      </c>
      <c r="B95" s="3">
        <v>2</v>
      </c>
      <c r="C95" s="3">
        <v>23</v>
      </c>
      <c r="D95" s="2">
        <v>635</v>
      </c>
      <c r="E95" s="3" t="s">
        <v>1071</v>
      </c>
      <c r="F95" s="3">
        <v>1</v>
      </c>
      <c r="G95" s="3" t="s">
        <v>225</v>
      </c>
      <c r="H95" s="3" t="str">
        <f t="shared" si="17"/>
        <v>2022</v>
      </c>
      <c r="I95" s="3">
        <v>2</v>
      </c>
      <c r="J95" s="69"/>
      <c r="K95" t="s">
        <v>21</v>
      </c>
      <c r="L95" s="3">
        <v>2</v>
      </c>
      <c r="M95">
        <v>13.2</v>
      </c>
      <c r="N95" s="3">
        <v>260</v>
      </c>
      <c r="O95" s="3" t="str">
        <f t="shared" si="14"/>
        <v>2021</v>
      </c>
      <c r="P95" s="2">
        <v>635</v>
      </c>
      <c r="AH95">
        <v>3.48</v>
      </c>
      <c r="AI95">
        <f t="shared" si="15"/>
        <v>0.82497019674176442</v>
      </c>
      <c r="AJ95">
        <f t="shared" si="16"/>
        <v>6.6829805434964475</v>
      </c>
      <c r="AK95">
        <f t="shared" si="18"/>
        <v>6.6829805434964473E-3</v>
      </c>
      <c r="AL95">
        <f t="shared" si="19"/>
        <v>3.3414902717482237E-2</v>
      </c>
    </row>
    <row r="96" spans="1:38" x14ac:dyDescent="0.35">
      <c r="A96" s="3">
        <v>2023</v>
      </c>
      <c r="B96" s="3">
        <v>7</v>
      </c>
      <c r="C96" s="3">
        <v>31</v>
      </c>
      <c r="D96" s="2">
        <v>419</v>
      </c>
      <c r="E96" s="3" t="s">
        <v>882</v>
      </c>
      <c r="F96" s="3">
        <v>3</v>
      </c>
      <c r="G96" s="3" t="s">
        <v>225</v>
      </c>
      <c r="H96" s="3" t="str">
        <f t="shared" si="17"/>
        <v>2022</v>
      </c>
      <c r="I96" s="3">
        <v>1</v>
      </c>
      <c r="J96" s="69"/>
      <c r="K96" s="3" t="s">
        <v>58</v>
      </c>
      <c r="L96" s="3">
        <v>2</v>
      </c>
      <c r="M96" s="3">
        <v>18.600000000000001</v>
      </c>
      <c r="N96" s="3">
        <v>260.39999999999998</v>
      </c>
      <c r="O96" s="3" t="str">
        <f t="shared" si="14"/>
        <v>2021</v>
      </c>
      <c r="P96" s="2">
        <v>419</v>
      </c>
      <c r="AH96">
        <v>3.49</v>
      </c>
      <c r="AI96">
        <f t="shared" si="15"/>
        <v>0.8280083909264806</v>
      </c>
      <c r="AJ96">
        <f t="shared" si="16"/>
        <v>6.729896588722692</v>
      </c>
      <c r="AK96">
        <f t="shared" si="18"/>
        <v>6.7298965887226921E-3</v>
      </c>
      <c r="AL96">
        <f t="shared" si="19"/>
        <v>3.364948294361346E-2</v>
      </c>
    </row>
    <row r="97" spans="1:38" x14ac:dyDescent="0.35">
      <c r="A97" s="3">
        <v>2016</v>
      </c>
      <c r="B97" s="3">
        <v>11</v>
      </c>
      <c r="C97" s="3">
        <v>7</v>
      </c>
      <c r="D97" s="2">
        <v>253</v>
      </c>
      <c r="E97" s="3" t="s">
        <v>712</v>
      </c>
      <c r="F97" s="3">
        <v>4</v>
      </c>
      <c r="G97" s="3" t="s">
        <v>45</v>
      </c>
      <c r="H97" s="3" t="str">
        <f t="shared" si="17"/>
        <v>2009</v>
      </c>
      <c r="I97" s="3">
        <v>7</v>
      </c>
      <c r="J97" s="69"/>
      <c r="K97" s="3" t="s">
        <v>711</v>
      </c>
      <c r="L97" s="3" t="s">
        <v>512</v>
      </c>
      <c r="M97" s="3">
        <v>12.9</v>
      </c>
      <c r="N97" s="3">
        <v>261</v>
      </c>
      <c r="O97" s="3" t="str">
        <f t="shared" si="14"/>
        <v>2007</v>
      </c>
      <c r="P97" s="2">
        <v>253</v>
      </c>
      <c r="AH97">
        <v>3.5</v>
      </c>
      <c r="AI97">
        <f t="shared" si="15"/>
        <v>0.83103789212597201</v>
      </c>
      <c r="AJ97">
        <f t="shared" si="16"/>
        <v>6.7770063430613661</v>
      </c>
      <c r="AK97">
        <f t="shared" si="18"/>
        <v>6.7770063430613661E-3</v>
      </c>
      <c r="AL97">
        <f t="shared" si="19"/>
        <v>3.3885031715306831E-2</v>
      </c>
    </row>
    <row r="98" spans="1:38" x14ac:dyDescent="0.35">
      <c r="A98" s="3">
        <v>2023</v>
      </c>
      <c r="B98" s="3">
        <v>11</v>
      </c>
      <c r="C98" s="3">
        <v>14</v>
      </c>
      <c r="D98" s="2">
        <v>517</v>
      </c>
      <c r="E98" s="3" t="s">
        <v>969</v>
      </c>
      <c r="F98" s="3">
        <v>4</v>
      </c>
      <c r="G98" s="3" t="s">
        <v>225</v>
      </c>
      <c r="H98" s="3" t="str">
        <f t="shared" si="17"/>
        <v>2021</v>
      </c>
      <c r="I98" s="3">
        <v>2</v>
      </c>
      <c r="J98" s="69"/>
      <c r="K98" s="3" t="s">
        <v>227</v>
      </c>
      <c r="L98" s="3">
        <v>4</v>
      </c>
      <c r="M98" s="3">
        <v>15.7</v>
      </c>
      <c r="N98" s="3">
        <v>261</v>
      </c>
      <c r="O98" s="3" t="str">
        <f t="shared" si="14"/>
        <v>2021</v>
      </c>
      <c r="P98" s="2">
        <v>517</v>
      </c>
      <c r="AH98">
        <v>3.52</v>
      </c>
      <c r="AI98">
        <f t="shared" si="15"/>
        <v>0.8370710135596835</v>
      </c>
      <c r="AJ98">
        <f t="shared" si="16"/>
        <v>6.871807950336053</v>
      </c>
      <c r="AK98">
        <f t="shared" si="18"/>
        <v>6.8718079503360526E-3</v>
      </c>
      <c r="AL98">
        <f t="shared" si="19"/>
        <v>3.4359039751680261E-2</v>
      </c>
    </row>
    <row r="99" spans="1:38" x14ac:dyDescent="0.35">
      <c r="A99" s="3">
        <v>2023</v>
      </c>
      <c r="B99" s="3">
        <v>11</v>
      </c>
      <c r="C99" s="3">
        <v>3</v>
      </c>
      <c r="D99" s="2">
        <v>535</v>
      </c>
      <c r="E99" s="3" t="s">
        <v>987</v>
      </c>
      <c r="F99" s="3">
        <v>4</v>
      </c>
      <c r="G99" s="3" t="s">
        <v>226</v>
      </c>
      <c r="H99" s="3" t="str">
        <f t="shared" si="17"/>
        <v>2017</v>
      </c>
      <c r="I99" s="3">
        <v>6</v>
      </c>
      <c r="J99" s="69"/>
      <c r="K99" t="s">
        <v>988</v>
      </c>
      <c r="L99" s="3">
        <v>7</v>
      </c>
      <c r="M99" s="3">
        <v>11.5</v>
      </c>
      <c r="N99" s="3">
        <v>261</v>
      </c>
      <c r="O99" s="3" t="str">
        <f t="shared" si="14"/>
        <v>2017</v>
      </c>
      <c r="P99" s="2">
        <v>535</v>
      </c>
      <c r="AH99">
        <v>3.52</v>
      </c>
      <c r="AI99">
        <f t="shared" si="15"/>
        <v>0.8370710135596835</v>
      </c>
      <c r="AJ99">
        <f t="shared" si="16"/>
        <v>6.871807950336053</v>
      </c>
      <c r="AK99">
        <f t="shared" si="18"/>
        <v>6.8718079503360526E-3</v>
      </c>
      <c r="AL99">
        <f t="shared" si="19"/>
        <v>3.4359039751680261E-2</v>
      </c>
    </row>
    <row r="100" spans="1:38" x14ac:dyDescent="0.35">
      <c r="A100" s="3">
        <v>2023</v>
      </c>
      <c r="B100" s="3">
        <v>11</v>
      </c>
      <c r="C100" s="3">
        <v>9</v>
      </c>
      <c r="D100" s="2">
        <v>548</v>
      </c>
      <c r="E100" s="3" t="s">
        <v>123</v>
      </c>
      <c r="F100" s="3">
        <v>4</v>
      </c>
      <c r="G100" s="3" t="s">
        <v>20</v>
      </c>
      <c r="H100" s="3" t="str">
        <f t="shared" si="17"/>
        <v>2020</v>
      </c>
      <c r="I100" s="3">
        <v>3</v>
      </c>
      <c r="J100" s="69"/>
      <c r="K100" t="s">
        <v>64</v>
      </c>
      <c r="L100">
        <v>7</v>
      </c>
      <c r="M100">
        <v>12.8</v>
      </c>
      <c r="N100" s="3">
        <v>261</v>
      </c>
      <c r="O100" s="3" t="str">
        <f t="shared" si="14"/>
        <v>2018</v>
      </c>
      <c r="P100" s="2">
        <v>548</v>
      </c>
      <c r="AH100">
        <v>3.52</v>
      </c>
      <c r="AI100">
        <f t="shared" si="15"/>
        <v>0.8370710135596835</v>
      </c>
      <c r="AJ100">
        <f t="shared" si="16"/>
        <v>6.871807950336053</v>
      </c>
      <c r="AK100">
        <f t="shared" si="18"/>
        <v>6.8718079503360526E-3</v>
      </c>
      <c r="AL100">
        <f t="shared" si="19"/>
        <v>3.4359039751680261E-2</v>
      </c>
    </row>
    <row r="101" spans="1:38" x14ac:dyDescent="0.35">
      <c r="A101" s="3">
        <v>2023</v>
      </c>
      <c r="B101" s="3">
        <v>7</v>
      </c>
      <c r="C101" s="3">
        <v>28</v>
      </c>
      <c r="D101" s="2">
        <v>437</v>
      </c>
      <c r="E101" s="3" t="s">
        <v>899</v>
      </c>
      <c r="F101" s="3">
        <v>3</v>
      </c>
      <c r="G101" s="3" t="s">
        <v>225</v>
      </c>
      <c r="H101" s="3" t="str">
        <f t="shared" si="17"/>
        <v>2021</v>
      </c>
      <c r="I101" s="3">
        <v>2</v>
      </c>
      <c r="J101" s="69"/>
      <c r="K101" s="3" t="s">
        <v>898</v>
      </c>
      <c r="L101" s="3">
        <v>4</v>
      </c>
      <c r="M101" s="3">
        <v>35.5</v>
      </c>
      <c r="N101" s="3">
        <v>262</v>
      </c>
      <c r="O101" s="3" t="str">
        <f t="shared" si="14"/>
        <v>2021</v>
      </c>
      <c r="P101" s="2">
        <v>437</v>
      </c>
      <c r="AH101">
        <v>3.53</v>
      </c>
      <c r="AI101">
        <f t="shared" si="15"/>
        <v>0.8400747317355115</v>
      </c>
      <c r="AJ101">
        <f t="shared" si="16"/>
        <v>6.9195002879294876</v>
      </c>
      <c r="AK101">
        <f t="shared" si="18"/>
        <v>6.9195002879294878E-3</v>
      </c>
      <c r="AL101">
        <f t="shared" si="19"/>
        <v>3.4597501439647439E-2</v>
      </c>
    </row>
    <row r="102" spans="1:38" x14ac:dyDescent="0.35">
      <c r="A102" s="3">
        <v>2016</v>
      </c>
      <c r="B102" s="3">
        <v>8</v>
      </c>
      <c r="C102" s="3">
        <v>31</v>
      </c>
      <c r="D102" s="2">
        <v>248</v>
      </c>
      <c r="E102" s="3" t="s">
        <v>706</v>
      </c>
      <c r="F102" s="3">
        <v>3</v>
      </c>
      <c r="G102" s="3" t="s">
        <v>45</v>
      </c>
      <c r="H102" s="3" t="str">
        <f t="shared" si="17"/>
        <v>2009</v>
      </c>
      <c r="I102" s="3">
        <v>7</v>
      </c>
      <c r="J102" s="69"/>
      <c r="K102" s="3" t="s">
        <v>657</v>
      </c>
      <c r="L102" s="3" t="s">
        <v>488</v>
      </c>
      <c r="M102" s="3">
        <v>1.4</v>
      </c>
      <c r="N102" s="3">
        <v>264</v>
      </c>
      <c r="O102" s="3" t="str">
        <f t="shared" si="14"/>
        <v>2007</v>
      </c>
      <c r="P102" s="2">
        <v>248</v>
      </c>
      <c r="AH102">
        <v>3.53</v>
      </c>
      <c r="AI102">
        <f t="shared" si="15"/>
        <v>0.8400747317355115</v>
      </c>
      <c r="AJ102">
        <f t="shared" si="16"/>
        <v>6.9195002879294876</v>
      </c>
      <c r="AK102">
        <f t="shared" si="18"/>
        <v>6.9195002879294878E-3</v>
      </c>
      <c r="AL102">
        <f t="shared" si="19"/>
        <v>3.4597501439647439E-2</v>
      </c>
    </row>
    <row r="103" spans="1:38" x14ac:dyDescent="0.35">
      <c r="A103" s="3">
        <v>2016</v>
      </c>
      <c r="B103" s="3">
        <v>8</v>
      </c>
      <c r="C103" s="3">
        <v>31</v>
      </c>
      <c r="D103" s="2">
        <v>274</v>
      </c>
      <c r="E103" s="3" t="s">
        <v>736</v>
      </c>
      <c r="F103" s="3">
        <v>3</v>
      </c>
      <c r="G103" s="3" t="s">
        <v>45</v>
      </c>
      <c r="H103" s="3" t="str">
        <f t="shared" si="17"/>
        <v>2009</v>
      </c>
      <c r="I103" s="3">
        <v>7</v>
      </c>
      <c r="J103" s="69"/>
      <c r="K103" s="3" t="s">
        <v>644</v>
      </c>
      <c r="L103" s="3" t="s">
        <v>488</v>
      </c>
      <c r="M103" s="3">
        <v>1.4</v>
      </c>
      <c r="N103" s="3">
        <v>264</v>
      </c>
      <c r="O103" s="3" t="str">
        <f t="shared" si="14"/>
        <v>2007</v>
      </c>
      <c r="P103" s="2">
        <v>274</v>
      </c>
      <c r="AH103">
        <v>3.55</v>
      </c>
      <c r="AI103">
        <f t="shared" si="15"/>
        <v>0.8460567247483195</v>
      </c>
      <c r="AJ103">
        <f t="shared" si="16"/>
        <v>7.0154692397723766</v>
      </c>
      <c r="AK103">
        <f t="shared" si="18"/>
        <v>7.0154692397723763E-3</v>
      </c>
      <c r="AL103">
        <f t="shared" si="19"/>
        <v>3.5077346198861881E-2</v>
      </c>
    </row>
    <row r="104" spans="1:38" x14ac:dyDescent="0.35">
      <c r="A104" s="3">
        <v>2017</v>
      </c>
      <c r="B104" s="3">
        <v>8</v>
      </c>
      <c r="C104" s="3">
        <v>3</v>
      </c>
      <c r="D104" s="2">
        <v>138</v>
      </c>
      <c r="E104" s="14" t="s">
        <v>584</v>
      </c>
      <c r="F104" s="15">
        <v>3</v>
      </c>
      <c r="G104" s="3" t="s">
        <v>41</v>
      </c>
      <c r="H104" s="3" t="str">
        <f t="shared" si="17"/>
        <v>2013</v>
      </c>
      <c r="I104" s="3">
        <v>4</v>
      </c>
      <c r="J104" s="69"/>
      <c r="K104" s="3" t="s">
        <v>583</v>
      </c>
      <c r="L104" s="3" t="s">
        <v>318</v>
      </c>
      <c r="M104" s="3">
        <v>11.1</v>
      </c>
      <c r="N104" s="3">
        <v>266</v>
      </c>
      <c r="O104" s="3" t="str">
        <f t="shared" si="14"/>
        <v>2011</v>
      </c>
      <c r="P104" s="2">
        <v>138</v>
      </c>
      <c r="AH104">
        <v>3.57</v>
      </c>
      <c r="AI104">
        <f t="shared" si="15"/>
        <v>0.85200511088152697</v>
      </c>
      <c r="AJ104">
        <f t="shared" si="16"/>
        <v>7.1122188343362476</v>
      </c>
      <c r="AK104">
        <f t="shared" si="18"/>
        <v>7.1122188343362477E-3</v>
      </c>
      <c r="AL104">
        <f t="shared" si="19"/>
        <v>3.556109417168124E-2</v>
      </c>
    </row>
    <row r="105" spans="1:38" x14ac:dyDescent="0.35">
      <c r="A105" s="3">
        <v>2023</v>
      </c>
      <c r="B105" s="3">
        <v>7</v>
      </c>
      <c r="C105" s="3">
        <v>31</v>
      </c>
      <c r="D105" s="2">
        <v>454</v>
      </c>
      <c r="E105" s="3" t="s">
        <v>912</v>
      </c>
      <c r="F105" s="3">
        <v>3</v>
      </c>
      <c r="G105" s="3" t="s">
        <v>225</v>
      </c>
      <c r="H105" s="3" t="str">
        <f t="shared" si="17"/>
        <v>2022</v>
      </c>
      <c r="I105" s="3">
        <v>1</v>
      </c>
      <c r="J105" s="69"/>
      <c r="K105" s="3" t="s">
        <v>67</v>
      </c>
      <c r="L105" s="3">
        <v>2</v>
      </c>
      <c r="M105" s="3">
        <v>16.100000000000001</v>
      </c>
      <c r="N105" s="3">
        <v>266</v>
      </c>
      <c r="O105" s="3" t="str">
        <f t="shared" si="14"/>
        <v>2021</v>
      </c>
      <c r="P105" s="2">
        <v>454</v>
      </c>
      <c r="AH105">
        <v>3.61</v>
      </c>
      <c r="AI105">
        <f t="shared" si="15"/>
        <v>0.86380255824599406</v>
      </c>
      <c r="AJ105">
        <f t="shared" si="16"/>
        <v>7.3080676387147259</v>
      </c>
      <c r="AK105">
        <f t="shared" si="18"/>
        <v>7.3080676387147258E-3</v>
      </c>
      <c r="AL105">
        <f t="shared" si="19"/>
        <v>3.6540338193573628E-2</v>
      </c>
    </row>
    <row r="106" spans="1:38" x14ac:dyDescent="0.35">
      <c r="A106" s="3">
        <v>2023</v>
      </c>
      <c r="B106" s="3">
        <v>11</v>
      </c>
      <c r="C106" s="3">
        <v>17</v>
      </c>
      <c r="D106" s="2">
        <v>514</v>
      </c>
      <c r="E106" s="3" t="s">
        <v>967</v>
      </c>
      <c r="F106" s="3">
        <v>4</v>
      </c>
      <c r="G106" s="3" t="s">
        <v>225</v>
      </c>
      <c r="H106" s="3" t="str">
        <f t="shared" si="17"/>
        <v>2022</v>
      </c>
      <c r="I106" s="3">
        <v>1</v>
      </c>
      <c r="J106" s="69"/>
      <c r="K106" s="3" t="s">
        <v>896</v>
      </c>
      <c r="L106" s="3">
        <v>5</v>
      </c>
      <c r="M106" s="3">
        <v>16.899999999999999</v>
      </c>
      <c r="N106" s="3">
        <v>267</v>
      </c>
      <c r="O106" s="3" t="str">
        <f t="shared" si="14"/>
        <v>2021</v>
      </c>
      <c r="P106" s="2">
        <v>514</v>
      </c>
      <c r="AH106">
        <v>3.62</v>
      </c>
      <c r="AI106">
        <f t="shared" si="15"/>
        <v>0.86673149495985791</v>
      </c>
      <c r="AJ106">
        <f t="shared" si="16"/>
        <v>7.3575207393319992</v>
      </c>
      <c r="AK106">
        <f t="shared" si="18"/>
        <v>7.3575207393319995E-3</v>
      </c>
      <c r="AL106">
        <f t="shared" si="19"/>
        <v>3.6787603696659996E-2</v>
      </c>
    </row>
    <row r="107" spans="1:38" x14ac:dyDescent="0.35">
      <c r="A107" s="3">
        <v>2024</v>
      </c>
      <c r="B107" s="3">
        <v>1</v>
      </c>
      <c r="C107" s="3">
        <v>16</v>
      </c>
      <c r="D107" s="2">
        <v>592</v>
      </c>
      <c r="E107" s="3" t="s">
        <v>1036</v>
      </c>
      <c r="F107" s="3">
        <v>1</v>
      </c>
      <c r="G107" s="3" t="s">
        <v>45</v>
      </c>
      <c r="H107" s="3" t="str">
        <f t="shared" si="17"/>
        <v>2011</v>
      </c>
      <c r="I107" s="3">
        <v>13</v>
      </c>
      <c r="J107" s="69"/>
      <c r="K107" t="s">
        <v>990</v>
      </c>
      <c r="L107" s="3" t="s">
        <v>317</v>
      </c>
      <c r="M107">
        <v>16.600000000000001</v>
      </c>
      <c r="N107" s="3">
        <v>267</v>
      </c>
      <c r="O107" s="3" t="str">
        <f t="shared" si="14"/>
        <v>2007</v>
      </c>
      <c r="P107" s="2">
        <v>592</v>
      </c>
      <c r="AH107">
        <v>3.65</v>
      </c>
      <c r="AI107">
        <f t="shared" si="15"/>
        <v>0.87547000354488547</v>
      </c>
      <c r="AJ107">
        <f t="shared" si="16"/>
        <v>7.507062015095439</v>
      </c>
      <c r="AK107">
        <f t="shared" si="18"/>
        <v>7.5070620150954389E-3</v>
      </c>
      <c r="AL107">
        <f t="shared" si="19"/>
        <v>3.7535310075477196E-2</v>
      </c>
    </row>
    <row r="108" spans="1:38" x14ac:dyDescent="0.35">
      <c r="A108" s="3">
        <v>2016</v>
      </c>
      <c r="B108" s="3">
        <v>9</v>
      </c>
      <c r="C108" s="3">
        <v>1</v>
      </c>
      <c r="D108" s="2">
        <v>244</v>
      </c>
      <c r="E108" s="3" t="s">
        <v>702</v>
      </c>
      <c r="F108" s="3">
        <v>3</v>
      </c>
      <c r="G108" s="3" t="s">
        <v>45</v>
      </c>
      <c r="H108" s="3" t="str">
        <f t="shared" si="17"/>
        <v>2011</v>
      </c>
      <c r="I108" s="3">
        <v>5</v>
      </c>
      <c r="J108" s="69"/>
      <c r="K108" s="3" t="s">
        <v>647</v>
      </c>
      <c r="L108" s="3" t="s">
        <v>317</v>
      </c>
      <c r="M108" s="3">
        <v>15.2</v>
      </c>
      <c r="N108" s="3">
        <v>268</v>
      </c>
      <c r="O108" s="3" t="str">
        <f t="shared" si="14"/>
        <v>2007</v>
      </c>
      <c r="P108" s="2">
        <v>244</v>
      </c>
      <c r="Y108">
        <v>2.96</v>
      </c>
      <c r="AH108">
        <v>3.66</v>
      </c>
      <c r="AI108">
        <f t="shared" si="15"/>
        <v>0.87836688619157322</v>
      </c>
      <c r="AJ108">
        <f t="shared" si="16"/>
        <v>7.5573038903532916</v>
      </c>
      <c r="AK108">
        <f t="shared" si="18"/>
        <v>7.5573038903532916E-3</v>
      </c>
      <c r="AL108">
        <f t="shared" si="19"/>
        <v>3.7786519451766455E-2</v>
      </c>
    </row>
    <row r="109" spans="1:38" x14ac:dyDescent="0.35">
      <c r="A109" s="3">
        <v>2023</v>
      </c>
      <c r="B109" s="3">
        <v>8</v>
      </c>
      <c r="C109" s="3">
        <v>2</v>
      </c>
      <c r="D109" s="2">
        <v>424</v>
      </c>
      <c r="E109" s="3" t="s">
        <v>885</v>
      </c>
      <c r="F109" s="3">
        <v>3</v>
      </c>
      <c r="G109" s="3" t="s">
        <v>226</v>
      </c>
      <c r="H109" s="3" t="str">
        <f t="shared" si="17"/>
        <v>2017</v>
      </c>
      <c r="I109" s="3">
        <v>6</v>
      </c>
      <c r="J109" s="69"/>
      <c r="K109" s="3" t="s">
        <v>64</v>
      </c>
      <c r="L109" s="3">
        <v>7</v>
      </c>
      <c r="M109" s="3">
        <v>17.899999999999999</v>
      </c>
      <c r="N109" s="3">
        <v>269</v>
      </c>
      <c r="O109" s="3" t="str">
        <f t="shared" si="14"/>
        <v>2017</v>
      </c>
      <c r="P109" s="2">
        <v>424</v>
      </c>
      <c r="AH109">
        <v>3.68</v>
      </c>
      <c r="AI109">
        <f t="shared" si="15"/>
        <v>0.88413698192603607</v>
      </c>
      <c r="AJ109">
        <f t="shared" si="16"/>
        <v>7.6583812376906755</v>
      </c>
      <c r="AK109">
        <f t="shared" si="18"/>
        <v>7.6583812376906759E-3</v>
      </c>
      <c r="AL109">
        <f t="shared" si="19"/>
        <v>3.8291906188453378E-2</v>
      </c>
    </row>
    <row r="110" spans="1:38" x14ac:dyDescent="0.35">
      <c r="A110" s="3">
        <v>2021</v>
      </c>
      <c r="B110" s="3">
        <v>10</v>
      </c>
      <c r="C110" s="3">
        <v>11</v>
      </c>
      <c r="D110" s="2">
        <v>487</v>
      </c>
      <c r="E110" s="3" t="s">
        <v>941</v>
      </c>
      <c r="F110" s="3">
        <v>4</v>
      </c>
      <c r="G110" s="3" t="s">
        <v>226</v>
      </c>
      <c r="H110" s="3" t="str">
        <f t="shared" si="17"/>
        <v>2018</v>
      </c>
      <c r="I110" s="3">
        <v>3</v>
      </c>
      <c r="J110" s="69"/>
      <c r="K110" s="3" t="s">
        <v>51</v>
      </c>
      <c r="L110" s="3" t="s">
        <v>942</v>
      </c>
      <c r="M110" s="16">
        <v>35</v>
      </c>
      <c r="N110" s="3">
        <v>269</v>
      </c>
      <c r="O110" s="3" t="str">
        <f t="shared" si="14"/>
        <v>2017</v>
      </c>
      <c r="P110" s="2">
        <v>487</v>
      </c>
      <c r="AH110">
        <v>3.69</v>
      </c>
      <c r="AI110">
        <f t="shared" si="15"/>
        <v>0.88701028069578913</v>
      </c>
      <c r="AJ110">
        <f t="shared" si="16"/>
        <v>7.7092171824369737</v>
      </c>
      <c r="AK110">
        <f t="shared" si="18"/>
        <v>7.7092171824369735E-3</v>
      </c>
      <c r="AL110">
        <f t="shared" si="19"/>
        <v>3.854608591218487E-2</v>
      </c>
    </row>
    <row r="111" spans="1:38" x14ac:dyDescent="0.35">
      <c r="A111" s="3">
        <v>2024</v>
      </c>
      <c r="B111" s="3">
        <v>8</v>
      </c>
      <c r="C111" s="3">
        <v>8</v>
      </c>
      <c r="D111" s="2">
        <v>697</v>
      </c>
      <c r="E111" t="s">
        <v>1116</v>
      </c>
      <c r="F111" s="3">
        <v>3</v>
      </c>
      <c r="G111" s="3" t="s">
        <v>45</v>
      </c>
      <c r="H111" s="3" t="str">
        <f t="shared" si="17"/>
        <v>2009</v>
      </c>
      <c r="I111" s="3">
        <v>15</v>
      </c>
      <c r="J111" s="69"/>
      <c r="K111" t="s">
        <v>742</v>
      </c>
      <c r="L111" t="s">
        <v>488</v>
      </c>
      <c r="M111">
        <v>14.7</v>
      </c>
      <c r="N111" s="3">
        <v>270</v>
      </c>
      <c r="O111" s="3" t="str">
        <f t="shared" si="14"/>
        <v>2007</v>
      </c>
      <c r="P111" s="2">
        <v>697</v>
      </c>
      <c r="V111">
        <v>4.5199999999999996</v>
      </c>
      <c r="AH111">
        <v>3.74</v>
      </c>
      <c r="AI111">
        <f t="shared" si="15"/>
        <v>0.90126096616477058</v>
      </c>
      <c r="AJ111">
        <f t="shared" si="16"/>
        <v>7.9663790379008885</v>
      </c>
      <c r="AK111">
        <f t="shared" si="18"/>
        <v>7.9663790379008882E-3</v>
      </c>
      <c r="AL111">
        <f t="shared" si="19"/>
        <v>3.9831895189504439E-2</v>
      </c>
    </row>
    <row r="112" spans="1:38" x14ac:dyDescent="0.35">
      <c r="A112" s="3">
        <v>2022</v>
      </c>
      <c r="B112" s="3">
        <v>11</v>
      </c>
      <c r="C112" s="3">
        <v>1</v>
      </c>
      <c r="D112" s="2">
        <v>408</v>
      </c>
      <c r="E112" s="3" t="s">
        <v>872</v>
      </c>
      <c r="F112" s="3">
        <v>4</v>
      </c>
      <c r="G112" s="3" t="s">
        <v>41</v>
      </c>
      <c r="H112" s="3" t="str">
        <f t="shared" si="17"/>
        <v>2013</v>
      </c>
      <c r="I112" s="3">
        <v>9</v>
      </c>
      <c r="J112" s="69"/>
      <c r="K112" s="3" t="s">
        <v>583</v>
      </c>
      <c r="L112" s="3" t="s">
        <v>318</v>
      </c>
      <c r="M112" s="3">
        <v>9.3000000000000007</v>
      </c>
      <c r="N112" s="3">
        <v>270</v>
      </c>
      <c r="O112" s="3" t="str">
        <f t="shared" si="14"/>
        <v>2011</v>
      </c>
      <c r="P112" s="2">
        <v>408</v>
      </c>
      <c r="Y112">
        <v>1.24</v>
      </c>
      <c r="AH112">
        <v>3.76</v>
      </c>
      <c r="AI112">
        <f t="shared" si="15"/>
        <v>0.90690796593363765</v>
      </c>
      <c r="AJ112">
        <f t="shared" si="16"/>
        <v>8.0706398213739625</v>
      </c>
      <c r="AK112">
        <f t="shared" si="18"/>
        <v>8.0706398213739629E-3</v>
      </c>
      <c r="AL112">
        <f t="shared" si="19"/>
        <v>4.0353199106869811E-2</v>
      </c>
    </row>
    <row r="113" spans="1:38" x14ac:dyDescent="0.35">
      <c r="A113" s="3">
        <v>2016</v>
      </c>
      <c r="B113" s="3">
        <v>11</v>
      </c>
      <c r="C113" s="3">
        <v>8</v>
      </c>
      <c r="D113" s="2">
        <v>188</v>
      </c>
      <c r="E113" s="3" t="s">
        <v>639</v>
      </c>
      <c r="F113" s="3">
        <v>4</v>
      </c>
      <c r="G113" s="3" t="s">
        <v>45</v>
      </c>
      <c r="H113" s="3" t="str">
        <f t="shared" si="17"/>
        <v>2011</v>
      </c>
      <c r="I113" s="3">
        <v>5</v>
      </c>
      <c r="J113" s="69"/>
      <c r="K113" s="3" t="s">
        <v>46</v>
      </c>
      <c r="L113" s="3" t="s">
        <v>317</v>
      </c>
      <c r="M113" s="3">
        <v>12.3</v>
      </c>
      <c r="N113" s="3">
        <v>270</v>
      </c>
      <c r="O113" s="3" t="str">
        <f t="shared" si="14"/>
        <v>2007</v>
      </c>
      <c r="P113" s="2">
        <v>188</v>
      </c>
      <c r="AH113">
        <v>3.77</v>
      </c>
      <c r="AI113">
        <f t="shared" si="15"/>
        <v>0.90972021180172313</v>
      </c>
      <c r="AJ113">
        <f t="shared" si="16"/>
        <v>8.1230703001677504</v>
      </c>
      <c r="AK113">
        <f t="shared" si="18"/>
        <v>8.1230703001677496E-3</v>
      </c>
      <c r="AL113">
        <f t="shared" si="19"/>
        <v>4.0615351500838746E-2</v>
      </c>
    </row>
    <row r="114" spans="1:38" x14ac:dyDescent="0.35">
      <c r="A114" s="3">
        <v>2023</v>
      </c>
      <c r="B114" s="3">
        <v>11</v>
      </c>
      <c r="C114" s="3">
        <v>3</v>
      </c>
      <c r="D114" s="2">
        <v>529</v>
      </c>
      <c r="E114" s="3" t="s">
        <v>117</v>
      </c>
      <c r="F114" s="3">
        <v>4</v>
      </c>
      <c r="G114" s="3" t="s">
        <v>226</v>
      </c>
      <c r="H114" s="3" t="str">
        <f t="shared" si="17"/>
        <v>2017</v>
      </c>
      <c r="I114" s="3">
        <v>6</v>
      </c>
      <c r="J114" s="69"/>
      <c r="K114" s="3" t="s">
        <v>228</v>
      </c>
      <c r="L114" s="3">
        <v>7</v>
      </c>
      <c r="M114" s="3">
        <v>15.3</v>
      </c>
      <c r="N114" s="3">
        <v>270</v>
      </c>
      <c r="O114" s="3" t="str">
        <f t="shared" si="14"/>
        <v>2017</v>
      </c>
      <c r="P114" s="2">
        <v>529</v>
      </c>
      <c r="AH114">
        <v>3.78</v>
      </c>
      <c r="AI114">
        <f t="shared" si="15"/>
        <v>0.91252500800315528</v>
      </c>
      <c r="AJ114">
        <f t="shared" si="16"/>
        <v>8.175701147733303</v>
      </c>
      <c r="AK114">
        <f t="shared" si="18"/>
        <v>8.1757011477333035E-3</v>
      </c>
      <c r="AL114">
        <f t="shared" si="19"/>
        <v>4.0878505738666519E-2</v>
      </c>
    </row>
    <row r="115" spans="1:38" x14ac:dyDescent="0.35">
      <c r="A115" s="3">
        <v>2023</v>
      </c>
      <c r="B115" s="3">
        <v>7</v>
      </c>
      <c r="C115" s="3">
        <v>26</v>
      </c>
      <c r="D115" s="2">
        <v>444</v>
      </c>
      <c r="E115" s="3" t="s">
        <v>905</v>
      </c>
      <c r="F115" s="3">
        <v>3</v>
      </c>
      <c r="G115" s="3" t="s">
        <v>225</v>
      </c>
      <c r="H115" s="3" t="str">
        <f t="shared" si="17"/>
        <v>2021</v>
      </c>
      <c r="I115" s="3">
        <v>2</v>
      </c>
      <c r="J115" s="69"/>
      <c r="K115" s="3" t="s">
        <v>227</v>
      </c>
      <c r="L115" s="3">
        <v>4</v>
      </c>
      <c r="M115" s="3">
        <v>16.5</v>
      </c>
      <c r="N115" s="3">
        <v>271</v>
      </c>
      <c r="O115" s="3" t="str">
        <f t="shared" si="14"/>
        <v>2021</v>
      </c>
      <c r="P115" s="2">
        <v>444</v>
      </c>
      <c r="AH115">
        <v>3.8</v>
      </c>
      <c r="AI115">
        <f t="shared" si="15"/>
        <v>0.91811240855178311</v>
      </c>
      <c r="AJ115">
        <f t="shared" si="16"/>
        <v>8.2815648792984007</v>
      </c>
      <c r="AK115">
        <f t="shared" si="18"/>
        <v>8.2815648792984014E-3</v>
      </c>
      <c r="AL115">
        <f t="shared" si="19"/>
        <v>4.1407824396492009E-2</v>
      </c>
    </row>
    <row r="116" spans="1:38" x14ac:dyDescent="0.35">
      <c r="A116" s="3">
        <v>2018</v>
      </c>
      <c r="B116" s="3">
        <v>8</v>
      </c>
      <c r="C116" s="3">
        <v>15</v>
      </c>
      <c r="D116" s="2">
        <v>308</v>
      </c>
      <c r="E116" s="3" t="s">
        <v>774</v>
      </c>
      <c r="F116" s="3">
        <v>3</v>
      </c>
      <c r="G116" s="3" t="s">
        <v>41</v>
      </c>
      <c r="H116" s="3" t="str">
        <f t="shared" si="17"/>
        <v>2013</v>
      </c>
      <c r="I116" s="3">
        <v>5</v>
      </c>
      <c r="J116" s="69"/>
      <c r="K116" s="3" t="s">
        <v>49</v>
      </c>
      <c r="L116" s="3" t="s">
        <v>318</v>
      </c>
      <c r="M116" s="3">
        <v>23.7</v>
      </c>
      <c r="N116" s="3">
        <v>272</v>
      </c>
      <c r="O116" s="3" t="str">
        <f t="shared" si="14"/>
        <v>2011</v>
      </c>
      <c r="P116" s="2">
        <v>308</v>
      </c>
      <c r="AH116">
        <v>3.81</v>
      </c>
      <c r="AI116">
        <f t="shared" si="15"/>
        <v>0.9208950906971598</v>
      </c>
      <c r="AJ116">
        <f t="shared" si="16"/>
        <v>8.3347982274947139</v>
      </c>
      <c r="AK116">
        <f t="shared" si="18"/>
        <v>8.3347982274947132E-3</v>
      </c>
      <c r="AL116">
        <f t="shared" si="19"/>
        <v>4.1673991137473568E-2</v>
      </c>
    </row>
    <row r="117" spans="1:38" x14ac:dyDescent="0.35">
      <c r="A117" s="3">
        <v>2023</v>
      </c>
      <c r="B117" s="3">
        <v>7</v>
      </c>
      <c r="C117" s="3">
        <v>19</v>
      </c>
      <c r="D117" s="2">
        <v>361</v>
      </c>
      <c r="E117" s="3" t="s">
        <v>827</v>
      </c>
      <c r="F117" s="3">
        <v>3</v>
      </c>
      <c r="G117" s="3" t="s">
        <v>41</v>
      </c>
      <c r="H117" s="3" t="str">
        <f t="shared" si="17"/>
        <v>2013</v>
      </c>
      <c r="I117" s="3">
        <v>10</v>
      </c>
      <c r="J117" s="69"/>
      <c r="K117" s="3" t="s">
        <v>42</v>
      </c>
      <c r="L117" s="3" t="s">
        <v>318</v>
      </c>
      <c r="M117" s="3">
        <v>13.2</v>
      </c>
      <c r="N117" s="3">
        <v>273</v>
      </c>
      <c r="O117" s="3" t="str">
        <f t="shared" si="14"/>
        <v>2011</v>
      </c>
      <c r="P117" s="2">
        <v>361</v>
      </c>
      <c r="AH117">
        <v>3.81</v>
      </c>
      <c r="AI117">
        <f t="shared" si="15"/>
        <v>0.9208950906971598</v>
      </c>
      <c r="AJ117">
        <f t="shared" si="16"/>
        <v>8.3347982274947139</v>
      </c>
      <c r="AK117">
        <f t="shared" si="18"/>
        <v>8.3347982274947132E-3</v>
      </c>
      <c r="AL117">
        <f t="shared" si="19"/>
        <v>4.1673991137473568E-2</v>
      </c>
    </row>
    <row r="118" spans="1:38" x14ac:dyDescent="0.35">
      <c r="A118" s="3">
        <v>2023</v>
      </c>
      <c r="B118" s="3">
        <v>7</v>
      </c>
      <c r="C118" s="3">
        <v>21</v>
      </c>
      <c r="D118" s="2">
        <v>413</v>
      </c>
      <c r="E118" s="3" t="s">
        <v>876</v>
      </c>
      <c r="F118" s="3">
        <v>3</v>
      </c>
      <c r="G118" s="3" t="s">
        <v>20</v>
      </c>
      <c r="H118" s="3" t="str">
        <f t="shared" si="17"/>
        <v>2020</v>
      </c>
      <c r="I118" s="3">
        <v>3</v>
      </c>
      <c r="J118" s="69"/>
      <c r="K118" s="3" t="s">
        <v>55</v>
      </c>
      <c r="L118" s="3">
        <v>8</v>
      </c>
      <c r="M118" s="3">
        <v>15.1</v>
      </c>
      <c r="N118" s="3">
        <v>273</v>
      </c>
      <c r="O118" s="3" t="str">
        <f t="shared" si="14"/>
        <v>2018</v>
      </c>
      <c r="P118" s="2">
        <v>413</v>
      </c>
      <c r="AH118">
        <v>3.81</v>
      </c>
      <c r="AI118">
        <f t="shared" si="15"/>
        <v>0.9208950906971598</v>
      </c>
      <c r="AJ118">
        <f t="shared" si="16"/>
        <v>8.3347982274947139</v>
      </c>
      <c r="AK118">
        <f t="shared" si="18"/>
        <v>8.3347982274947132E-3</v>
      </c>
      <c r="AL118">
        <f t="shared" si="19"/>
        <v>4.1673991137473568E-2</v>
      </c>
    </row>
    <row r="119" spans="1:38" x14ac:dyDescent="0.35">
      <c r="A119" s="3">
        <v>2023</v>
      </c>
      <c r="B119" s="3">
        <v>11</v>
      </c>
      <c r="C119" s="3">
        <v>7</v>
      </c>
      <c r="D119" s="2">
        <v>498</v>
      </c>
      <c r="E119" s="3" t="s">
        <v>952</v>
      </c>
      <c r="F119" s="3">
        <v>4</v>
      </c>
      <c r="G119" s="3" t="s">
        <v>41</v>
      </c>
      <c r="H119" s="3" t="str">
        <f t="shared" si="17"/>
        <v>2013</v>
      </c>
      <c r="I119" s="3">
        <v>10</v>
      </c>
      <c r="J119" s="69"/>
      <c r="K119" s="3" t="s">
        <v>49</v>
      </c>
      <c r="L119" s="3" t="s">
        <v>318</v>
      </c>
      <c r="M119" s="3">
        <v>16.3</v>
      </c>
      <c r="N119" s="3">
        <v>275</v>
      </c>
      <c r="O119" s="3" t="str">
        <f t="shared" si="14"/>
        <v>2011</v>
      </c>
      <c r="P119" s="2">
        <v>498</v>
      </c>
      <c r="AH119">
        <v>3.82</v>
      </c>
      <c r="AI119">
        <f t="shared" si="15"/>
        <v>0.92367047877874575</v>
      </c>
      <c r="AJ119">
        <f t="shared" si="16"/>
        <v>8.3882328728591933</v>
      </c>
      <c r="AK119">
        <f t="shared" si="18"/>
        <v>8.3882328728591936E-3</v>
      </c>
      <c r="AL119">
        <f t="shared" si="19"/>
        <v>4.1941164364295971E-2</v>
      </c>
    </row>
    <row r="120" spans="1:38" x14ac:dyDescent="0.35">
      <c r="A120" s="3">
        <v>2024</v>
      </c>
      <c r="B120">
        <v>8</v>
      </c>
      <c r="C120" s="3">
        <v>20</v>
      </c>
      <c r="D120" s="2">
        <v>834</v>
      </c>
      <c r="E120" s="3" t="s">
        <v>1185</v>
      </c>
      <c r="F120" s="3">
        <v>3</v>
      </c>
      <c r="G120" s="3" t="s">
        <v>226</v>
      </c>
      <c r="H120" s="3" t="str">
        <f t="shared" si="17"/>
        <v>2017</v>
      </c>
      <c r="I120" s="3">
        <v>7</v>
      </c>
      <c r="J120" s="69"/>
      <c r="K120" t="s">
        <v>64</v>
      </c>
      <c r="L120">
        <v>7</v>
      </c>
      <c r="M120">
        <v>17.899999999999999</v>
      </c>
      <c r="N120" s="3">
        <v>276</v>
      </c>
      <c r="O120" s="3" t="str">
        <f t="shared" si="14"/>
        <v>2017</v>
      </c>
      <c r="P120" s="2">
        <v>834</v>
      </c>
      <c r="AH120">
        <v>3.84</v>
      </c>
      <c r="AI120">
        <f t="shared" si="15"/>
        <v>0.92919952500804026</v>
      </c>
      <c r="AJ120">
        <f t="shared" si="16"/>
        <v>8.4957069797215006</v>
      </c>
      <c r="AK120">
        <f t="shared" si="18"/>
        <v>8.4957069797215005E-3</v>
      </c>
      <c r="AL120">
        <f t="shared" si="19"/>
        <v>4.2478534898607506E-2</v>
      </c>
    </row>
    <row r="121" spans="1:38" x14ac:dyDescent="0.35">
      <c r="A121" s="3">
        <v>2024</v>
      </c>
      <c r="B121" s="3">
        <v>1</v>
      </c>
      <c r="C121" s="3">
        <v>19</v>
      </c>
      <c r="D121" s="2">
        <v>582</v>
      </c>
      <c r="E121" s="3" t="s">
        <v>1026</v>
      </c>
      <c r="F121" s="3">
        <v>1</v>
      </c>
      <c r="G121" s="3" t="s">
        <v>41</v>
      </c>
      <c r="H121" s="3" t="str">
        <f t="shared" si="17"/>
        <v>2013</v>
      </c>
      <c r="I121" s="3">
        <v>11</v>
      </c>
      <c r="J121" s="69"/>
      <c r="K121" t="s">
        <v>42</v>
      </c>
      <c r="L121" s="3" t="s">
        <v>318</v>
      </c>
      <c r="M121">
        <v>17</v>
      </c>
      <c r="N121" s="3">
        <v>277</v>
      </c>
      <c r="O121" s="3" t="str">
        <f t="shared" si="14"/>
        <v>2011</v>
      </c>
      <c r="P121" s="2">
        <v>582</v>
      </c>
      <c r="AH121">
        <v>3.84</v>
      </c>
      <c r="AI121">
        <f t="shared" si="15"/>
        <v>0.92919952500804026</v>
      </c>
      <c r="AJ121">
        <f t="shared" si="16"/>
        <v>8.4957069797215006</v>
      </c>
      <c r="AK121">
        <f t="shared" si="18"/>
        <v>8.4957069797215005E-3</v>
      </c>
      <c r="AL121">
        <f t="shared" si="19"/>
        <v>4.2478534898607506E-2</v>
      </c>
    </row>
    <row r="122" spans="1:38" x14ac:dyDescent="0.35">
      <c r="A122" s="3">
        <v>2019</v>
      </c>
      <c r="B122" s="3">
        <v>2</v>
      </c>
      <c r="C122" s="3">
        <v>21</v>
      </c>
      <c r="D122" s="2">
        <v>169</v>
      </c>
      <c r="E122" s="3" t="s">
        <v>618</v>
      </c>
      <c r="F122" s="3">
        <v>1</v>
      </c>
      <c r="G122" s="3" t="s">
        <v>45</v>
      </c>
      <c r="H122" s="3" t="str">
        <f t="shared" si="17"/>
        <v>2011</v>
      </c>
      <c r="I122" s="3">
        <v>8</v>
      </c>
      <c r="J122" s="69"/>
      <c r="K122" s="3" t="s">
        <v>615</v>
      </c>
      <c r="L122" s="3" t="s">
        <v>317</v>
      </c>
      <c r="M122" s="3">
        <v>17.399999999999999</v>
      </c>
      <c r="N122" s="3">
        <v>278</v>
      </c>
      <c r="O122" s="3" t="str">
        <f t="shared" si="14"/>
        <v>2007</v>
      </c>
      <c r="P122" s="2">
        <v>169</v>
      </c>
      <c r="AH122">
        <v>3.84</v>
      </c>
      <c r="AI122">
        <f t="shared" si="15"/>
        <v>0.92919952500804026</v>
      </c>
      <c r="AJ122">
        <f t="shared" si="16"/>
        <v>8.4957069797215006</v>
      </c>
      <c r="AK122">
        <f t="shared" si="18"/>
        <v>8.4957069797215005E-3</v>
      </c>
      <c r="AL122">
        <f t="shared" si="19"/>
        <v>4.2478534898607506E-2</v>
      </c>
    </row>
    <row r="123" spans="1:38" x14ac:dyDescent="0.35">
      <c r="A123" s="3">
        <v>2023</v>
      </c>
      <c r="B123" s="3">
        <v>8</v>
      </c>
      <c r="C123" s="3">
        <v>1</v>
      </c>
      <c r="D123" s="2">
        <v>435</v>
      </c>
      <c r="E123" s="3" t="s">
        <v>895</v>
      </c>
      <c r="F123" s="3">
        <v>3</v>
      </c>
      <c r="G123" s="3" t="s">
        <v>225</v>
      </c>
      <c r="H123" s="3" t="str">
        <f t="shared" si="17"/>
        <v>2022</v>
      </c>
      <c r="I123" s="3">
        <v>1</v>
      </c>
      <c r="J123" s="69"/>
      <c r="K123" s="3" t="s">
        <v>896</v>
      </c>
      <c r="L123" s="3">
        <v>5</v>
      </c>
      <c r="M123" s="3">
        <v>22.8</v>
      </c>
      <c r="N123" s="3">
        <v>278</v>
      </c>
      <c r="O123" s="3" t="str">
        <f t="shared" si="14"/>
        <v>2021</v>
      </c>
      <c r="P123" s="2">
        <v>435</v>
      </c>
      <c r="AH123">
        <v>3.84</v>
      </c>
      <c r="AI123">
        <f t="shared" si="15"/>
        <v>0.92919952500804026</v>
      </c>
      <c r="AJ123">
        <f t="shared" si="16"/>
        <v>8.4957069797215006</v>
      </c>
      <c r="AK123">
        <f t="shared" si="18"/>
        <v>8.4957069797215005E-3</v>
      </c>
      <c r="AL123">
        <f t="shared" si="19"/>
        <v>4.2478534898607506E-2</v>
      </c>
    </row>
    <row r="124" spans="1:38" x14ac:dyDescent="0.35">
      <c r="A124" s="3">
        <v>2023</v>
      </c>
      <c r="B124" s="3">
        <v>8</v>
      </c>
      <c r="C124" s="3">
        <v>2</v>
      </c>
      <c r="D124" s="2">
        <v>441</v>
      </c>
      <c r="E124" s="3" t="s">
        <v>902</v>
      </c>
      <c r="F124" s="3">
        <v>3</v>
      </c>
      <c r="G124" s="3" t="s">
        <v>226</v>
      </c>
      <c r="H124" s="3" t="str">
        <f t="shared" si="17"/>
        <v>2017</v>
      </c>
      <c r="I124" s="3">
        <v>6</v>
      </c>
      <c r="J124" s="69"/>
      <c r="K124" s="3" t="s">
        <v>228</v>
      </c>
      <c r="L124" s="3">
        <v>7</v>
      </c>
      <c r="M124" s="3">
        <v>19.899999999999999</v>
      </c>
      <c r="N124" s="3">
        <v>280</v>
      </c>
      <c r="O124" s="3" t="str">
        <f t="shared" si="14"/>
        <v>2017</v>
      </c>
      <c r="P124" s="2">
        <v>441</v>
      </c>
      <c r="S124">
        <v>4.21</v>
      </c>
      <c r="AH124">
        <v>3.85</v>
      </c>
      <c r="AI124">
        <f t="shared" si="15"/>
        <v>0.93195325854172473</v>
      </c>
      <c r="AJ124">
        <f t="shared" si="16"/>
        <v>8.5497469026852322</v>
      </c>
      <c r="AK124">
        <f t="shared" si="18"/>
        <v>8.5497469026852325E-3</v>
      </c>
      <c r="AL124">
        <f t="shared" si="19"/>
        <v>4.2748734513426159E-2</v>
      </c>
    </row>
    <row r="125" spans="1:38" x14ac:dyDescent="0.35">
      <c r="A125" s="3">
        <v>2016</v>
      </c>
      <c r="B125" s="3">
        <v>8</v>
      </c>
      <c r="C125" s="3">
        <v>30</v>
      </c>
      <c r="D125" s="2">
        <v>215</v>
      </c>
      <c r="E125" s="3" t="s">
        <v>673</v>
      </c>
      <c r="F125" s="3">
        <v>3</v>
      </c>
      <c r="G125" s="3" t="s">
        <v>45</v>
      </c>
      <c r="H125" s="3" t="str">
        <f t="shared" si="17"/>
        <v>2009</v>
      </c>
      <c r="I125" s="3">
        <v>7</v>
      </c>
      <c r="J125" s="69"/>
      <c r="K125" s="3" t="s">
        <v>671</v>
      </c>
      <c r="L125" s="3" t="s">
        <v>512</v>
      </c>
      <c r="M125" s="3">
        <v>17.5</v>
      </c>
      <c r="N125" s="3">
        <v>280</v>
      </c>
      <c r="O125" s="3" t="str">
        <f t="shared" si="14"/>
        <v>2007</v>
      </c>
      <c r="P125" s="2">
        <v>215</v>
      </c>
      <c r="Q125" s="2">
        <v>1.34</v>
      </c>
      <c r="AH125">
        <v>3.87</v>
      </c>
      <c r="AI125">
        <f t="shared" si="15"/>
        <v>0.93743933271610613</v>
      </c>
      <c r="AJ125">
        <f t="shared" si="16"/>
        <v>8.6584336388116512</v>
      </c>
      <c r="AK125">
        <f t="shared" ref="AK125" si="20">AJ125/1000</f>
        <v>8.6584336388116512E-3</v>
      </c>
      <c r="AL125">
        <f t="shared" ref="AL125" si="21">5*AK125</f>
        <v>4.3292168194058255E-2</v>
      </c>
    </row>
    <row r="126" spans="1:38" x14ac:dyDescent="0.35">
      <c r="A126" s="3">
        <v>2016</v>
      </c>
      <c r="B126" s="3">
        <v>9</v>
      </c>
      <c r="C126" s="3">
        <v>2</v>
      </c>
      <c r="D126" s="2">
        <v>219</v>
      </c>
      <c r="E126" s="3" t="s">
        <v>677</v>
      </c>
      <c r="F126" s="3">
        <v>3</v>
      </c>
      <c r="G126" s="3" t="s">
        <v>41</v>
      </c>
      <c r="H126" s="3" t="str">
        <f t="shared" si="17"/>
        <v>2013</v>
      </c>
      <c r="I126" s="3">
        <v>3</v>
      </c>
      <c r="J126" s="69"/>
      <c r="K126" s="3" t="s">
        <v>49</v>
      </c>
      <c r="L126" s="3" t="s">
        <v>318</v>
      </c>
      <c r="M126" s="3">
        <v>1.7</v>
      </c>
      <c r="N126" s="3">
        <v>280</v>
      </c>
      <c r="O126" s="3" t="str">
        <f t="shared" si="14"/>
        <v>2011</v>
      </c>
      <c r="P126" s="2">
        <v>219</v>
      </c>
      <c r="AH126">
        <v>3.91</v>
      </c>
      <c r="AI126">
        <f t="shared" si="15"/>
        <v>0.94832693453112338</v>
      </c>
      <c r="AJ126">
        <f t="shared" si="16"/>
        <v>8.8782410971204353</v>
      </c>
    </row>
    <row r="127" spans="1:38" x14ac:dyDescent="0.35">
      <c r="A127" s="3">
        <v>2016</v>
      </c>
      <c r="B127" s="3">
        <v>8</v>
      </c>
      <c r="C127" s="3">
        <v>30</v>
      </c>
      <c r="D127" s="2">
        <v>271</v>
      </c>
      <c r="E127" s="3" t="s">
        <v>733</v>
      </c>
      <c r="F127" s="3">
        <v>3</v>
      </c>
      <c r="G127" s="3" t="s">
        <v>45</v>
      </c>
      <c r="H127" s="3" t="str">
        <f t="shared" si="17"/>
        <v>2009</v>
      </c>
      <c r="I127" s="3">
        <v>7</v>
      </c>
      <c r="J127" s="69"/>
      <c r="K127" s="3" t="s">
        <v>731</v>
      </c>
      <c r="L127" s="3" t="s">
        <v>512</v>
      </c>
      <c r="M127" s="3">
        <v>17.899999999999999</v>
      </c>
      <c r="N127" s="3">
        <v>280</v>
      </c>
      <c r="O127" s="3" t="str">
        <f t="shared" si="14"/>
        <v>2007</v>
      </c>
      <c r="P127" s="2">
        <v>271</v>
      </c>
      <c r="AH127">
        <v>3.91</v>
      </c>
      <c r="AI127">
        <f t="shared" si="15"/>
        <v>0.94832693453112338</v>
      </c>
      <c r="AJ127">
        <f t="shared" si="16"/>
        <v>8.8782410971204353</v>
      </c>
      <c r="AK127">
        <f t="shared" ref="AK127:AK136" si="22">AJ127/1000</f>
        <v>8.8782410971204352E-3</v>
      </c>
      <c r="AL127">
        <f t="shared" ref="AL127:AL136" si="23">5*AK127</f>
        <v>4.4391205485602173E-2</v>
      </c>
    </row>
    <row r="128" spans="1:38" x14ac:dyDescent="0.35">
      <c r="A128" s="3">
        <v>2024</v>
      </c>
      <c r="B128" s="3">
        <v>1</v>
      </c>
      <c r="C128" s="3">
        <v>22</v>
      </c>
      <c r="D128" s="2">
        <v>588</v>
      </c>
      <c r="E128" s="3" t="s">
        <v>130</v>
      </c>
      <c r="F128" s="3">
        <v>1</v>
      </c>
      <c r="G128" s="3" t="s">
        <v>20</v>
      </c>
      <c r="H128" s="3" t="str">
        <f t="shared" si="17"/>
        <v>2020</v>
      </c>
      <c r="I128" s="3">
        <v>4</v>
      </c>
      <c r="J128" s="69"/>
      <c r="K128" t="s">
        <v>55</v>
      </c>
      <c r="L128">
        <v>8</v>
      </c>
      <c r="M128">
        <v>52.9</v>
      </c>
      <c r="N128" s="3">
        <v>280</v>
      </c>
      <c r="O128" s="3" t="str">
        <f t="shared" si="14"/>
        <v>2018</v>
      </c>
      <c r="P128" s="2">
        <v>588</v>
      </c>
      <c r="AH128">
        <v>3.93</v>
      </c>
      <c r="AI128">
        <f t="shared" si="15"/>
        <v>0.95372903781529028</v>
      </c>
      <c r="AJ128">
        <f t="shared" si="16"/>
        <v>8.9893654789357083</v>
      </c>
      <c r="AK128">
        <f t="shared" si="22"/>
        <v>8.989365478935708E-3</v>
      </c>
      <c r="AL128">
        <f t="shared" si="23"/>
        <v>4.4946827394678542E-2</v>
      </c>
    </row>
    <row r="129" spans="1:38" x14ac:dyDescent="0.35">
      <c r="A129" s="3">
        <v>2011</v>
      </c>
      <c r="B129" s="3">
        <v>11</v>
      </c>
      <c r="C129" s="3">
        <v>14</v>
      </c>
      <c r="D129" s="2">
        <v>614</v>
      </c>
      <c r="E129" s="3" t="s">
        <v>1054</v>
      </c>
      <c r="F129" s="3">
        <v>4</v>
      </c>
      <c r="G129" s="3" t="s">
        <v>45</v>
      </c>
      <c r="H129" s="3" t="str">
        <f t="shared" si="17"/>
        <v>2009</v>
      </c>
      <c r="I129" s="3">
        <v>2</v>
      </c>
      <c r="J129" s="69"/>
      <c r="K129" t="s">
        <v>667</v>
      </c>
      <c r="L129" s="3" t="s">
        <v>512</v>
      </c>
      <c r="M129">
        <v>22</v>
      </c>
      <c r="N129" s="3">
        <v>280</v>
      </c>
      <c r="O129" s="3" t="str">
        <f t="shared" si="14"/>
        <v>2007</v>
      </c>
      <c r="P129" s="2">
        <v>614</v>
      </c>
      <c r="AH129">
        <v>3.94</v>
      </c>
      <c r="AI129">
        <f t="shared" si="15"/>
        <v>0.95641978881074974</v>
      </c>
      <c r="AJ129">
        <f t="shared" si="16"/>
        <v>9.0452336309613397</v>
      </c>
      <c r="AK129">
        <f t="shared" si="22"/>
        <v>9.0452336309613402E-3</v>
      </c>
      <c r="AL129">
        <f t="shared" si="23"/>
        <v>4.5226168154806699E-2</v>
      </c>
    </row>
    <row r="130" spans="1:38" x14ac:dyDescent="0.35">
      <c r="A130" s="3">
        <v>2021</v>
      </c>
      <c r="B130" s="3">
        <v>10</v>
      </c>
      <c r="C130" s="3" t="s">
        <v>28</v>
      </c>
      <c r="D130" s="2">
        <v>31</v>
      </c>
      <c r="E130" s="3" t="s">
        <v>473</v>
      </c>
      <c r="F130" s="3">
        <v>4</v>
      </c>
      <c r="G130" s="3" t="s">
        <v>41</v>
      </c>
      <c r="H130" s="3" t="str">
        <f t="shared" si="17"/>
        <v>2013</v>
      </c>
      <c r="I130" s="3">
        <v>8</v>
      </c>
      <c r="J130" s="69"/>
      <c r="K130" s="3" t="s">
        <v>318</v>
      </c>
      <c r="L130" s="3" t="s">
        <v>318</v>
      </c>
      <c r="M130" s="3">
        <v>16.5</v>
      </c>
      <c r="N130" s="3">
        <v>281</v>
      </c>
      <c r="O130" s="3" t="str">
        <f t="shared" ref="O130:O193" si="24">IF(G130="PHD", "2007", IF(G130="TSL", "2011", IF(G130 = "SRS", "2018", IF(G130="WCA 3B", "2017", IF(G130="WCA 3A", "2021")))))</f>
        <v>2011</v>
      </c>
      <c r="P130" s="2">
        <v>31</v>
      </c>
      <c r="AH130">
        <v>3.95</v>
      </c>
      <c r="AI130">
        <f t="shared" ref="AI130:AI193" si="25">((2.438)*(LOG(AH130))+(-0.4954))</f>
        <v>0.95910371913731018</v>
      </c>
      <c r="AJ130">
        <f t="shared" ref="AJ130:AJ193" si="26">10^AI130</f>
        <v>9.1013060601769542</v>
      </c>
      <c r="AK130">
        <f t="shared" si="22"/>
        <v>9.1013060601769537E-3</v>
      </c>
      <c r="AL130">
        <f t="shared" si="23"/>
        <v>4.5506530300884765E-2</v>
      </c>
    </row>
    <row r="131" spans="1:38" x14ac:dyDescent="0.35">
      <c r="A131" s="3">
        <v>2016</v>
      </c>
      <c r="B131" s="3">
        <v>9</v>
      </c>
      <c r="C131" s="3">
        <v>1</v>
      </c>
      <c r="D131" s="2">
        <v>266</v>
      </c>
      <c r="E131" s="3" t="s">
        <v>727</v>
      </c>
      <c r="F131" s="3">
        <v>3</v>
      </c>
      <c r="G131" s="3" t="s">
        <v>45</v>
      </c>
      <c r="H131" s="3" t="str">
        <f t="shared" si="17"/>
        <v>2011</v>
      </c>
      <c r="I131" s="3">
        <v>5</v>
      </c>
      <c r="J131" s="69"/>
      <c r="K131" s="3" t="s">
        <v>718</v>
      </c>
      <c r="L131" s="3" t="s">
        <v>317</v>
      </c>
      <c r="M131" s="3">
        <v>13.7</v>
      </c>
      <c r="N131" s="3">
        <v>281</v>
      </c>
      <c r="O131" s="3" t="str">
        <f t="shared" si="24"/>
        <v>2007</v>
      </c>
      <c r="P131" s="2">
        <v>266</v>
      </c>
      <c r="AH131">
        <v>3.95</v>
      </c>
      <c r="AI131">
        <f t="shared" si="25"/>
        <v>0.95910371913731018</v>
      </c>
      <c r="AJ131">
        <f t="shared" si="26"/>
        <v>9.1013060601769542</v>
      </c>
      <c r="AK131">
        <f t="shared" si="22"/>
        <v>9.1013060601769537E-3</v>
      </c>
      <c r="AL131">
        <f t="shared" si="23"/>
        <v>4.5506530300884765E-2</v>
      </c>
    </row>
    <row r="132" spans="1:38" x14ac:dyDescent="0.35">
      <c r="A132" s="3">
        <v>2023</v>
      </c>
      <c r="B132" s="3">
        <v>11</v>
      </c>
      <c r="C132" s="3">
        <v>9</v>
      </c>
      <c r="D132" s="2">
        <v>501</v>
      </c>
      <c r="E132" s="3" t="s">
        <v>955</v>
      </c>
      <c r="F132" s="3">
        <v>4</v>
      </c>
      <c r="G132" s="3" t="s">
        <v>20</v>
      </c>
      <c r="H132" s="3" t="str">
        <f t="shared" si="17"/>
        <v>2020</v>
      </c>
      <c r="I132" s="3">
        <v>3</v>
      </c>
      <c r="J132" s="69"/>
      <c r="K132" s="3" t="s">
        <v>783</v>
      </c>
      <c r="L132" s="3">
        <v>7</v>
      </c>
      <c r="M132" s="3">
        <v>17</v>
      </c>
      <c r="N132" s="3">
        <v>281</v>
      </c>
      <c r="O132" s="3" t="str">
        <f t="shared" si="24"/>
        <v>2018</v>
      </c>
      <c r="P132" s="2">
        <v>501</v>
      </c>
      <c r="AH132">
        <v>3.96</v>
      </c>
      <c r="AI132">
        <f t="shared" si="25"/>
        <v>0.96178086328639911</v>
      </c>
      <c r="AJ132">
        <f t="shared" si="26"/>
        <v>9.1575829935108004</v>
      </c>
      <c r="AK132">
        <f t="shared" si="22"/>
        <v>9.1575829935108006E-3</v>
      </c>
      <c r="AL132">
        <f t="shared" si="23"/>
        <v>4.5787914967554001E-2</v>
      </c>
    </row>
    <row r="133" spans="1:38" x14ac:dyDescent="0.35">
      <c r="A133" s="3">
        <v>2019</v>
      </c>
      <c r="B133" s="3">
        <v>11</v>
      </c>
      <c r="C133" s="3">
        <v>27</v>
      </c>
      <c r="D133" s="2">
        <v>54</v>
      </c>
      <c r="E133" s="3" t="s">
        <v>497</v>
      </c>
      <c r="F133" s="3">
        <v>4</v>
      </c>
      <c r="G133" s="3" t="s">
        <v>45</v>
      </c>
      <c r="H133" s="3" t="str">
        <f t="shared" si="17"/>
        <v>2009</v>
      </c>
      <c r="I133" s="3">
        <v>10</v>
      </c>
      <c r="J133" s="69"/>
      <c r="K133" s="3" t="s">
        <v>488</v>
      </c>
      <c r="L133" s="3" t="s">
        <v>488</v>
      </c>
      <c r="M133" s="3">
        <v>16.100000000000001</v>
      </c>
      <c r="N133" s="3">
        <v>282</v>
      </c>
      <c r="O133" s="3" t="str">
        <f t="shared" si="24"/>
        <v>2007</v>
      </c>
      <c r="P133" s="2">
        <v>54</v>
      </c>
      <c r="S133">
        <v>2.94</v>
      </c>
      <c r="AH133">
        <v>3.97</v>
      </c>
      <c r="AI133">
        <f t="shared" si="25"/>
        <v>0.96445125548847455</v>
      </c>
      <c r="AJ133">
        <f t="shared" si="26"/>
        <v>9.2140646575685086</v>
      </c>
      <c r="AK133">
        <f t="shared" si="22"/>
        <v>9.2140646575685093E-3</v>
      </c>
      <c r="AL133">
        <f t="shared" si="23"/>
        <v>4.6070323287842545E-2</v>
      </c>
    </row>
    <row r="134" spans="1:38" x14ac:dyDescent="0.35">
      <c r="A134" s="3">
        <v>2022</v>
      </c>
      <c r="B134" s="3">
        <v>11</v>
      </c>
      <c r="C134" s="3">
        <v>1</v>
      </c>
      <c r="D134" s="2">
        <v>409</v>
      </c>
      <c r="E134" s="3" t="s">
        <v>873</v>
      </c>
      <c r="F134" s="3">
        <v>4</v>
      </c>
      <c r="G134" s="3" t="s">
        <v>41</v>
      </c>
      <c r="H134" s="3" t="str">
        <f t="shared" si="17"/>
        <v>2013</v>
      </c>
      <c r="I134" s="3">
        <v>9</v>
      </c>
      <c r="J134" s="69"/>
      <c r="K134" s="3" t="s">
        <v>583</v>
      </c>
      <c r="L134" s="3" t="s">
        <v>318</v>
      </c>
      <c r="M134" s="3">
        <v>12.8</v>
      </c>
      <c r="N134" s="3">
        <v>282</v>
      </c>
      <c r="O134" s="3" t="str">
        <f t="shared" si="24"/>
        <v>2011</v>
      </c>
      <c r="P134" s="2">
        <v>409</v>
      </c>
      <c r="Y134">
        <v>2.77</v>
      </c>
      <c r="AH134">
        <v>4</v>
      </c>
      <c r="AI134">
        <f t="shared" si="25"/>
        <v>0.97242225885757239</v>
      </c>
      <c r="AJ134">
        <f t="shared" si="26"/>
        <v>9.3847402953280135</v>
      </c>
      <c r="AK134">
        <f t="shared" si="22"/>
        <v>9.3847402953280128E-3</v>
      </c>
      <c r="AL134">
        <f t="shared" si="23"/>
        <v>4.6923701476640066E-2</v>
      </c>
    </row>
    <row r="135" spans="1:38" x14ac:dyDescent="0.35">
      <c r="A135" s="3">
        <v>2023</v>
      </c>
      <c r="B135" s="3">
        <v>7</v>
      </c>
      <c r="C135" s="3">
        <v>17</v>
      </c>
      <c r="D135" s="2">
        <v>349</v>
      </c>
      <c r="E135" s="3" t="s">
        <v>815</v>
      </c>
      <c r="F135" s="3">
        <v>3</v>
      </c>
      <c r="G135" s="3" t="s">
        <v>45</v>
      </c>
      <c r="H135" s="3" t="str">
        <f t="shared" ref="H135:H198" si="27">IF(L135="A55","2009",IF(L135="A59","2009",IF(L135="A60","2010",IF(L135="A62","2011",IF(L135="CP","2013",IF(L135="MD","2012",IF(L135="TS","2013",IF(L135="DL","2018",IF(L135="SCU","2018",IF(L135="NCU","2018",IF(L135="C1C","2018",IF(L135="C1E","2018",IF(L135="RS1S","2018",IF(L135="C2B","2018",IF(L135="DB3","2018",IF(AND(L135=6,G135="SRS"),"2018",IF(AND(L135=7,G135="SRS"),"2020",IF(AND(L135=8,G135="SRS"),"2020",IF(L135=23,"2019",IF(AND(L135=7,G135="WCA 3B"),"2017",IF(AND(L135=8,G135="WCA 3B"),"2019",IF(L135=1,"2021",IF(L135=2,"2022",IF(L135=3,"2021",IF(L135=4,"2021",IF(L135=5,"2022",IF(AND(L135=6,G135="WCA 3A"),"2022",IF(L135=9,"2023",IF(L135=10,"2023",IF(L135=37,"2020"))))))))))))))))))))))))))))))</f>
        <v>2011</v>
      </c>
      <c r="I135" s="3">
        <v>12</v>
      </c>
      <c r="J135" s="69"/>
      <c r="K135" s="3" t="s">
        <v>236</v>
      </c>
      <c r="L135" s="3" t="s">
        <v>317</v>
      </c>
      <c r="M135" s="3">
        <v>17.7</v>
      </c>
      <c r="N135" s="3">
        <v>282</v>
      </c>
      <c r="O135" s="3" t="str">
        <f t="shared" si="24"/>
        <v>2007</v>
      </c>
      <c r="P135" s="2">
        <v>349</v>
      </c>
      <c r="AH135">
        <v>4.01</v>
      </c>
      <c r="AI135">
        <f t="shared" si="25"/>
        <v>0.97506598044800441</v>
      </c>
      <c r="AJ135">
        <f t="shared" si="26"/>
        <v>9.4420431419288615</v>
      </c>
      <c r="AK135">
        <f t="shared" si="22"/>
        <v>9.4420431419288617E-3</v>
      </c>
      <c r="AL135">
        <f t="shared" si="23"/>
        <v>4.7210215709644308E-2</v>
      </c>
    </row>
    <row r="136" spans="1:38" x14ac:dyDescent="0.35">
      <c r="A136" s="3">
        <v>2019</v>
      </c>
      <c r="B136" s="3">
        <v>8</v>
      </c>
      <c r="C136" s="3">
        <v>9</v>
      </c>
      <c r="D136" s="2">
        <v>319</v>
      </c>
      <c r="E136" s="3" t="s">
        <v>786</v>
      </c>
      <c r="F136" s="3">
        <v>3</v>
      </c>
      <c r="G136" s="3" t="s">
        <v>45</v>
      </c>
      <c r="H136" s="3" t="str">
        <f t="shared" si="27"/>
        <v>2011</v>
      </c>
      <c r="I136" s="3">
        <v>8</v>
      </c>
      <c r="J136" s="69"/>
      <c r="K136" s="3" t="s">
        <v>632</v>
      </c>
      <c r="L136" s="3" t="s">
        <v>317</v>
      </c>
      <c r="M136" s="3">
        <v>11.1</v>
      </c>
      <c r="N136" s="3">
        <v>283</v>
      </c>
      <c r="O136" s="3" t="str">
        <f t="shared" si="24"/>
        <v>2007</v>
      </c>
      <c r="P136" s="2">
        <v>319</v>
      </c>
      <c r="AH136">
        <v>4.0199999999999996</v>
      </c>
      <c r="AI136">
        <f t="shared" si="25"/>
        <v>0.97770311741993776</v>
      </c>
      <c r="AJ136">
        <f t="shared" si="26"/>
        <v>9.4995518474862717</v>
      </c>
      <c r="AK136">
        <f t="shared" si="22"/>
        <v>9.4995518474862723E-3</v>
      </c>
      <c r="AL136">
        <f t="shared" si="23"/>
        <v>4.749775923743136E-2</v>
      </c>
    </row>
    <row r="137" spans="1:38" x14ac:dyDescent="0.35">
      <c r="A137" s="3">
        <v>2023</v>
      </c>
      <c r="B137" s="3">
        <v>7</v>
      </c>
      <c r="C137" s="3">
        <v>19</v>
      </c>
      <c r="D137" s="2">
        <v>360</v>
      </c>
      <c r="E137" s="3" t="s">
        <v>826</v>
      </c>
      <c r="F137" s="3">
        <v>3</v>
      </c>
      <c r="G137" s="3" t="s">
        <v>41</v>
      </c>
      <c r="H137" s="3" t="str">
        <f t="shared" si="27"/>
        <v>2013</v>
      </c>
      <c r="I137" s="3">
        <v>10</v>
      </c>
      <c r="J137" s="69"/>
      <c r="K137" s="3" t="s">
        <v>42</v>
      </c>
      <c r="L137" s="3" t="s">
        <v>318</v>
      </c>
      <c r="M137" s="3">
        <v>14.7</v>
      </c>
      <c r="N137" s="3">
        <v>283</v>
      </c>
      <c r="O137" s="3" t="str">
        <f t="shared" si="24"/>
        <v>2011</v>
      </c>
      <c r="P137" s="2">
        <v>360</v>
      </c>
      <c r="AH137">
        <v>4.0599999999999996</v>
      </c>
      <c r="AI137">
        <f t="shared" si="25"/>
        <v>0.98818646986119907</v>
      </c>
      <c r="AJ137">
        <f t="shared" si="26"/>
        <v>9.7316497485040649</v>
      </c>
    </row>
    <row r="138" spans="1:38" x14ac:dyDescent="0.35">
      <c r="A138" s="3">
        <v>2016</v>
      </c>
      <c r="B138" s="3">
        <v>8</v>
      </c>
      <c r="C138" s="3">
        <v>30</v>
      </c>
      <c r="D138" s="2">
        <v>272</v>
      </c>
      <c r="E138" s="3" t="s">
        <v>734</v>
      </c>
      <c r="F138" s="3">
        <v>3</v>
      </c>
      <c r="G138" s="3" t="s">
        <v>45</v>
      </c>
      <c r="H138" s="3" t="str">
        <f t="shared" si="27"/>
        <v>2009</v>
      </c>
      <c r="I138" s="3">
        <v>7</v>
      </c>
      <c r="J138" s="69"/>
      <c r="K138" s="3" t="s">
        <v>731</v>
      </c>
      <c r="L138" s="3" t="s">
        <v>512</v>
      </c>
      <c r="M138" s="3">
        <v>19.3</v>
      </c>
      <c r="N138" s="3">
        <v>284</v>
      </c>
      <c r="O138" s="3" t="str">
        <f t="shared" si="24"/>
        <v>2007</v>
      </c>
      <c r="P138" s="2">
        <v>272</v>
      </c>
      <c r="S138">
        <v>2.14</v>
      </c>
      <c r="AH138">
        <v>4.09</v>
      </c>
      <c r="AI138">
        <f t="shared" si="25"/>
        <v>0.99598142492189923</v>
      </c>
      <c r="AJ138">
        <f t="shared" si="26"/>
        <v>9.9078956722521525</v>
      </c>
      <c r="AK138">
        <f t="shared" ref="AK138:AK168" si="28">AJ138/1000</f>
        <v>9.9078956722521531E-3</v>
      </c>
      <c r="AL138">
        <f t="shared" ref="AL138:AL168" si="29">5*AK138</f>
        <v>4.9539478361260769E-2</v>
      </c>
    </row>
    <row r="139" spans="1:38" x14ac:dyDescent="0.35">
      <c r="A139" s="3">
        <v>2016</v>
      </c>
      <c r="B139" s="3">
        <v>8</v>
      </c>
      <c r="C139" s="3">
        <v>30</v>
      </c>
      <c r="D139" s="2">
        <v>214</v>
      </c>
      <c r="E139" s="3" t="s">
        <v>672</v>
      </c>
      <c r="F139" s="3">
        <v>3</v>
      </c>
      <c r="G139" s="3" t="s">
        <v>45</v>
      </c>
      <c r="H139" s="3" t="str">
        <f t="shared" si="27"/>
        <v>2009</v>
      </c>
      <c r="I139" s="3">
        <v>7</v>
      </c>
      <c r="J139" s="69"/>
      <c r="K139" s="3" t="s">
        <v>671</v>
      </c>
      <c r="L139" s="3" t="s">
        <v>512</v>
      </c>
      <c r="M139" s="3">
        <v>19.2</v>
      </c>
      <c r="N139" s="3">
        <v>284</v>
      </c>
      <c r="O139" s="3" t="str">
        <f t="shared" si="24"/>
        <v>2007</v>
      </c>
      <c r="P139" s="2">
        <v>214</v>
      </c>
      <c r="AH139">
        <v>4.0999999999999996</v>
      </c>
      <c r="AI139">
        <f t="shared" si="25"/>
        <v>0.99856704268271512</v>
      </c>
      <c r="AJ139">
        <f t="shared" si="26"/>
        <v>9.9670593123088942</v>
      </c>
      <c r="AK139">
        <f t="shared" si="28"/>
        <v>9.9670593123088944E-3</v>
      </c>
      <c r="AL139">
        <f t="shared" si="29"/>
        <v>4.9835296561544472E-2</v>
      </c>
    </row>
    <row r="140" spans="1:38" x14ac:dyDescent="0.35">
      <c r="A140" s="3">
        <v>2019</v>
      </c>
      <c r="B140" s="3">
        <v>2</v>
      </c>
      <c r="C140" s="3">
        <v>21</v>
      </c>
      <c r="D140" s="2">
        <v>159</v>
      </c>
      <c r="E140" s="3" t="s">
        <v>605</v>
      </c>
      <c r="F140" s="3">
        <v>1</v>
      </c>
      <c r="G140" s="3" t="s">
        <v>45</v>
      </c>
      <c r="H140" s="3" t="str">
        <f t="shared" si="27"/>
        <v>2011</v>
      </c>
      <c r="I140" s="3">
        <v>8</v>
      </c>
      <c r="J140" s="69"/>
      <c r="K140" s="3" t="s">
        <v>602</v>
      </c>
      <c r="L140" s="3" t="s">
        <v>317</v>
      </c>
      <c r="M140" s="3">
        <v>16.7</v>
      </c>
      <c r="N140" s="3">
        <v>285</v>
      </c>
      <c r="O140" s="3" t="str">
        <f t="shared" si="24"/>
        <v>2007</v>
      </c>
      <c r="P140" s="2">
        <v>159</v>
      </c>
      <c r="S140">
        <v>3.25</v>
      </c>
      <c r="AH140">
        <v>4.1100000000000003</v>
      </c>
      <c r="AI140">
        <f t="shared" si="25"/>
        <v>1.001146361733857</v>
      </c>
      <c r="AJ140">
        <f t="shared" si="26"/>
        <v>10.026430822388386</v>
      </c>
      <c r="AK140">
        <f t="shared" si="28"/>
        <v>1.0026430822388386E-2</v>
      </c>
      <c r="AL140">
        <f t="shared" si="29"/>
        <v>5.0132154111941926E-2</v>
      </c>
    </row>
    <row r="141" spans="1:38" x14ac:dyDescent="0.35">
      <c r="A141" s="3">
        <v>2016</v>
      </c>
      <c r="B141" s="3">
        <v>9</v>
      </c>
      <c r="C141" s="3">
        <v>1</v>
      </c>
      <c r="D141" s="2">
        <v>264</v>
      </c>
      <c r="E141" s="3" t="s">
        <v>725</v>
      </c>
      <c r="F141" s="3">
        <v>3</v>
      </c>
      <c r="G141" s="3" t="s">
        <v>45</v>
      </c>
      <c r="H141" s="3" t="str">
        <f t="shared" si="27"/>
        <v>2011</v>
      </c>
      <c r="I141" s="3">
        <v>5</v>
      </c>
      <c r="J141" s="69"/>
      <c r="K141" s="3" t="s">
        <v>718</v>
      </c>
      <c r="L141" s="3" t="s">
        <v>317</v>
      </c>
      <c r="M141" s="3">
        <v>16.2</v>
      </c>
      <c r="N141" s="3">
        <v>285</v>
      </c>
      <c r="O141" s="3" t="str">
        <f t="shared" si="24"/>
        <v>2007</v>
      </c>
      <c r="P141" s="2">
        <v>264</v>
      </c>
      <c r="S141">
        <v>2.52</v>
      </c>
      <c r="AH141">
        <v>4.13</v>
      </c>
      <c r="AI141">
        <f t="shared" si="25"/>
        <v>1.0062862259383059</v>
      </c>
      <c r="AJ141">
        <f t="shared" si="26"/>
        <v>10.145798339968934</v>
      </c>
      <c r="AK141">
        <f t="shared" si="28"/>
        <v>1.0145798339968934E-2</v>
      </c>
      <c r="AL141">
        <f t="shared" si="29"/>
        <v>5.0728991699844669E-2</v>
      </c>
    </row>
    <row r="142" spans="1:38" x14ac:dyDescent="0.35">
      <c r="A142" s="3">
        <v>2019</v>
      </c>
      <c r="B142" s="3">
        <v>8</v>
      </c>
      <c r="C142" s="3">
        <v>9</v>
      </c>
      <c r="D142" s="2">
        <v>318</v>
      </c>
      <c r="E142" s="3" t="s">
        <v>785</v>
      </c>
      <c r="F142" s="3">
        <v>3</v>
      </c>
      <c r="G142" s="3" t="s">
        <v>45</v>
      </c>
      <c r="H142" s="3" t="str">
        <f t="shared" si="27"/>
        <v>2011</v>
      </c>
      <c r="I142" s="3">
        <v>8</v>
      </c>
      <c r="J142" s="69"/>
      <c r="K142" s="3" t="s">
        <v>632</v>
      </c>
      <c r="L142" s="3" t="s">
        <v>317</v>
      </c>
      <c r="M142" s="3">
        <v>13.3</v>
      </c>
      <c r="N142" s="3">
        <v>285</v>
      </c>
      <c r="O142" s="3" t="str">
        <f t="shared" si="24"/>
        <v>2007</v>
      </c>
      <c r="P142" s="2">
        <v>318</v>
      </c>
      <c r="AH142">
        <v>4.1500000000000004</v>
      </c>
      <c r="AI142">
        <f t="shared" si="25"/>
        <v>1.011401259784082</v>
      </c>
      <c r="AJ142">
        <f t="shared" si="26"/>
        <v>10.26599999667499</v>
      </c>
      <c r="AK142">
        <f t="shared" si="28"/>
        <v>1.026599999667499E-2</v>
      </c>
      <c r="AL142">
        <f t="shared" si="29"/>
        <v>5.1329999983374952E-2</v>
      </c>
    </row>
    <row r="143" spans="1:38" x14ac:dyDescent="0.35">
      <c r="A143" s="3">
        <v>2011</v>
      </c>
      <c r="B143" s="3">
        <v>11</v>
      </c>
      <c r="C143" s="3">
        <v>14</v>
      </c>
      <c r="D143" s="2">
        <v>619</v>
      </c>
      <c r="E143" s="3" t="s">
        <v>136</v>
      </c>
      <c r="F143" s="3">
        <v>4</v>
      </c>
      <c r="G143" s="3" t="s">
        <v>45</v>
      </c>
      <c r="H143" s="3" t="str">
        <f t="shared" si="27"/>
        <v>2009</v>
      </c>
      <c r="I143" s="3">
        <v>2</v>
      </c>
      <c r="J143" s="69"/>
      <c r="K143" t="s">
        <v>667</v>
      </c>
      <c r="L143" s="3" t="s">
        <v>512</v>
      </c>
      <c r="M143">
        <v>21.4</v>
      </c>
      <c r="N143" s="3">
        <v>285</v>
      </c>
      <c r="O143" s="3" t="str">
        <f t="shared" si="24"/>
        <v>2007</v>
      </c>
      <c r="P143" s="2">
        <v>619</v>
      </c>
      <c r="AH143">
        <v>4.17</v>
      </c>
      <c r="AI143">
        <f t="shared" si="25"/>
        <v>1.0164917020260207</v>
      </c>
      <c r="AJ143">
        <f t="shared" si="26"/>
        <v>10.387037559372514</v>
      </c>
      <c r="AK143">
        <f t="shared" si="28"/>
        <v>1.0387037559372514E-2</v>
      </c>
      <c r="AL143">
        <f t="shared" si="29"/>
        <v>5.193518779686257E-2</v>
      </c>
    </row>
    <row r="144" spans="1:38" x14ac:dyDescent="0.35">
      <c r="A144" s="3">
        <v>2024</v>
      </c>
      <c r="B144" s="3">
        <v>4</v>
      </c>
      <c r="C144" s="3">
        <v>5</v>
      </c>
      <c r="D144" s="2">
        <v>653</v>
      </c>
      <c r="E144" s="3" t="s">
        <v>1080</v>
      </c>
      <c r="F144" s="3">
        <v>2</v>
      </c>
      <c r="G144" s="3" t="s">
        <v>225</v>
      </c>
      <c r="H144" s="3" t="str">
        <f t="shared" si="27"/>
        <v>2021</v>
      </c>
      <c r="I144" s="3">
        <v>3</v>
      </c>
      <c r="J144" s="69"/>
      <c r="K144" t="s">
        <v>1018</v>
      </c>
      <c r="L144" s="3">
        <v>1</v>
      </c>
      <c r="M144">
        <v>20.3</v>
      </c>
      <c r="N144" s="3">
        <v>286</v>
      </c>
      <c r="O144" s="3" t="str">
        <f t="shared" si="24"/>
        <v>2021</v>
      </c>
      <c r="P144" s="2">
        <v>653</v>
      </c>
      <c r="AH144">
        <v>4.18</v>
      </c>
      <c r="AI144">
        <f t="shared" si="25"/>
        <v>1.0190277749675358</v>
      </c>
      <c r="AJ144">
        <f t="shared" si="26"/>
        <v>10.447870356305959</v>
      </c>
      <c r="AK144">
        <f t="shared" si="28"/>
        <v>1.0447870356305958E-2</v>
      </c>
      <c r="AL144">
        <f t="shared" si="29"/>
        <v>5.2239351781529789E-2</v>
      </c>
    </row>
    <row r="145" spans="1:38" x14ac:dyDescent="0.35">
      <c r="A145" s="3">
        <v>2018</v>
      </c>
      <c r="B145" s="3">
        <v>8</v>
      </c>
      <c r="C145" s="3">
        <v>15</v>
      </c>
      <c r="D145" s="2">
        <v>333</v>
      </c>
      <c r="E145" s="3" t="s">
        <v>800</v>
      </c>
      <c r="F145" s="3">
        <v>3</v>
      </c>
      <c r="G145" s="3" t="s">
        <v>41</v>
      </c>
      <c r="H145" s="3" t="str">
        <f t="shared" si="27"/>
        <v>2013</v>
      </c>
      <c r="I145" s="3">
        <v>5</v>
      </c>
      <c r="J145" s="69"/>
      <c r="K145" s="3" t="s">
        <v>42</v>
      </c>
      <c r="L145" s="3" t="s">
        <v>318</v>
      </c>
      <c r="M145" s="3">
        <v>17.399999999999999</v>
      </c>
      <c r="N145" s="3">
        <v>287</v>
      </c>
      <c r="O145" s="3" t="str">
        <f t="shared" si="24"/>
        <v>2011</v>
      </c>
      <c r="P145" s="2">
        <v>333</v>
      </c>
      <c r="AH145">
        <v>4.1900000000000004</v>
      </c>
      <c r="AI145">
        <f t="shared" si="25"/>
        <v>1.0215577879918281</v>
      </c>
      <c r="AJ145">
        <f t="shared" si="26"/>
        <v>10.508912790148473</v>
      </c>
      <c r="AK145">
        <f t="shared" si="28"/>
        <v>1.0508912790148473E-2</v>
      </c>
      <c r="AL145">
        <f t="shared" si="29"/>
        <v>5.2544563950742362E-2</v>
      </c>
    </row>
    <row r="146" spans="1:38" x14ac:dyDescent="0.35">
      <c r="A146" s="3">
        <v>2024</v>
      </c>
      <c r="B146">
        <v>8</v>
      </c>
      <c r="C146" s="3">
        <v>19</v>
      </c>
      <c r="D146" s="2">
        <v>811</v>
      </c>
      <c r="E146" s="3" t="s">
        <v>297</v>
      </c>
      <c r="F146" s="3">
        <v>3</v>
      </c>
      <c r="G146" s="3" t="s">
        <v>225</v>
      </c>
      <c r="H146" s="3" t="str">
        <f t="shared" si="27"/>
        <v>2021</v>
      </c>
      <c r="I146" s="3">
        <v>3</v>
      </c>
      <c r="J146" s="69"/>
      <c r="K146">
        <v>3</v>
      </c>
      <c r="L146">
        <v>3</v>
      </c>
      <c r="M146">
        <v>20.7</v>
      </c>
      <c r="N146" s="3">
        <v>287</v>
      </c>
      <c r="O146" s="3" t="str">
        <f t="shared" si="24"/>
        <v>2021</v>
      </c>
      <c r="P146" s="2">
        <v>811</v>
      </c>
      <c r="AH146">
        <v>4.21</v>
      </c>
      <c r="AI146">
        <f t="shared" si="25"/>
        <v>1.0265997496473593</v>
      </c>
      <c r="AJ146">
        <f t="shared" si="26"/>
        <v>10.631627446346529</v>
      </c>
      <c r="AK146">
        <f t="shared" si="28"/>
        <v>1.063162744634653E-2</v>
      </c>
      <c r="AL146">
        <f t="shared" si="29"/>
        <v>5.3158137231732655E-2</v>
      </c>
    </row>
    <row r="147" spans="1:38" x14ac:dyDescent="0.35">
      <c r="A147" s="3">
        <v>2017</v>
      </c>
      <c r="B147" s="3">
        <v>8</v>
      </c>
      <c r="C147" s="3">
        <v>8</v>
      </c>
      <c r="D147" s="2">
        <v>126</v>
      </c>
      <c r="E147" s="14" t="s">
        <v>571</v>
      </c>
      <c r="F147" s="15">
        <v>3</v>
      </c>
      <c r="G147" s="3" t="s">
        <v>45</v>
      </c>
      <c r="H147" s="3" t="str">
        <f t="shared" si="27"/>
        <v>2009</v>
      </c>
      <c r="I147" s="3">
        <v>8</v>
      </c>
      <c r="J147" s="69"/>
      <c r="K147" s="3" t="s">
        <v>512</v>
      </c>
      <c r="L147" s="3" t="s">
        <v>512</v>
      </c>
      <c r="M147" s="3">
        <v>16.399999999999999</v>
      </c>
      <c r="N147" s="3">
        <v>288</v>
      </c>
      <c r="O147" s="3" t="str">
        <f t="shared" si="24"/>
        <v>2007</v>
      </c>
      <c r="P147" s="2">
        <v>126</v>
      </c>
      <c r="AH147">
        <v>4.21</v>
      </c>
      <c r="AI147">
        <f t="shared" si="25"/>
        <v>1.0265997496473593</v>
      </c>
      <c r="AJ147">
        <f t="shared" si="26"/>
        <v>10.631627446346529</v>
      </c>
      <c r="AK147">
        <f t="shared" si="28"/>
        <v>1.063162744634653E-2</v>
      </c>
      <c r="AL147">
        <f t="shared" si="29"/>
        <v>5.3158137231732655E-2</v>
      </c>
    </row>
    <row r="148" spans="1:38" x14ac:dyDescent="0.35">
      <c r="A148" s="3">
        <v>2019</v>
      </c>
      <c r="B148" s="3">
        <v>2</v>
      </c>
      <c r="C148" s="3">
        <v>20</v>
      </c>
      <c r="D148" s="2">
        <v>162</v>
      </c>
      <c r="E148" s="3" t="s">
        <v>609</v>
      </c>
      <c r="F148" s="3">
        <v>1</v>
      </c>
      <c r="G148" s="3" t="s">
        <v>45</v>
      </c>
      <c r="H148" s="3" t="str">
        <f t="shared" si="27"/>
        <v>2011</v>
      </c>
      <c r="I148" s="3">
        <v>8</v>
      </c>
      <c r="J148" s="69"/>
      <c r="K148" s="3" t="s">
        <v>610</v>
      </c>
      <c r="L148" s="3" t="s">
        <v>317</v>
      </c>
      <c r="M148" s="3">
        <v>18.5</v>
      </c>
      <c r="N148" s="3">
        <v>289</v>
      </c>
      <c r="O148" s="3" t="str">
        <f t="shared" si="24"/>
        <v>2007</v>
      </c>
      <c r="P148" s="2">
        <v>162</v>
      </c>
      <c r="AH148">
        <v>4.22</v>
      </c>
      <c r="AI148">
        <f t="shared" si="25"/>
        <v>1.029111755444561</v>
      </c>
      <c r="AJ148">
        <f t="shared" si="26"/>
        <v>10.693300106860473</v>
      </c>
      <c r="AK148">
        <f t="shared" si="28"/>
        <v>1.0693300106860473E-2</v>
      </c>
      <c r="AL148">
        <f t="shared" si="29"/>
        <v>5.3466500534302366E-2</v>
      </c>
    </row>
    <row r="149" spans="1:38" x14ac:dyDescent="0.35">
      <c r="A149" s="3">
        <v>2016</v>
      </c>
      <c r="B149" s="3">
        <v>11</v>
      </c>
      <c r="C149" s="3">
        <v>8</v>
      </c>
      <c r="D149" s="2">
        <v>199</v>
      </c>
      <c r="E149" s="3" t="s">
        <v>652</v>
      </c>
      <c r="F149" s="3">
        <v>4</v>
      </c>
      <c r="G149" s="3" t="s">
        <v>41</v>
      </c>
      <c r="H149" s="3" t="str">
        <f t="shared" si="27"/>
        <v>2012</v>
      </c>
      <c r="I149" s="3">
        <v>4</v>
      </c>
      <c r="J149" s="69"/>
      <c r="K149" s="3" t="s">
        <v>551</v>
      </c>
      <c r="L149" s="3" t="s">
        <v>461</v>
      </c>
      <c r="M149" s="3">
        <v>22.1</v>
      </c>
      <c r="N149" s="3">
        <v>290</v>
      </c>
      <c r="O149" s="3" t="str">
        <f t="shared" si="24"/>
        <v>2011</v>
      </c>
      <c r="P149" s="2">
        <v>199</v>
      </c>
      <c r="S149">
        <v>2.38</v>
      </c>
      <c r="AH149">
        <v>4.29</v>
      </c>
      <c r="AI149">
        <f t="shared" si="25"/>
        <v>1.0465308783463578</v>
      </c>
      <c r="AJ149">
        <f t="shared" si="26"/>
        <v>11.13091530818526</v>
      </c>
      <c r="AK149">
        <f t="shared" si="28"/>
        <v>1.113091530818526E-2</v>
      </c>
      <c r="AL149">
        <f t="shared" si="29"/>
        <v>5.5654576540926301E-2</v>
      </c>
    </row>
    <row r="150" spans="1:38" x14ac:dyDescent="0.35">
      <c r="A150" s="3">
        <v>2022</v>
      </c>
      <c r="B150" s="3">
        <v>11</v>
      </c>
      <c r="C150" s="3">
        <v>15</v>
      </c>
      <c r="D150" s="2">
        <v>100</v>
      </c>
      <c r="E150" s="14" t="s">
        <v>548</v>
      </c>
      <c r="F150" s="15">
        <v>4</v>
      </c>
      <c r="G150" s="3" t="s">
        <v>20</v>
      </c>
      <c r="H150" s="3" t="str">
        <f t="shared" si="27"/>
        <v>2018</v>
      </c>
      <c r="I150" s="3">
        <v>4</v>
      </c>
      <c r="J150" s="69"/>
      <c r="K150" s="3">
        <v>6</v>
      </c>
      <c r="L150" s="3">
        <v>6</v>
      </c>
      <c r="M150" s="3">
        <v>20.5</v>
      </c>
      <c r="N150" s="3">
        <v>290</v>
      </c>
      <c r="O150" s="3" t="str">
        <f t="shared" si="24"/>
        <v>2018</v>
      </c>
      <c r="P150" s="2">
        <v>100</v>
      </c>
      <c r="Y150">
        <v>2.56</v>
      </c>
      <c r="AH150">
        <v>4.32</v>
      </c>
      <c r="AI150">
        <f t="shared" si="25"/>
        <v>1.0539093747347559</v>
      </c>
      <c r="AJ150">
        <f t="shared" si="26"/>
        <v>11.321640872042114</v>
      </c>
      <c r="AK150">
        <f t="shared" si="28"/>
        <v>1.1321640872042113E-2</v>
      </c>
      <c r="AL150">
        <f t="shared" si="29"/>
        <v>5.6608204360210565E-2</v>
      </c>
    </row>
    <row r="151" spans="1:38" x14ac:dyDescent="0.35">
      <c r="A151" s="3">
        <v>2016</v>
      </c>
      <c r="B151" s="3">
        <v>9</v>
      </c>
      <c r="C151" s="3">
        <v>1</v>
      </c>
      <c r="D151" s="2">
        <v>261</v>
      </c>
      <c r="E151" s="3" t="s">
        <v>722</v>
      </c>
      <c r="F151" s="3">
        <v>3</v>
      </c>
      <c r="G151" s="3" t="s">
        <v>45</v>
      </c>
      <c r="H151" s="3" t="str">
        <f t="shared" si="27"/>
        <v>2011</v>
      </c>
      <c r="I151" s="3">
        <v>5</v>
      </c>
      <c r="J151" s="69"/>
      <c r="K151" s="3" t="s">
        <v>718</v>
      </c>
      <c r="L151" s="3" t="s">
        <v>317</v>
      </c>
      <c r="M151" s="3">
        <v>1.7</v>
      </c>
      <c r="N151" s="3">
        <v>290</v>
      </c>
      <c r="O151" s="3" t="str">
        <f t="shared" si="24"/>
        <v>2007</v>
      </c>
      <c r="P151" s="2">
        <v>261</v>
      </c>
      <c r="AH151">
        <v>4.3499999999999996</v>
      </c>
      <c r="AI151">
        <f t="shared" si="25"/>
        <v>1.0612368084554058</v>
      </c>
      <c r="AJ151">
        <f t="shared" si="26"/>
        <v>11.514280588457611</v>
      </c>
      <c r="AK151">
        <f t="shared" si="28"/>
        <v>1.1514280588457611E-2</v>
      </c>
      <c r="AL151">
        <f t="shared" si="29"/>
        <v>5.7571402942288054E-2</v>
      </c>
    </row>
    <row r="152" spans="1:38" x14ac:dyDescent="0.35">
      <c r="A152" s="3">
        <v>2023</v>
      </c>
      <c r="B152" s="3">
        <v>8</v>
      </c>
      <c r="C152" s="3">
        <v>2</v>
      </c>
      <c r="D152" s="2">
        <v>440</v>
      </c>
      <c r="E152" s="3" t="s">
        <v>901</v>
      </c>
      <c r="F152" s="3">
        <v>3</v>
      </c>
      <c r="G152" s="3" t="s">
        <v>226</v>
      </c>
      <c r="H152" s="3" t="str">
        <f t="shared" si="27"/>
        <v>2017</v>
      </c>
      <c r="I152" s="3">
        <v>6</v>
      </c>
      <c r="J152" s="69"/>
      <c r="K152" s="3" t="s">
        <v>228</v>
      </c>
      <c r="L152" s="3">
        <v>7</v>
      </c>
      <c r="M152" s="3">
        <v>25.1</v>
      </c>
      <c r="N152" s="3">
        <v>290</v>
      </c>
      <c r="O152" s="3" t="str">
        <f t="shared" si="24"/>
        <v>2017</v>
      </c>
      <c r="P152" s="2">
        <v>440</v>
      </c>
      <c r="AH152">
        <v>4.3600000000000003</v>
      </c>
      <c r="AI152">
        <f t="shared" si="25"/>
        <v>1.063668060836813</v>
      </c>
      <c r="AJ152">
        <f t="shared" si="26"/>
        <v>11.578920199504392</v>
      </c>
      <c r="AK152">
        <f t="shared" si="28"/>
        <v>1.1578920199504392E-2</v>
      </c>
      <c r="AL152">
        <f t="shared" si="29"/>
        <v>5.7894600997521958E-2</v>
      </c>
    </row>
    <row r="153" spans="1:38" x14ac:dyDescent="0.35">
      <c r="A153" s="3">
        <v>2023</v>
      </c>
      <c r="B153" s="3">
        <v>11</v>
      </c>
      <c r="C153" s="3">
        <v>9</v>
      </c>
      <c r="D153" s="2">
        <v>502</v>
      </c>
      <c r="E153" s="3" t="s">
        <v>956</v>
      </c>
      <c r="F153" s="3">
        <v>4</v>
      </c>
      <c r="G153" s="3" t="s">
        <v>20</v>
      </c>
      <c r="H153" s="3" t="str">
        <f t="shared" si="27"/>
        <v>2020</v>
      </c>
      <c r="I153" s="3">
        <v>3</v>
      </c>
      <c r="J153" s="69"/>
      <c r="K153" s="3" t="s">
        <v>783</v>
      </c>
      <c r="L153" s="3">
        <v>7</v>
      </c>
      <c r="M153" s="3">
        <v>20.100000000000001</v>
      </c>
      <c r="N153" s="3">
        <v>290</v>
      </c>
      <c r="O153" s="3" t="str">
        <f t="shared" si="24"/>
        <v>2018</v>
      </c>
      <c r="P153" s="2">
        <v>502</v>
      </c>
      <c r="AH153">
        <v>4.3600000000000003</v>
      </c>
      <c r="AI153">
        <f t="shared" si="25"/>
        <v>1.063668060836813</v>
      </c>
      <c r="AJ153">
        <f t="shared" si="26"/>
        <v>11.578920199504392</v>
      </c>
      <c r="AK153">
        <f t="shared" si="28"/>
        <v>1.1578920199504392E-2</v>
      </c>
      <c r="AL153">
        <f t="shared" si="29"/>
        <v>5.7894600997521958E-2</v>
      </c>
    </row>
    <row r="154" spans="1:38" x14ac:dyDescent="0.35">
      <c r="A154" s="3">
        <v>2024</v>
      </c>
      <c r="B154" s="3">
        <v>2</v>
      </c>
      <c r="C154" s="3">
        <v>23</v>
      </c>
      <c r="D154" s="2">
        <v>631</v>
      </c>
      <c r="E154" s="3" t="s">
        <v>138</v>
      </c>
      <c r="F154" s="3">
        <v>1</v>
      </c>
      <c r="G154" s="3" t="s">
        <v>225</v>
      </c>
      <c r="H154" s="3" t="str">
        <f t="shared" si="27"/>
        <v>2022</v>
      </c>
      <c r="I154" s="3">
        <v>2</v>
      </c>
      <c r="J154" s="69"/>
      <c r="K154" t="s">
        <v>21</v>
      </c>
      <c r="L154" s="3">
        <v>2</v>
      </c>
      <c r="M154">
        <v>19.399999999999999</v>
      </c>
      <c r="N154" s="3">
        <v>290</v>
      </c>
      <c r="O154" s="3" t="str">
        <f t="shared" si="24"/>
        <v>2021</v>
      </c>
      <c r="P154" s="2">
        <v>631</v>
      </c>
      <c r="AH154">
        <v>4.37</v>
      </c>
      <c r="AI154">
        <f t="shared" si="25"/>
        <v>1.0660937433338884</v>
      </c>
      <c r="AJ154">
        <f t="shared" si="26"/>
        <v>11.643773354673748</v>
      </c>
      <c r="AK154">
        <f t="shared" si="28"/>
        <v>1.1643773354673748E-2</v>
      </c>
      <c r="AL154">
        <f t="shared" si="29"/>
        <v>5.8218866773368738E-2</v>
      </c>
    </row>
    <row r="155" spans="1:38" x14ac:dyDescent="0.35">
      <c r="A155" s="3">
        <v>2024</v>
      </c>
      <c r="B155" s="3">
        <v>6</v>
      </c>
      <c r="C155" s="3">
        <v>19</v>
      </c>
      <c r="D155" s="2">
        <v>804</v>
      </c>
      <c r="E155" s="3" t="s">
        <v>1174</v>
      </c>
      <c r="F155" s="3">
        <v>3</v>
      </c>
      <c r="G155" s="3" t="s">
        <v>225</v>
      </c>
      <c r="H155" s="3" t="str">
        <f t="shared" si="27"/>
        <v>2021</v>
      </c>
      <c r="I155" s="3">
        <v>3</v>
      </c>
      <c r="J155" s="69"/>
      <c r="K155" t="s">
        <v>1162</v>
      </c>
      <c r="L155">
        <v>3</v>
      </c>
      <c r="M155">
        <v>20.5</v>
      </c>
      <c r="N155" s="3">
        <v>290</v>
      </c>
      <c r="O155" s="3" t="str">
        <f t="shared" si="24"/>
        <v>2021</v>
      </c>
      <c r="P155" s="2">
        <v>804</v>
      </c>
      <c r="AH155">
        <v>4.38</v>
      </c>
      <c r="AI155">
        <f t="shared" si="25"/>
        <v>1.0685138814089947</v>
      </c>
      <c r="AJ155">
        <f t="shared" si="26"/>
        <v>11.708840268351397</v>
      </c>
      <c r="AK155">
        <f t="shared" si="28"/>
        <v>1.1708840268351397E-2</v>
      </c>
      <c r="AL155">
        <f t="shared" si="29"/>
        <v>5.8544201341756981E-2</v>
      </c>
    </row>
    <row r="156" spans="1:38" x14ac:dyDescent="0.35">
      <c r="A156" s="3">
        <v>2017</v>
      </c>
      <c r="B156" s="3">
        <v>8</v>
      </c>
      <c r="C156" s="3">
        <v>8</v>
      </c>
      <c r="D156" s="2">
        <v>87</v>
      </c>
      <c r="E156" s="14" t="s">
        <v>532</v>
      </c>
      <c r="F156" s="15">
        <v>3</v>
      </c>
      <c r="G156" s="3" t="s">
        <v>45</v>
      </c>
      <c r="H156" s="3" t="str">
        <f t="shared" si="27"/>
        <v>2009</v>
      </c>
      <c r="I156" s="3">
        <v>8</v>
      </c>
      <c r="J156" s="69"/>
      <c r="K156" s="3" t="s">
        <v>512</v>
      </c>
      <c r="L156" s="3" t="s">
        <v>512</v>
      </c>
      <c r="M156" s="3">
        <v>17.600000000000001</v>
      </c>
      <c r="N156" s="3">
        <v>291</v>
      </c>
      <c r="O156" s="3" t="str">
        <f t="shared" si="24"/>
        <v>2007</v>
      </c>
      <c r="P156" s="2">
        <v>87</v>
      </c>
      <c r="AH156">
        <v>4.38</v>
      </c>
      <c r="AI156">
        <f t="shared" si="25"/>
        <v>1.0685138814089947</v>
      </c>
      <c r="AJ156">
        <f t="shared" si="26"/>
        <v>11.708840268351397</v>
      </c>
      <c r="AK156">
        <f t="shared" si="28"/>
        <v>1.1708840268351397E-2</v>
      </c>
      <c r="AL156">
        <f t="shared" si="29"/>
        <v>5.8544201341756981E-2</v>
      </c>
    </row>
    <row r="157" spans="1:38" x14ac:dyDescent="0.35">
      <c r="A157" s="3">
        <v>2016</v>
      </c>
      <c r="B157" s="3">
        <v>9</v>
      </c>
      <c r="C157" s="3">
        <v>2</v>
      </c>
      <c r="D157" s="2">
        <v>216</v>
      </c>
      <c r="E157" s="3" t="s">
        <v>674</v>
      </c>
      <c r="F157" s="3">
        <v>3</v>
      </c>
      <c r="G157" s="3" t="s">
        <v>41</v>
      </c>
      <c r="H157" s="3" t="str">
        <f t="shared" si="27"/>
        <v>2013</v>
      </c>
      <c r="I157" s="3">
        <v>3</v>
      </c>
      <c r="J157" s="69"/>
      <c r="K157" s="3" t="s">
        <v>49</v>
      </c>
      <c r="L157" s="3" t="s">
        <v>318</v>
      </c>
      <c r="M157" s="3">
        <v>19.100000000000001</v>
      </c>
      <c r="N157" s="3">
        <v>291</v>
      </c>
      <c r="O157" s="3" t="str">
        <f t="shared" si="24"/>
        <v>2011</v>
      </c>
      <c r="P157" s="2">
        <v>216</v>
      </c>
      <c r="AH157">
        <v>4.41</v>
      </c>
      <c r="AI157">
        <f t="shared" si="25"/>
        <v>1.0757412811225904</v>
      </c>
      <c r="AJ157">
        <f t="shared" si="26"/>
        <v>11.905325700163852</v>
      </c>
      <c r="AK157">
        <f t="shared" si="28"/>
        <v>1.1905325700163852E-2</v>
      </c>
      <c r="AL157">
        <f t="shared" si="29"/>
        <v>5.9526628500819259E-2</v>
      </c>
    </row>
    <row r="158" spans="1:38" x14ac:dyDescent="0.35">
      <c r="A158" s="3">
        <v>2023</v>
      </c>
      <c r="B158" s="3">
        <v>7</v>
      </c>
      <c r="C158" s="3">
        <v>25</v>
      </c>
      <c r="D158" s="2">
        <v>452</v>
      </c>
      <c r="E158" s="3" t="s">
        <v>910</v>
      </c>
      <c r="F158" s="3">
        <v>3</v>
      </c>
      <c r="G158" s="3" t="s">
        <v>20</v>
      </c>
      <c r="H158" s="3" t="str">
        <f t="shared" si="27"/>
        <v>2018</v>
      </c>
      <c r="I158" s="3">
        <v>5</v>
      </c>
      <c r="J158" s="69"/>
      <c r="K158" s="3" t="s">
        <v>234</v>
      </c>
      <c r="L158" s="3">
        <v>6</v>
      </c>
      <c r="M158" s="3">
        <v>18.899999999999999</v>
      </c>
      <c r="N158" s="3">
        <v>292</v>
      </c>
      <c r="O158" s="3" t="str">
        <f t="shared" si="24"/>
        <v>2018</v>
      </c>
      <c r="P158" s="2">
        <v>452</v>
      </c>
      <c r="S158">
        <v>2.2999999999999998</v>
      </c>
      <c r="AH158">
        <v>4.43</v>
      </c>
      <c r="AI158">
        <f t="shared" si="25"/>
        <v>1.0805322845318435</v>
      </c>
      <c r="AJ158">
        <f t="shared" si="26"/>
        <v>12.037388698630675</v>
      </c>
      <c r="AK158">
        <f t="shared" si="28"/>
        <v>1.2037388698630675E-2</v>
      </c>
      <c r="AL158">
        <f t="shared" si="29"/>
        <v>6.0186943493153379E-2</v>
      </c>
    </row>
    <row r="159" spans="1:38" x14ac:dyDescent="0.35">
      <c r="A159" s="3">
        <v>2023</v>
      </c>
      <c r="B159" s="3">
        <v>7</v>
      </c>
      <c r="C159" s="3">
        <v>25</v>
      </c>
      <c r="D159" s="2">
        <v>452</v>
      </c>
      <c r="E159" s="3" t="s">
        <v>910</v>
      </c>
      <c r="F159" s="3">
        <v>3</v>
      </c>
      <c r="G159" s="3" t="s">
        <v>20</v>
      </c>
      <c r="H159" s="3" t="str">
        <f t="shared" si="27"/>
        <v>2018</v>
      </c>
      <c r="I159" s="3">
        <v>5</v>
      </c>
      <c r="J159" s="69"/>
      <c r="K159" s="3" t="s">
        <v>234</v>
      </c>
      <c r="L159" s="3">
        <v>6</v>
      </c>
      <c r="M159" s="3">
        <v>18.899999999999999</v>
      </c>
      <c r="N159" s="3">
        <v>292</v>
      </c>
      <c r="O159" s="3" t="str">
        <f t="shared" si="24"/>
        <v>2018</v>
      </c>
      <c r="P159" s="2">
        <v>452</v>
      </c>
      <c r="S159">
        <v>1.86</v>
      </c>
      <c r="AH159">
        <v>4.45</v>
      </c>
      <c r="AI159">
        <f t="shared" si="25"/>
        <v>1.0853017067715114</v>
      </c>
      <c r="AJ159">
        <f t="shared" si="26"/>
        <v>12.170311853109524</v>
      </c>
      <c r="AK159">
        <f t="shared" si="28"/>
        <v>1.2170311853109524E-2</v>
      </c>
      <c r="AL159">
        <f t="shared" si="29"/>
        <v>6.0851559265547618E-2</v>
      </c>
    </row>
    <row r="160" spans="1:38" x14ac:dyDescent="0.35">
      <c r="A160" s="3">
        <v>2023</v>
      </c>
      <c r="B160" s="3">
        <v>11</v>
      </c>
      <c r="C160" s="3">
        <v>2</v>
      </c>
      <c r="D160" s="2">
        <v>537</v>
      </c>
      <c r="E160" s="3" t="s">
        <v>991</v>
      </c>
      <c r="F160" s="3">
        <v>4</v>
      </c>
      <c r="G160" s="3" t="s">
        <v>45</v>
      </c>
      <c r="H160" s="3" t="str">
        <f t="shared" si="27"/>
        <v>2011</v>
      </c>
      <c r="I160" s="3">
        <v>12</v>
      </c>
      <c r="J160" s="69"/>
      <c r="K160" t="s">
        <v>990</v>
      </c>
      <c r="L160" s="3" t="s">
        <v>317</v>
      </c>
      <c r="M160" s="3">
        <v>19.899999999999999</v>
      </c>
      <c r="N160" s="3">
        <v>292</v>
      </c>
      <c r="O160" s="3" t="str">
        <f t="shared" si="24"/>
        <v>2007</v>
      </c>
      <c r="P160" s="2">
        <v>537</v>
      </c>
      <c r="T160">
        <v>3.95</v>
      </c>
      <c r="AH160">
        <v>4.47</v>
      </c>
      <c r="AI160">
        <f t="shared" si="25"/>
        <v>1.0900497413956609</v>
      </c>
      <c r="AJ160">
        <f t="shared" si="26"/>
        <v>12.30409686234627</v>
      </c>
      <c r="AK160">
        <f t="shared" si="28"/>
        <v>1.230409686234627E-2</v>
      </c>
      <c r="AL160">
        <f t="shared" si="29"/>
        <v>6.1520484311731349E-2</v>
      </c>
    </row>
    <row r="161" spans="1:38" x14ac:dyDescent="0.35">
      <c r="A161" s="3">
        <v>2023</v>
      </c>
      <c r="B161" s="3">
        <v>7</v>
      </c>
      <c r="C161" s="3">
        <v>17</v>
      </c>
      <c r="D161" s="2">
        <v>400</v>
      </c>
      <c r="E161" s="3" t="s">
        <v>866</v>
      </c>
      <c r="F161" s="3">
        <v>3</v>
      </c>
      <c r="G161" s="3" t="s">
        <v>45</v>
      </c>
      <c r="H161" s="3" t="str">
        <f t="shared" si="27"/>
        <v>2011</v>
      </c>
      <c r="I161" s="3">
        <v>12</v>
      </c>
      <c r="J161" s="69"/>
      <c r="K161" s="3" t="s">
        <v>865</v>
      </c>
      <c r="L161" s="3" t="s">
        <v>317</v>
      </c>
      <c r="M161" s="3">
        <v>16.5</v>
      </c>
      <c r="N161" s="3">
        <v>292</v>
      </c>
      <c r="O161" s="3" t="str">
        <f t="shared" si="24"/>
        <v>2007</v>
      </c>
      <c r="P161" s="2">
        <v>400</v>
      </c>
      <c r="T161">
        <v>2.57</v>
      </c>
      <c r="AH161">
        <v>4.4800000000000004</v>
      </c>
      <c r="AI161">
        <f t="shared" si="25"/>
        <v>1.0924157981274751</v>
      </c>
      <c r="AJ161">
        <f t="shared" si="26"/>
        <v>12.371313092184364</v>
      </c>
      <c r="AK161">
        <f t="shared" si="28"/>
        <v>1.2371313092184364E-2</v>
      </c>
      <c r="AL161">
        <f t="shared" si="29"/>
        <v>6.1856565460921824E-2</v>
      </c>
    </row>
    <row r="162" spans="1:38" x14ac:dyDescent="0.35">
      <c r="A162" s="3">
        <v>2019</v>
      </c>
      <c r="B162" s="3">
        <v>2</v>
      </c>
      <c r="C162" s="3">
        <v>21</v>
      </c>
      <c r="D162" s="2">
        <v>164</v>
      </c>
      <c r="E162" s="3" t="s">
        <v>612</v>
      </c>
      <c r="F162" s="3">
        <v>1</v>
      </c>
      <c r="G162" s="3" t="s">
        <v>45</v>
      </c>
      <c r="H162" s="3" t="str">
        <f t="shared" si="27"/>
        <v>2011</v>
      </c>
      <c r="I162" s="3">
        <v>8</v>
      </c>
      <c r="J162" s="69"/>
      <c r="K162" s="3" t="s">
        <v>236</v>
      </c>
      <c r="L162" s="3" t="s">
        <v>317</v>
      </c>
      <c r="M162" s="3">
        <v>2</v>
      </c>
      <c r="N162" s="3">
        <v>292</v>
      </c>
      <c r="O162" s="3" t="str">
        <f t="shared" si="24"/>
        <v>2007</v>
      </c>
      <c r="P162" s="2">
        <v>164</v>
      </c>
      <c r="Y162">
        <v>3.12</v>
      </c>
      <c r="AH162">
        <v>4.51</v>
      </c>
      <c r="AI162">
        <f t="shared" si="25"/>
        <v>1.0994824090984676</v>
      </c>
      <c r="AJ162">
        <f t="shared" si="26"/>
        <v>12.574259218680105</v>
      </c>
      <c r="AK162">
        <f t="shared" si="28"/>
        <v>1.2574259218680104E-2</v>
      </c>
      <c r="AL162">
        <f t="shared" si="29"/>
        <v>6.2871296093400517E-2</v>
      </c>
    </row>
    <row r="163" spans="1:38" x14ac:dyDescent="0.35">
      <c r="A163" s="3">
        <v>2017</v>
      </c>
      <c r="B163" s="3">
        <v>8</v>
      </c>
      <c r="C163" s="3">
        <v>8</v>
      </c>
      <c r="D163" s="2">
        <v>74</v>
      </c>
      <c r="E163" s="14" t="s">
        <v>519</v>
      </c>
      <c r="F163" s="15">
        <v>3</v>
      </c>
      <c r="G163" s="3" t="s">
        <v>45</v>
      </c>
      <c r="H163" s="3" t="str">
        <f t="shared" si="27"/>
        <v>2009</v>
      </c>
      <c r="I163" s="3">
        <v>8</v>
      </c>
      <c r="J163" s="69"/>
      <c r="K163" s="3" t="s">
        <v>512</v>
      </c>
      <c r="L163" s="3" t="s">
        <v>512</v>
      </c>
      <c r="M163" s="3">
        <v>20.7</v>
      </c>
      <c r="N163" s="3">
        <v>292</v>
      </c>
      <c r="O163" s="3" t="str">
        <f t="shared" si="24"/>
        <v>2007</v>
      </c>
      <c r="P163" s="2">
        <v>74</v>
      </c>
      <c r="AH163">
        <v>4.5199999999999996</v>
      </c>
      <c r="AI163">
        <f t="shared" si="25"/>
        <v>1.1018275040701497</v>
      </c>
      <c r="AJ163">
        <f t="shared" si="26"/>
        <v>12.642341109435984</v>
      </c>
      <c r="AK163">
        <f t="shared" si="28"/>
        <v>1.2642341109435984E-2</v>
      </c>
      <c r="AL163">
        <f t="shared" si="29"/>
        <v>6.3211705547179919E-2</v>
      </c>
    </row>
    <row r="164" spans="1:38" x14ac:dyDescent="0.35">
      <c r="A164" s="3">
        <v>2016</v>
      </c>
      <c r="B164" s="3">
        <v>9</v>
      </c>
      <c r="C164" s="3">
        <v>2</v>
      </c>
      <c r="D164" s="2">
        <v>218</v>
      </c>
      <c r="E164" s="3" t="s">
        <v>676</v>
      </c>
      <c r="F164" s="3">
        <v>3</v>
      </c>
      <c r="G164" s="3" t="s">
        <v>41</v>
      </c>
      <c r="H164" s="3" t="str">
        <f t="shared" si="27"/>
        <v>2013</v>
      </c>
      <c r="I164" s="3">
        <v>3</v>
      </c>
      <c r="J164" s="69"/>
      <c r="K164" s="3" t="s">
        <v>49</v>
      </c>
      <c r="L164" s="3" t="s">
        <v>318</v>
      </c>
      <c r="M164" s="3">
        <v>1.9</v>
      </c>
      <c r="N164" s="3">
        <v>293</v>
      </c>
      <c r="O164" s="3" t="str">
        <f t="shared" si="24"/>
        <v>2011</v>
      </c>
      <c r="P164" s="2">
        <v>218</v>
      </c>
      <c r="Y164">
        <v>3.66</v>
      </c>
      <c r="AH164">
        <v>4.5199999999999996</v>
      </c>
      <c r="AI164">
        <f t="shared" si="25"/>
        <v>1.1018275040701497</v>
      </c>
      <c r="AJ164">
        <f t="shared" si="26"/>
        <v>12.642341109435984</v>
      </c>
      <c r="AK164">
        <f t="shared" si="28"/>
        <v>1.2642341109435984E-2</v>
      </c>
      <c r="AL164">
        <f t="shared" si="29"/>
        <v>6.3211705547179919E-2</v>
      </c>
    </row>
    <row r="165" spans="1:38" x14ac:dyDescent="0.35">
      <c r="A165" s="3">
        <v>2016</v>
      </c>
      <c r="B165" s="3">
        <v>8</v>
      </c>
      <c r="C165" s="3">
        <v>30</v>
      </c>
      <c r="D165" s="2">
        <v>270</v>
      </c>
      <c r="E165" s="3" t="s">
        <v>732</v>
      </c>
      <c r="F165" s="3">
        <v>3</v>
      </c>
      <c r="G165" s="3" t="s">
        <v>45</v>
      </c>
      <c r="H165" s="3" t="str">
        <f t="shared" si="27"/>
        <v>2009</v>
      </c>
      <c r="I165" s="3">
        <v>7</v>
      </c>
      <c r="J165" s="69"/>
      <c r="K165" s="3" t="s">
        <v>731</v>
      </c>
      <c r="L165" s="3" t="s">
        <v>512</v>
      </c>
      <c r="M165" s="3">
        <v>18.399999999999999</v>
      </c>
      <c r="N165" s="3">
        <v>293</v>
      </c>
      <c r="O165" s="3" t="str">
        <f t="shared" si="24"/>
        <v>2007</v>
      </c>
      <c r="P165" s="2">
        <v>270</v>
      </c>
      <c r="AH165">
        <v>4.5199999999999996</v>
      </c>
      <c r="AI165">
        <f t="shared" si="25"/>
        <v>1.1018275040701497</v>
      </c>
      <c r="AJ165">
        <f t="shared" si="26"/>
        <v>12.642341109435984</v>
      </c>
      <c r="AK165">
        <f t="shared" si="28"/>
        <v>1.2642341109435984E-2</v>
      </c>
      <c r="AL165">
        <f t="shared" si="29"/>
        <v>6.3211705547179919E-2</v>
      </c>
    </row>
    <row r="166" spans="1:38" x14ac:dyDescent="0.35">
      <c r="A166" s="3">
        <v>2023</v>
      </c>
      <c r="B166" s="3">
        <v>8</v>
      </c>
      <c r="C166" s="3">
        <v>2</v>
      </c>
      <c r="D166" s="2">
        <v>431</v>
      </c>
      <c r="E166" s="3" t="s">
        <v>892</v>
      </c>
      <c r="F166" s="3">
        <v>3</v>
      </c>
      <c r="G166" s="3" t="s">
        <v>225</v>
      </c>
      <c r="H166" s="3" t="str">
        <f t="shared" si="27"/>
        <v>2022</v>
      </c>
      <c r="I166" s="3">
        <v>1</v>
      </c>
      <c r="J166" s="69"/>
      <c r="K166" s="3" t="s">
        <v>67</v>
      </c>
      <c r="L166" s="3">
        <v>2</v>
      </c>
      <c r="M166" s="3">
        <v>21.1</v>
      </c>
      <c r="N166" s="3">
        <v>293</v>
      </c>
      <c r="O166" s="3" t="str">
        <f t="shared" si="24"/>
        <v>2021</v>
      </c>
      <c r="P166" s="2">
        <v>431</v>
      </c>
      <c r="AH166">
        <v>4.54</v>
      </c>
      <c r="AI166">
        <f t="shared" si="25"/>
        <v>1.1065021692656194</v>
      </c>
      <c r="AJ166">
        <f t="shared" si="26"/>
        <v>12.779155926348089</v>
      </c>
      <c r="AK166">
        <f t="shared" si="28"/>
        <v>1.2779155926348089E-2</v>
      </c>
      <c r="AL166">
        <f t="shared" si="29"/>
        <v>6.3895779631740451E-2</v>
      </c>
    </row>
    <row r="167" spans="1:38" x14ac:dyDescent="0.35">
      <c r="A167" s="3">
        <v>2016</v>
      </c>
      <c r="B167" s="3">
        <v>9</v>
      </c>
      <c r="C167" s="3">
        <v>1</v>
      </c>
      <c r="D167" s="2">
        <v>221</v>
      </c>
      <c r="E167" s="3" t="s">
        <v>679</v>
      </c>
      <c r="F167" s="3">
        <v>3</v>
      </c>
      <c r="G167" s="3" t="s">
        <v>41</v>
      </c>
      <c r="H167" s="3" t="str">
        <f t="shared" si="27"/>
        <v>2012</v>
      </c>
      <c r="I167" s="3">
        <v>4</v>
      </c>
      <c r="J167" s="69"/>
      <c r="K167" s="3" t="s">
        <v>551</v>
      </c>
      <c r="L167" s="3" t="s">
        <v>461</v>
      </c>
      <c r="M167" s="3">
        <v>24.6</v>
      </c>
      <c r="N167" s="3">
        <v>294</v>
      </c>
      <c r="O167" s="3" t="str">
        <f t="shared" si="24"/>
        <v>2011</v>
      </c>
      <c r="P167" s="2">
        <v>221</v>
      </c>
      <c r="U167">
        <v>4.32</v>
      </c>
      <c r="AH167">
        <v>4.58</v>
      </c>
      <c r="AI167">
        <f t="shared" si="25"/>
        <v>1.1157900353734331</v>
      </c>
      <c r="AJ167">
        <f t="shared" si="26"/>
        <v>13.055395575248548</v>
      </c>
      <c r="AK167">
        <f t="shared" si="28"/>
        <v>1.3055395575248548E-2</v>
      </c>
      <c r="AL167">
        <f t="shared" si="29"/>
        <v>6.5276977876242731E-2</v>
      </c>
    </row>
    <row r="168" spans="1:38" x14ac:dyDescent="0.35">
      <c r="A168" s="3">
        <v>2016</v>
      </c>
      <c r="B168" s="3">
        <v>9</v>
      </c>
      <c r="C168" s="3">
        <v>1</v>
      </c>
      <c r="D168" s="2">
        <v>221</v>
      </c>
      <c r="E168" s="3" t="s">
        <v>679</v>
      </c>
      <c r="F168" s="3">
        <v>3</v>
      </c>
      <c r="G168" s="3" t="s">
        <v>41</v>
      </c>
      <c r="H168" s="3" t="str">
        <f t="shared" si="27"/>
        <v>2012</v>
      </c>
      <c r="I168" s="3">
        <v>4</v>
      </c>
      <c r="J168" s="69"/>
      <c r="K168" s="3" t="s">
        <v>551</v>
      </c>
      <c r="L168" s="3" t="s">
        <v>461</v>
      </c>
      <c r="M168" s="3">
        <v>24.6</v>
      </c>
      <c r="N168" s="3">
        <v>294</v>
      </c>
      <c r="O168" s="3" t="str">
        <f t="shared" si="24"/>
        <v>2011</v>
      </c>
      <c r="P168" s="2">
        <v>221</v>
      </c>
      <c r="U168">
        <v>3.45</v>
      </c>
      <c r="AH168">
        <v>4.59</v>
      </c>
      <c r="AI168">
        <f t="shared" si="25"/>
        <v>1.118099327339843</v>
      </c>
      <c r="AJ168">
        <f t="shared" si="26"/>
        <v>13.125000461234887</v>
      </c>
      <c r="AK168">
        <f t="shared" si="28"/>
        <v>1.3125000461234887E-2</v>
      </c>
      <c r="AL168">
        <f t="shared" si="29"/>
        <v>6.5625002306174435E-2</v>
      </c>
    </row>
    <row r="169" spans="1:38" x14ac:dyDescent="0.35">
      <c r="A169" s="3">
        <v>2022</v>
      </c>
      <c r="B169" s="3" t="s">
        <v>28</v>
      </c>
      <c r="C169" s="3" t="s">
        <v>28</v>
      </c>
      <c r="D169" s="2">
        <v>113</v>
      </c>
      <c r="E169" s="14" t="s">
        <v>560</v>
      </c>
      <c r="F169" s="15" t="s">
        <v>28</v>
      </c>
      <c r="G169" s="3" t="s">
        <v>225</v>
      </c>
      <c r="H169" s="3" t="str">
        <f t="shared" si="27"/>
        <v>2021</v>
      </c>
      <c r="I169" s="3">
        <v>1</v>
      </c>
      <c r="J169" s="69"/>
      <c r="K169" s="3">
        <v>4</v>
      </c>
      <c r="L169" s="3">
        <v>4</v>
      </c>
      <c r="M169" s="3">
        <v>20.8</v>
      </c>
      <c r="N169" s="3">
        <v>295</v>
      </c>
      <c r="O169" s="3" t="str">
        <f t="shared" si="24"/>
        <v>2021</v>
      </c>
      <c r="P169" s="2">
        <v>113</v>
      </c>
      <c r="AH169">
        <v>4.62</v>
      </c>
      <c r="AI169">
        <f t="shared" si="25"/>
        <v>1.124997136405834</v>
      </c>
      <c r="AJ169">
        <f t="shared" si="26"/>
        <v>13.335126393930659</v>
      </c>
    </row>
    <row r="170" spans="1:38" x14ac:dyDescent="0.35">
      <c r="A170" s="3">
        <v>2017</v>
      </c>
      <c r="B170" s="3">
        <v>2</v>
      </c>
      <c r="C170" s="3">
        <v>10</v>
      </c>
      <c r="D170" s="2">
        <v>140</v>
      </c>
      <c r="E170" s="14" t="s">
        <v>586</v>
      </c>
      <c r="F170" s="15">
        <v>1</v>
      </c>
      <c r="G170" s="3" t="s">
        <v>41</v>
      </c>
      <c r="H170" s="3" t="str">
        <f t="shared" si="27"/>
        <v>2013</v>
      </c>
      <c r="I170" s="3">
        <v>4</v>
      </c>
      <c r="J170" s="69"/>
      <c r="K170" s="3" t="s">
        <v>91</v>
      </c>
      <c r="L170" s="3" t="s">
        <v>318</v>
      </c>
      <c r="M170" s="3">
        <v>16.100000000000001</v>
      </c>
      <c r="N170" s="3">
        <v>295</v>
      </c>
      <c r="O170" s="3" t="str">
        <f t="shared" si="24"/>
        <v>2011</v>
      </c>
      <c r="P170" s="2">
        <v>140</v>
      </c>
      <c r="AH170">
        <v>4.66</v>
      </c>
      <c r="AI170">
        <f t="shared" si="25"/>
        <v>1.1341248648902205</v>
      </c>
      <c r="AJ170">
        <f t="shared" si="26"/>
        <v>13.618361704730157</v>
      </c>
      <c r="AK170">
        <f t="shared" ref="AK170:AK217" si="30">AJ170/1000</f>
        <v>1.3618361704730157E-2</v>
      </c>
      <c r="AL170">
        <f t="shared" ref="AL170:AL217" si="31">5*AK170</f>
        <v>6.8091808523650779E-2</v>
      </c>
    </row>
    <row r="171" spans="1:38" x14ac:dyDescent="0.35">
      <c r="A171" s="3">
        <v>2023</v>
      </c>
      <c r="B171" s="3">
        <v>11</v>
      </c>
      <c r="C171" s="3">
        <v>14</v>
      </c>
      <c r="D171" s="2">
        <v>516</v>
      </c>
      <c r="E171" s="3" t="s">
        <v>968</v>
      </c>
      <c r="F171" s="3">
        <v>4</v>
      </c>
      <c r="G171" s="3" t="s">
        <v>225</v>
      </c>
      <c r="H171" s="3" t="str">
        <f t="shared" si="27"/>
        <v>2021</v>
      </c>
      <c r="I171" s="3">
        <v>2</v>
      </c>
      <c r="J171" s="69"/>
      <c r="K171" s="3" t="s">
        <v>227</v>
      </c>
      <c r="L171" s="3">
        <v>4</v>
      </c>
      <c r="M171" s="3">
        <v>23.2</v>
      </c>
      <c r="N171" s="3">
        <v>295</v>
      </c>
      <c r="O171" s="3" t="str">
        <f t="shared" si="24"/>
        <v>2021</v>
      </c>
      <c r="P171" s="2">
        <v>516</v>
      </c>
      <c r="AH171">
        <v>4.71</v>
      </c>
      <c r="AI171">
        <f t="shared" si="25"/>
        <v>1.1454249715802489</v>
      </c>
      <c r="AJ171">
        <f t="shared" si="26"/>
        <v>13.977354226409542</v>
      </c>
      <c r="AK171">
        <f t="shared" si="30"/>
        <v>1.3977354226409541E-2</v>
      </c>
      <c r="AL171">
        <f t="shared" si="31"/>
        <v>6.9886771132047706E-2</v>
      </c>
    </row>
    <row r="172" spans="1:38" x14ac:dyDescent="0.35">
      <c r="A172" s="3">
        <v>2017</v>
      </c>
      <c r="B172" s="3">
        <v>8</v>
      </c>
      <c r="C172" s="3">
        <v>14</v>
      </c>
      <c r="D172" s="2">
        <v>135</v>
      </c>
      <c r="E172" s="14" t="s">
        <v>580</v>
      </c>
      <c r="F172" s="15">
        <v>3</v>
      </c>
      <c r="G172" s="3" t="s">
        <v>45</v>
      </c>
      <c r="H172" s="3" t="str">
        <f t="shared" si="27"/>
        <v>2011</v>
      </c>
      <c r="I172" s="3">
        <v>6</v>
      </c>
      <c r="J172" s="69"/>
      <c r="K172" s="3" t="s">
        <v>317</v>
      </c>
      <c r="L172" s="3" t="s">
        <v>317</v>
      </c>
      <c r="M172" s="3">
        <v>14.4</v>
      </c>
      <c r="N172" s="3">
        <v>296</v>
      </c>
      <c r="O172" s="3" t="str">
        <f t="shared" si="24"/>
        <v>2007</v>
      </c>
      <c r="P172" s="2">
        <v>135</v>
      </c>
      <c r="W172">
        <v>1.98</v>
      </c>
      <c r="AH172">
        <v>4.71</v>
      </c>
      <c r="AI172">
        <f t="shared" si="25"/>
        <v>1.1454249715802489</v>
      </c>
      <c r="AJ172">
        <f t="shared" si="26"/>
        <v>13.977354226409542</v>
      </c>
      <c r="AK172">
        <f t="shared" si="30"/>
        <v>1.3977354226409541E-2</v>
      </c>
      <c r="AL172">
        <f t="shared" si="31"/>
        <v>6.9886771132047706E-2</v>
      </c>
    </row>
    <row r="173" spans="1:38" x14ac:dyDescent="0.35">
      <c r="A173" s="3">
        <v>2017</v>
      </c>
      <c r="B173" s="3">
        <v>11</v>
      </c>
      <c r="C173" s="3">
        <v>9</v>
      </c>
      <c r="D173" s="2">
        <v>72</v>
      </c>
      <c r="E173" s="14" t="s">
        <v>517</v>
      </c>
      <c r="F173" s="15">
        <v>4</v>
      </c>
      <c r="G173" s="3" t="s">
        <v>45</v>
      </c>
      <c r="H173" s="3" t="str">
        <f t="shared" si="27"/>
        <v>2011</v>
      </c>
      <c r="I173" s="3">
        <v>6</v>
      </c>
      <c r="J173" s="69"/>
      <c r="K173" s="3" t="s">
        <v>317</v>
      </c>
      <c r="L173" s="3" t="s">
        <v>317</v>
      </c>
      <c r="M173" s="3">
        <v>2</v>
      </c>
      <c r="N173" s="3">
        <v>297</v>
      </c>
      <c r="O173" s="3" t="str">
        <f t="shared" si="24"/>
        <v>2007</v>
      </c>
      <c r="P173" s="2">
        <v>72</v>
      </c>
      <c r="AH173">
        <v>4.71</v>
      </c>
      <c r="AI173">
        <f t="shared" si="25"/>
        <v>1.1454249715802489</v>
      </c>
      <c r="AJ173">
        <f t="shared" si="26"/>
        <v>13.977354226409542</v>
      </c>
      <c r="AK173">
        <f t="shared" si="30"/>
        <v>1.3977354226409541E-2</v>
      </c>
      <c r="AL173">
        <f t="shared" si="31"/>
        <v>6.9886771132047706E-2</v>
      </c>
    </row>
    <row r="174" spans="1:38" x14ac:dyDescent="0.35">
      <c r="A174" s="3">
        <v>2019</v>
      </c>
      <c r="B174" s="3">
        <v>11</v>
      </c>
      <c r="C174" s="3">
        <v>27</v>
      </c>
      <c r="D174" s="2">
        <v>52</v>
      </c>
      <c r="E174" s="3" t="s">
        <v>495</v>
      </c>
      <c r="F174" s="3">
        <v>4</v>
      </c>
      <c r="G174" s="3" t="s">
        <v>45</v>
      </c>
      <c r="H174" s="3" t="str">
        <f t="shared" si="27"/>
        <v>2009</v>
      </c>
      <c r="I174" s="3">
        <v>10</v>
      </c>
      <c r="J174" s="69"/>
      <c r="K174" s="3" t="s">
        <v>488</v>
      </c>
      <c r="L174" s="3" t="s">
        <v>488</v>
      </c>
      <c r="M174" s="3">
        <v>18.600000000000001</v>
      </c>
      <c r="N174" s="3">
        <v>298</v>
      </c>
      <c r="O174" s="3" t="str">
        <f t="shared" si="24"/>
        <v>2007</v>
      </c>
      <c r="P174" s="2">
        <v>52</v>
      </c>
      <c r="AH174">
        <v>4.74</v>
      </c>
      <c r="AI174">
        <f t="shared" si="25"/>
        <v>1.1521475970014197</v>
      </c>
      <c r="AJ174">
        <f t="shared" si="26"/>
        <v>14.1953987695459</v>
      </c>
      <c r="AK174">
        <f t="shared" si="30"/>
        <v>1.4195398769545901E-2</v>
      </c>
      <c r="AL174">
        <f t="shared" si="31"/>
        <v>7.09769938477295E-2</v>
      </c>
    </row>
    <row r="175" spans="1:38" x14ac:dyDescent="0.35">
      <c r="A175" s="3">
        <v>2016</v>
      </c>
      <c r="B175" s="3">
        <v>11</v>
      </c>
      <c r="C175" s="3">
        <v>8</v>
      </c>
      <c r="D175" s="2">
        <v>181</v>
      </c>
      <c r="E175" s="3" t="s">
        <v>631</v>
      </c>
      <c r="F175" s="3">
        <v>4</v>
      </c>
      <c r="G175" s="3" t="s">
        <v>45</v>
      </c>
      <c r="H175" s="3" t="str">
        <f t="shared" si="27"/>
        <v>2011</v>
      </c>
      <c r="I175" s="3">
        <v>5</v>
      </c>
      <c r="J175" s="69"/>
      <c r="K175" s="3" t="s">
        <v>632</v>
      </c>
      <c r="L175" s="3" t="s">
        <v>317</v>
      </c>
      <c r="M175" s="3">
        <v>18.5</v>
      </c>
      <c r="N175" s="3">
        <v>299</v>
      </c>
      <c r="O175" s="3" t="str">
        <f t="shared" si="24"/>
        <v>2007</v>
      </c>
      <c r="P175" s="2">
        <v>181</v>
      </c>
      <c r="AH175">
        <v>4.8099999999999996</v>
      </c>
      <c r="AI175">
        <f t="shared" si="25"/>
        <v>1.1676696961994018</v>
      </c>
      <c r="AJ175">
        <f t="shared" si="26"/>
        <v>14.711931570345484</v>
      </c>
      <c r="AK175">
        <f t="shared" si="30"/>
        <v>1.4711931570345484E-2</v>
      </c>
      <c r="AL175">
        <f t="shared" si="31"/>
        <v>7.3559657851727411E-2</v>
      </c>
    </row>
    <row r="176" spans="1:38" x14ac:dyDescent="0.35">
      <c r="A176" s="3">
        <v>2023</v>
      </c>
      <c r="B176" s="3">
        <v>7</v>
      </c>
      <c r="C176" s="3">
        <v>19</v>
      </c>
      <c r="D176" s="2">
        <v>350</v>
      </c>
      <c r="E176" s="3" t="s">
        <v>816</v>
      </c>
      <c r="F176" s="3">
        <v>3</v>
      </c>
      <c r="G176" s="3" t="s">
        <v>41</v>
      </c>
      <c r="H176" s="3" t="str">
        <f t="shared" si="27"/>
        <v>2013</v>
      </c>
      <c r="I176" s="3">
        <v>10</v>
      </c>
      <c r="J176" s="69"/>
      <c r="K176" s="3" t="s">
        <v>583</v>
      </c>
      <c r="L176" s="3" t="s">
        <v>318</v>
      </c>
      <c r="M176" s="3">
        <v>19.600000000000001</v>
      </c>
      <c r="N176" s="3">
        <v>300</v>
      </c>
      <c r="O176" s="3" t="str">
        <f t="shared" si="24"/>
        <v>2011</v>
      </c>
      <c r="P176" s="2">
        <v>350</v>
      </c>
      <c r="AH176">
        <v>4.82</v>
      </c>
      <c r="AI176">
        <f t="shared" si="25"/>
        <v>1.1698686792263153</v>
      </c>
      <c r="AJ176">
        <f t="shared" si="26"/>
        <v>14.78661207044742</v>
      </c>
      <c r="AK176">
        <f t="shared" si="30"/>
        <v>1.478661207044742E-2</v>
      </c>
      <c r="AL176">
        <f t="shared" si="31"/>
        <v>7.3933060352237095E-2</v>
      </c>
    </row>
    <row r="177" spans="1:38" x14ac:dyDescent="0.35">
      <c r="A177" s="3">
        <v>2023</v>
      </c>
      <c r="B177" s="3">
        <v>7</v>
      </c>
      <c r="C177" s="3">
        <v>17</v>
      </c>
      <c r="D177" s="2">
        <v>393</v>
      </c>
      <c r="E177" s="3" t="s">
        <v>858</v>
      </c>
      <c r="F177" s="3">
        <v>3</v>
      </c>
      <c r="G177" s="3" t="s">
        <v>45</v>
      </c>
      <c r="H177" s="3" t="str">
        <f t="shared" si="27"/>
        <v>2011</v>
      </c>
      <c r="I177" s="3">
        <v>12</v>
      </c>
      <c r="J177" s="69"/>
      <c r="K177" s="3" t="s">
        <v>632</v>
      </c>
      <c r="L177" s="3" t="s">
        <v>317</v>
      </c>
      <c r="M177" s="3">
        <v>2.1</v>
      </c>
      <c r="N177" s="3">
        <v>300</v>
      </c>
      <c r="O177" s="3" t="str">
        <f t="shared" si="24"/>
        <v>2007</v>
      </c>
      <c r="P177" s="2">
        <v>393</v>
      </c>
      <c r="AH177">
        <v>4.82</v>
      </c>
      <c r="AI177">
        <f t="shared" si="25"/>
        <v>1.1698686792263153</v>
      </c>
      <c r="AJ177">
        <f t="shared" si="26"/>
        <v>14.78661207044742</v>
      </c>
      <c r="AK177">
        <f t="shared" si="30"/>
        <v>1.478661207044742E-2</v>
      </c>
      <c r="AL177">
        <f t="shared" si="31"/>
        <v>7.3933060352237095E-2</v>
      </c>
    </row>
    <row r="178" spans="1:38" x14ac:dyDescent="0.35">
      <c r="A178" s="3">
        <v>2024</v>
      </c>
      <c r="B178" s="3">
        <v>1</v>
      </c>
      <c r="C178" s="3">
        <v>23</v>
      </c>
      <c r="D178" s="2">
        <v>680</v>
      </c>
      <c r="E178" s="3" t="s">
        <v>1101</v>
      </c>
      <c r="F178" s="3">
        <v>1</v>
      </c>
      <c r="G178" s="3" t="s">
        <v>20</v>
      </c>
      <c r="H178" s="3" t="str">
        <f t="shared" si="27"/>
        <v>2020</v>
      </c>
      <c r="I178" s="3">
        <v>4</v>
      </c>
      <c r="J178" s="69"/>
      <c r="K178" t="s">
        <v>783</v>
      </c>
      <c r="L178">
        <v>7</v>
      </c>
      <c r="M178">
        <v>31.3</v>
      </c>
      <c r="N178" s="3">
        <v>300</v>
      </c>
      <c r="O178" s="3" t="str">
        <f t="shared" si="24"/>
        <v>2018</v>
      </c>
      <c r="P178" s="2">
        <v>680</v>
      </c>
      <c r="AH178">
        <v>4.83</v>
      </c>
      <c r="AI178">
        <f t="shared" si="25"/>
        <v>1.1720631047721866</v>
      </c>
      <c r="AJ178">
        <f t="shared" si="26"/>
        <v>14.861515705269097</v>
      </c>
      <c r="AK178">
        <f t="shared" si="30"/>
        <v>1.4861515705269097E-2</v>
      </c>
      <c r="AL178">
        <f t="shared" si="31"/>
        <v>7.430757852634548E-2</v>
      </c>
    </row>
    <row r="179" spans="1:38" x14ac:dyDescent="0.35">
      <c r="A179" s="3">
        <v>2016</v>
      </c>
      <c r="B179" s="3">
        <v>11</v>
      </c>
      <c r="C179" s="3">
        <v>16</v>
      </c>
      <c r="D179" s="2">
        <v>212</v>
      </c>
      <c r="E179" s="3" t="s">
        <v>668</v>
      </c>
      <c r="F179" s="3">
        <v>4</v>
      </c>
      <c r="G179" s="3" t="s">
        <v>41</v>
      </c>
      <c r="H179" s="3" t="str">
        <f t="shared" si="27"/>
        <v>2013</v>
      </c>
      <c r="I179" s="3">
        <v>3</v>
      </c>
      <c r="J179" s="69"/>
      <c r="K179" s="3" t="s">
        <v>669</v>
      </c>
      <c r="L179" s="3" t="s">
        <v>458</v>
      </c>
      <c r="M179" s="3">
        <v>2.5</v>
      </c>
      <c r="N179" s="3">
        <v>301</v>
      </c>
      <c r="O179" s="3" t="str">
        <f t="shared" si="24"/>
        <v>2011</v>
      </c>
      <c r="P179" s="2">
        <v>212</v>
      </c>
      <c r="S179">
        <v>2.57</v>
      </c>
      <c r="AH179">
        <v>4.84</v>
      </c>
      <c r="AI179">
        <f t="shared" si="25"/>
        <v>1.1742529916890776</v>
      </c>
      <c r="AJ179">
        <f t="shared" si="26"/>
        <v>14.936642677458094</v>
      </c>
      <c r="AK179">
        <f t="shared" si="30"/>
        <v>1.4936642677458095E-2</v>
      </c>
      <c r="AL179">
        <f t="shared" si="31"/>
        <v>7.4683213387290476E-2</v>
      </c>
    </row>
    <row r="180" spans="1:38" x14ac:dyDescent="0.35">
      <c r="A180" s="3">
        <v>2023</v>
      </c>
      <c r="B180" s="3">
        <v>7</v>
      </c>
      <c r="C180" s="3">
        <v>17</v>
      </c>
      <c r="D180" s="2">
        <v>385</v>
      </c>
      <c r="E180" s="3" t="s">
        <v>850</v>
      </c>
      <c r="F180" s="3">
        <v>3</v>
      </c>
      <c r="G180" s="3" t="s">
        <v>45</v>
      </c>
      <c r="H180" s="3" t="str">
        <f t="shared" si="27"/>
        <v>2011</v>
      </c>
      <c r="I180" s="3">
        <v>12</v>
      </c>
      <c r="J180" s="69"/>
      <c r="K180" s="3" t="s">
        <v>46</v>
      </c>
      <c r="L180" s="3" t="s">
        <v>317</v>
      </c>
      <c r="M180" s="3">
        <v>18.100000000000001</v>
      </c>
      <c r="N180" s="3">
        <v>301</v>
      </c>
      <c r="O180" s="3" t="str">
        <f t="shared" si="24"/>
        <v>2007</v>
      </c>
      <c r="P180" s="2">
        <v>385</v>
      </c>
      <c r="T180">
        <v>3.34</v>
      </c>
      <c r="AH180">
        <v>4.8499999999999996</v>
      </c>
      <c r="AI180">
        <f t="shared" si="25"/>
        <v>1.1764383587123188</v>
      </c>
      <c r="AJ180">
        <f t="shared" si="26"/>
        <v>15.011993189426338</v>
      </c>
      <c r="AK180">
        <f t="shared" si="30"/>
        <v>1.5011993189426339E-2</v>
      </c>
      <c r="AL180">
        <f t="shared" si="31"/>
        <v>7.5059965947131699E-2</v>
      </c>
    </row>
    <row r="181" spans="1:38" x14ac:dyDescent="0.35">
      <c r="A181" s="3">
        <v>2016</v>
      </c>
      <c r="B181" s="3">
        <v>9</v>
      </c>
      <c r="C181" s="3">
        <v>1</v>
      </c>
      <c r="D181" s="2">
        <v>267</v>
      </c>
      <c r="E181" s="3" t="s">
        <v>728</v>
      </c>
      <c r="F181" s="3">
        <v>3</v>
      </c>
      <c r="G181" s="3" t="s">
        <v>45</v>
      </c>
      <c r="H181" s="3" t="str">
        <f t="shared" si="27"/>
        <v>2011</v>
      </c>
      <c r="I181" s="3">
        <v>5</v>
      </c>
      <c r="J181" s="69"/>
      <c r="K181" s="3" t="s">
        <v>718</v>
      </c>
      <c r="L181" s="3" t="s">
        <v>317</v>
      </c>
      <c r="M181" s="3">
        <v>20.399999999999999</v>
      </c>
      <c r="N181" s="3">
        <v>302</v>
      </c>
      <c r="O181" s="3" t="str">
        <f t="shared" si="24"/>
        <v>2007</v>
      </c>
      <c r="P181" s="2">
        <v>267</v>
      </c>
      <c r="T181">
        <v>2.2000000000000002</v>
      </c>
      <c r="W181">
        <v>3.03</v>
      </c>
      <c r="AH181">
        <v>4.8600000000000003</v>
      </c>
      <c r="AI181">
        <f t="shared" si="25"/>
        <v>1.1786192244614713</v>
      </c>
      <c r="AJ181">
        <f t="shared" si="26"/>
        <v>15.087567443350832</v>
      </c>
      <c r="AK181">
        <f t="shared" si="30"/>
        <v>1.5087567443350831E-2</v>
      </c>
      <c r="AL181">
        <f t="shared" si="31"/>
        <v>7.543783721675415E-2</v>
      </c>
    </row>
    <row r="182" spans="1:38" x14ac:dyDescent="0.35">
      <c r="A182" s="3">
        <v>2017</v>
      </c>
      <c r="B182" s="3">
        <v>11</v>
      </c>
      <c r="C182" s="3">
        <v>9</v>
      </c>
      <c r="D182" s="2">
        <v>81</v>
      </c>
      <c r="E182" s="14" t="s">
        <v>526</v>
      </c>
      <c r="F182" s="15">
        <v>4</v>
      </c>
      <c r="G182" s="3" t="s">
        <v>45</v>
      </c>
      <c r="H182" s="3" t="str">
        <f t="shared" si="27"/>
        <v>2011</v>
      </c>
      <c r="I182" s="3">
        <v>6</v>
      </c>
      <c r="J182" s="69"/>
      <c r="K182" s="3" t="s">
        <v>317</v>
      </c>
      <c r="L182" s="3" t="s">
        <v>317</v>
      </c>
      <c r="M182" s="3">
        <v>19.7</v>
      </c>
      <c r="N182" s="3">
        <v>304</v>
      </c>
      <c r="O182" s="3" t="str">
        <f t="shared" si="24"/>
        <v>2007</v>
      </c>
      <c r="P182" s="2">
        <v>81</v>
      </c>
      <c r="AH182">
        <v>4.87</v>
      </c>
      <c r="AI182">
        <f t="shared" si="25"/>
        <v>1.1807956074412786</v>
      </c>
      <c r="AJ182">
        <f t="shared" si="26"/>
        <v>15.163365641174481</v>
      </c>
      <c r="AK182">
        <f t="shared" si="30"/>
        <v>1.5163365641174481E-2</v>
      </c>
      <c r="AL182">
        <f t="shared" si="31"/>
        <v>7.5816828205872405E-2</v>
      </c>
    </row>
    <row r="183" spans="1:38" x14ac:dyDescent="0.35">
      <c r="A183" s="3">
        <v>2024</v>
      </c>
      <c r="B183" s="3">
        <v>2</v>
      </c>
      <c r="C183" s="3">
        <v>23</v>
      </c>
      <c r="D183" s="2">
        <v>636</v>
      </c>
      <c r="E183" s="3" t="s">
        <v>1072</v>
      </c>
      <c r="F183" s="3">
        <v>1</v>
      </c>
      <c r="G183" s="3" t="s">
        <v>225</v>
      </c>
      <c r="H183" s="3" t="str">
        <f t="shared" si="27"/>
        <v>2022</v>
      </c>
      <c r="I183" s="3">
        <v>2</v>
      </c>
      <c r="J183" s="69"/>
      <c r="K183" t="s">
        <v>21</v>
      </c>
      <c r="L183" s="3">
        <v>2</v>
      </c>
      <c r="M183">
        <v>25.8</v>
      </c>
      <c r="N183" s="3">
        <v>304</v>
      </c>
      <c r="O183" s="3" t="str">
        <f t="shared" si="24"/>
        <v>2021</v>
      </c>
      <c r="P183" s="2">
        <v>636</v>
      </c>
      <c r="AH183">
        <v>4.9000000000000004</v>
      </c>
      <c r="AI183">
        <f t="shared" si="25"/>
        <v>1.1872980431095166</v>
      </c>
      <c r="AJ183">
        <f t="shared" si="26"/>
        <v>15.39210591397276</v>
      </c>
      <c r="AK183">
        <f t="shared" si="30"/>
        <v>1.539210591397276E-2</v>
      </c>
      <c r="AL183">
        <f t="shared" si="31"/>
        <v>7.6960529569863795E-2</v>
      </c>
    </row>
    <row r="184" spans="1:38" x14ac:dyDescent="0.35">
      <c r="A184" s="3">
        <v>2016</v>
      </c>
      <c r="B184" s="3">
        <v>8</v>
      </c>
      <c r="C184" s="3">
        <v>30</v>
      </c>
      <c r="D184" s="2">
        <v>213</v>
      </c>
      <c r="E184" s="3" t="s">
        <v>670</v>
      </c>
      <c r="F184" s="3">
        <v>3</v>
      </c>
      <c r="G184" s="3" t="s">
        <v>45</v>
      </c>
      <c r="H184" s="3" t="str">
        <f t="shared" si="27"/>
        <v>2009</v>
      </c>
      <c r="I184" s="3">
        <v>7</v>
      </c>
      <c r="J184" s="69"/>
      <c r="K184" s="3" t="s">
        <v>671</v>
      </c>
      <c r="L184" s="3" t="s">
        <v>512</v>
      </c>
      <c r="M184" s="3">
        <v>23.9</v>
      </c>
      <c r="N184" s="3">
        <v>305</v>
      </c>
      <c r="O184" s="3" t="str">
        <f t="shared" si="24"/>
        <v>2007</v>
      </c>
      <c r="P184" s="2">
        <v>213</v>
      </c>
      <c r="W184">
        <v>2.87</v>
      </c>
      <c r="AH184">
        <v>4.91</v>
      </c>
      <c r="AI184">
        <f t="shared" si="25"/>
        <v>1.1894566777957971</v>
      </c>
      <c r="AJ184">
        <f t="shared" si="26"/>
        <v>15.468801902165231</v>
      </c>
      <c r="AK184">
        <f t="shared" si="30"/>
        <v>1.546880190216523E-2</v>
      </c>
      <c r="AL184">
        <f t="shared" si="31"/>
        <v>7.734400951082615E-2</v>
      </c>
    </row>
    <row r="185" spans="1:38" x14ac:dyDescent="0.35">
      <c r="A185" s="3">
        <v>2017</v>
      </c>
      <c r="B185" s="3">
        <v>11</v>
      </c>
      <c r="C185" s="3">
        <v>9</v>
      </c>
      <c r="D185" s="2">
        <v>83</v>
      </c>
      <c r="E185" s="14" t="s">
        <v>528</v>
      </c>
      <c r="F185" s="15">
        <v>4</v>
      </c>
      <c r="G185" s="3" t="s">
        <v>45</v>
      </c>
      <c r="H185" s="3" t="str">
        <f t="shared" si="27"/>
        <v>2011</v>
      </c>
      <c r="I185" s="3">
        <v>6</v>
      </c>
      <c r="J185" s="69"/>
      <c r="K185" s="3" t="s">
        <v>317</v>
      </c>
      <c r="L185" s="3" t="s">
        <v>317</v>
      </c>
      <c r="M185" s="3">
        <v>19.3</v>
      </c>
      <c r="N185" s="3">
        <v>305</v>
      </c>
      <c r="O185" s="3" t="str">
        <f t="shared" si="24"/>
        <v>2007</v>
      </c>
      <c r="P185" s="2">
        <v>83</v>
      </c>
      <c r="AH185">
        <v>4.96</v>
      </c>
      <c r="AI185">
        <f t="shared" si="25"/>
        <v>1.2001843272831014</v>
      </c>
      <c r="AJ185">
        <f t="shared" si="26"/>
        <v>15.855660102686176</v>
      </c>
      <c r="AK185">
        <f t="shared" si="30"/>
        <v>1.5855660102686176E-2</v>
      </c>
      <c r="AL185">
        <f t="shared" si="31"/>
        <v>7.9278300513430877E-2</v>
      </c>
    </row>
    <row r="186" spans="1:38" x14ac:dyDescent="0.35">
      <c r="A186" s="3">
        <v>2023</v>
      </c>
      <c r="B186" s="3">
        <v>10</v>
      </c>
      <c r="C186" s="3">
        <v>30</v>
      </c>
      <c r="D186" s="2">
        <v>523</v>
      </c>
      <c r="E186" s="3" t="s">
        <v>975</v>
      </c>
      <c r="F186" s="3">
        <v>4</v>
      </c>
      <c r="G186" s="3" t="s">
        <v>225</v>
      </c>
      <c r="H186" s="3" t="str">
        <f t="shared" si="27"/>
        <v>2021</v>
      </c>
      <c r="I186" s="3">
        <v>2</v>
      </c>
      <c r="J186" s="69"/>
      <c r="K186" s="3" t="s">
        <v>237</v>
      </c>
      <c r="L186" s="3">
        <v>3</v>
      </c>
      <c r="M186" s="3">
        <v>24.7</v>
      </c>
      <c r="N186" s="3">
        <v>305</v>
      </c>
      <c r="O186" s="3" t="str">
        <f t="shared" si="24"/>
        <v>2021</v>
      </c>
      <c r="P186" s="2">
        <v>523</v>
      </c>
      <c r="AH186">
        <v>4.96</v>
      </c>
      <c r="AI186">
        <f t="shared" si="25"/>
        <v>1.2001843272831014</v>
      </c>
      <c r="AJ186">
        <f t="shared" si="26"/>
        <v>15.855660102686176</v>
      </c>
      <c r="AK186">
        <f t="shared" si="30"/>
        <v>1.5855660102686176E-2</v>
      </c>
      <c r="AL186">
        <f t="shared" si="31"/>
        <v>7.9278300513430877E-2</v>
      </c>
    </row>
    <row r="187" spans="1:38" x14ac:dyDescent="0.35">
      <c r="A187" s="3">
        <v>2024</v>
      </c>
      <c r="B187" s="3">
        <v>1</v>
      </c>
      <c r="C187" s="3">
        <v>18</v>
      </c>
      <c r="D187" s="2">
        <v>556</v>
      </c>
      <c r="E187" s="3" t="s">
        <v>1001</v>
      </c>
      <c r="F187" s="3">
        <v>1</v>
      </c>
      <c r="G187" s="3" t="s">
        <v>41</v>
      </c>
      <c r="H187" s="3" t="str">
        <f t="shared" si="27"/>
        <v>2013</v>
      </c>
      <c r="I187" s="3">
        <v>11</v>
      </c>
      <c r="J187" s="69"/>
      <c r="K187" t="s">
        <v>583</v>
      </c>
      <c r="L187" s="3" t="s">
        <v>318</v>
      </c>
      <c r="M187">
        <v>22.2</v>
      </c>
      <c r="N187" s="3">
        <v>305</v>
      </c>
      <c r="O187" s="3" t="str">
        <f t="shared" si="24"/>
        <v>2011</v>
      </c>
      <c r="P187" s="2">
        <v>556</v>
      </c>
      <c r="AH187">
        <v>4.97</v>
      </c>
      <c r="AI187">
        <f t="shared" si="25"/>
        <v>1.2023168757318636</v>
      </c>
      <c r="AJ187">
        <f t="shared" si="26"/>
        <v>15.933708795381671</v>
      </c>
      <c r="AK187">
        <f t="shared" si="30"/>
        <v>1.5933708795381672E-2</v>
      </c>
      <c r="AL187">
        <f t="shared" si="31"/>
        <v>7.9668543976908354E-2</v>
      </c>
    </row>
    <row r="188" spans="1:38" x14ac:dyDescent="0.35">
      <c r="A188" s="3">
        <v>2022</v>
      </c>
      <c r="B188" s="3">
        <v>11</v>
      </c>
      <c r="C188" s="3">
        <v>4</v>
      </c>
      <c r="D188" s="2">
        <v>104</v>
      </c>
      <c r="E188" s="14" t="s">
        <v>552</v>
      </c>
      <c r="F188" s="15">
        <v>4</v>
      </c>
      <c r="G188" s="3" t="s">
        <v>45</v>
      </c>
      <c r="H188" s="3" t="str">
        <f t="shared" si="27"/>
        <v>2011</v>
      </c>
      <c r="I188" s="3">
        <v>11</v>
      </c>
      <c r="J188" s="69"/>
      <c r="K188" s="3" t="s">
        <v>317</v>
      </c>
      <c r="L188" s="3" t="s">
        <v>317</v>
      </c>
      <c r="M188" s="3">
        <v>22.5</v>
      </c>
      <c r="N188" s="3">
        <v>307</v>
      </c>
      <c r="O188" s="3" t="str">
        <f t="shared" si="24"/>
        <v>2007</v>
      </c>
      <c r="P188" s="2">
        <v>104</v>
      </c>
      <c r="AH188">
        <v>5.01</v>
      </c>
      <c r="AI188">
        <f t="shared" si="25"/>
        <v>1.210804375664345</v>
      </c>
      <c r="AJ188">
        <f t="shared" si="26"/>
        <v>16.248167057247745</v>
      </c>
      <c r="AK188">
        <f t="shared" si="30"/>
        <v>1.6248167057247746E-2</v>
      </c>
      <c r="AL188">
        <f t="shared" si="31"/>
        <v>8.1240835286238725E-2</v>
      </c>
    </row>
    <row r="189" spans="1:38" x14ac:dyDescent="0.35">
      <c r="A189" s="3">
        <v>2022</v>
      </c>
      <c r="B189" s="3">
        <v>11</v>
      </c>
      <c r="C189" s="3">
        <v>1</v>
      </c>
      <c r="D189" s="2">
        <v>366</v>
      </c>
      <c r="E189" s="3" t="s">
        <v>832</v>
      </c>
      <c r="F189" s="3">
        <v>4</v>
      </c>
      <c r="G189" s="3" t="s">
        <v>41</v>
      </c>
      <c r="H189" s="3" t="str">
        <f t="shared" si="27"/>
        <v>2013</v>
      </c>
      <c r="I189" s="3">
        <v>9</v>
      </c>
      <c r="J189" s="69"/>
      <c r="K189" s="3" t="s">
        <v>583</v>
      </c>
      <c r="L189" s="3" t="s">
        <v>318</v>
      </c>
      <c r="M189" s="3">
        <v>16.600000000000001</v>
      </c>
      <c r="N189" s="3">
        <v>308</v>
      </c>
      <c r="O189" s="3" t="str">
        <f t="shared" si="24"/>
        <v>2011</v>
      </c>
      <c r="P189" s="2">
        <v>366</v>
      </c>
      <c r="AH189">
        <v>5.0199999999999996</v>
      </c>
      <c r="AI189">
        <f t="shared" si="25"/>
        <v>1.2129156623995572</v>
      </c>
      <c r="AJ189">
        <f t="shared" si="26"/>
        <v>16.327348489757242</v>
      </c>
      <c r="AK189">
        <f t="shared" si="30"/>
        <v>1.632734848975724E-2</v>
      </c>
      <c r="AL189">
        <f t="shared" si="31"/>
        <v>8.1636742448786201E-2</v>
      </c>
    </row>
    <row r="190" spans="1:38" x14ac:dyDescent="0.35">
      <c r="A190" s="3">
        <v>2024</v>
      </c>
      <c r="B190" s="3">
        <v>1</v>
      </c>
      <c r="C190" s="3">
        <v>17</v>
      </c>
      <c r="D190" s="2">
        <v>554</v>
      </c>
      <c r="E190" s="3" t="s">
        <v>1000</v>
      </c>
      <c r="F190" s="3">
        <v>1</v>
      </c>
      <c r="G190" s="3" t="s">
        <v>41</v>
      </c>
      <c r="H190" s="3" t="str">
        <f t="shared" si="27"/>
        <v>2013</v>
      </c>
      <c r="I190" s="3">
        <v>11</v>
      </c>
      <c r="J190" s="69"/>
      <c r="K190" t="s">
        <v>49</v>
      </c>
      <c r="L190" s="3" t="s">
        <v>318</v>
      </c>
      <c r="M190">
        <v>22.6</v>
      </c>
      <c r="N190" s="3">
        <v>309</v>
      </c>
      <c r="O190" s="3" t="str">
        <f t="shared" si="24"/>
        <v>2011</v>
      </c>
      <c r="P190" s="2">
        <v>554</v>
      </c>
      <c r="S190">
        <v>5.53</v>
      </c>
      <c r="AH190">
        <v>5.0199999999999996</v>
      </c>
      <c r="AI190">
        <f t="shared" si="25"/>
        <v>1.2129156623995572</v>
      </c>
      <c r="AJ190">
        <f t="shared" si="26"/>
        <v>16.327348489757242</v>
      </c>
      <c r="AK190">
        <f t="shared" si="30"/>
        <v>1.632734848975724E-2</v>
      </c>
      <c r="AL190">
        <f t="shared" si="31"/>
        <v>8.1636742448786201E-2</v>
      </c>
    </row>
    <row r="191" spans="1:38" x14ac:dyDescent="0.35">
      <c r="A191" s="3">
        <v>2021</v>
      </c>
      <c r="B191" s="3">
        <v>10</v>
      </c>
      <c r="C191" s="3" t="s">
        <v>28</v>
      </c>
      <c r="D191" s="2">
        <v>32</v>
      </c>
      <c r="E191" s="3" t="s">
        <v>474</v>
      </c>
      <c r="F191" s="3">
        <v>4</v>
      </c>
      <c r="G191" s="3" t="s">
        <v>41</v>
      </c>
      <c r="H191" s="3" t="str">
        <f t="shared" si="27"/>
        <v>2013</v>
      </c>
      <c r="I191" s="3">
        <v>8</v>
      </c>
      <c r="J191" s="69"/>
      <c r="K191" s="3" t="s">
        <v>318</v>
      </c>
      <c r="L191" s="3" t="s">
        <v>318</v>
      </c>
      <c r="M191" s="3">
        <v>24.7</v>
      </c>
      <c r="N191" s="3">
        <v>309</v>
      </c>
      <c r="O191" s="3" t="str">
        <f t="shared" si="24"/>
        <v>2011</v>
      </c>
      <c r="P191" s="2">
        <v>32</v>
      </c>
      <c r="AH191">
        <v>5.04</v>
      </c>
      <c r="AI191">
        <f t="shared" si="25"/>
        <v>1.2171256478541908</v>
      </c>
      <c r="AJ191">
        <f t="shared" si="26"/>
        <v>16.486392984082855</v>
      </c>
      <c r="AK191">
        <f t="shared" si="30"/>
        <v>1.6486392984082856E-2</v>
      </c>
      <c r="AL191">
        <f t="shared" si="31"/>
        <v>8.2431964920414283E-2</v>
      </c>
    </row>
    <row r="192" spans="1:38" x14ac:dyDescent="0.35">
      <c r="A192" s="3" t="s">
        <v>28</v>
      </c>
      <c r="B192" s="3" t="s">
        <v>28</v>
      </c>
      <c r="C192" s="3" t="s">
        <v>28</v>
      </c>
      <c r="D192" s="2">
        <v>404</v>
      </c>
      <c r="E192" s="3" t="s">
        <v>869</v>
      </c>
      <c r="F192" s="3" t="s">
        <v>28</v>
      </c>
      <c r="G192" s="3" t="s">
        <v>28</v>
      </c>
      <c r="H192" s="3" t="b">
        <f t="shared" si="27"/>
        <v>0</v>
      </c>
      <c r="I192" s="3" t="e">
        <v>#VALUE!</v>
      </c>
      <c r="J192" s="69"/>
      <c r="K192" s="3" t="s">
        <v>28</v>
      </c>
      <c r="L192" s="3" t="s">
        <v>28</v>
      </c>
      <c r="M192" s="3">
        <v>17.399999999999999</v>
      </c>
      <c r="N192" s="3">
        <v>309</v>
      </c>
      <c r="O192" s="3" t="b">
        <f t="shared" si="24"/>
        <v>0</v>
      </c>
      <c r="P192" s="2">
        <v>404</v>
      </c>
      <c r="AH192">
        <v>5.0599999999999996</v>
      </c>
      <c r="AI192">
        <f t="shared" si="25"/>
        <v>1.2213189600554304</v>
      </c>
      <c r="AJ192">
        <f t="shared" si="26"/>
        <v>16.646347636874935</v>
      </c>
      <c r="AK192">
        <f t="shared" si="30"/>
        <v>1.6646347636874937E-2</v>
      </c>
      <c r="AL192">
        <f t="shared" si="31"/>
        <v>8.3231738184374682E-2</v>
      </c>
    </row>
    <row r="193" spans="1:38" x14ac:dyDescent="0.35">
      <c r="A193" s="3">
        <v>2017</v>
      </c>
      <c r="B193" s="3">
        <v>8</v>
      </c>
      <c r="C193" s="3">
        <v>8</v>
      </c>
      <c r="D193" s="2">
        <v>125</v>
      </c>
      <c r="E193" s="14" t="s">
        <v>570</v>
      </c>
      <c r="F193" s="15">
        <v>3</v>
      </c>
      <c r="G193" s="3" t="s">
        <v>45</v>
      </c>
      <c r="H193" s="3" t="str">
        <f t="shared" si="27"/>
        <v>2009</v>
      </c>
      <c r="I193" s="3">
        <v>8</v>
      </c>
      <c r="J193" s="69"/>
      <c r="K193" s="3" t="s">
        <v>512</v>
      </c>
      <c r="L193" s="3" t="s">
        <v>512</v>
      </c>
      <c r="M193" s="3">
        <v>21.2</v>
      </c>
      <c r="N193" s="3">
        <v>310</v>
      </c>
      <c r="O193" s="3" t="str">
        <f t="shared" si="24"/>
        <v>2007</v>
      </c>
      <c r="P193" s="2">
        <v>125</v>
      </c>
      <c r="AH193">
        <v>5.12</v>
      </c>
      <c r="AI193">
        <f t="shared" si="25"/>
        <v>1.2338001648590753</v>
      </c>
      <c r="AJ193">
        <f t="shared" si="26"/>
        <v>17.131688330380875</v>
      </c>
      <c r="AK193">
        <f t="shared" si="30"/>
        <v>1.7131688330380875E-2</v>
      </c>
      <c r="AL193">
        <f t="shared" si="31"/>
        <v>8.5658441651904366E-2</v>
      </c>
    </row>
    <row r="194" spans="1:38" x14ac:dyDescent="0.35">
      <c r="A194" s="3">
        <v>2016</v>
      </c>
      <c r="B194" s="3">
        <v>11</v>
      </c>
      <c r="C194" s="3">
        <v>7</v>
      </c>
      <c r="D194" s="2">
        <v>192</v>
      </c>
      <c r="E194" s="3" t="s">
        <v>643</v>
      </c>
      <c r="F194" s="3">
        <v>4</v>
      </c>
      <c r="G194" s="3" t="s">
        <v>45</v>
      </c>
      <c r="H194" s="3" t="str">
        <f t="shared" si="27"/>
        <v>2011</v>
      </c>
      <c r="I194" s="3">
        <v>5</v>
      </c>
      <c r="J194" s="69"/>
      <c r="K194" s="3" t="s">
        <v>644</v>
      </c>
      <c r="L194" s="3" t="s">
        <v>317</v>
      </c>
      <c r="M194" s="3">
        <v>22.3</v>
      </c>
      <c r="N194" s="3">
        <v>310</v>
      </c>
      <c r="O194" s="3" t="str">
        <f t="shared" ref="O194:O257" si="32">IF(G194="PHD", "2007", IF(G194="TSL", "2011", IF(G194 = "SRS", "2018", IF(G194="WCA 3B", "2017", IF(G194="WCA 3A", "2021")))))</f>
        <v>2007</v>
      </c>
      <c r="P194" s="2">
        <v>192</v>
      </c>
      <c r="AH194">
        <v>5.15</v>
      </c>
      <c r="AI194">
        <f t="shared" ref="AI194:AI217" si="33">((2.438)*(LOG(AH194))+(-0.4954))</f>
        <v>1.2399860244024239</v>
      </c>
      <c r="AJ194">
        <f t="shared" ref="AJ194:AJ217" si="34">10^AI194</f>
        <v>17.377449072138937</v>
      </c>
      <c r="AK194">
        <f t="shared" si="30"/>
        <v>1.7377449072138937E-2</v>
      </c>
      <c r="AL194">
        <f t="shared" si="31"/>
        <v>8.6887245360694684E-2</v>
      </c>
    </row>
    <row r="195" spans="1:38" x14ac:dyDescent="0.35">
      <c r="A195" s="3">
        <v>2023</v>
      </c>
      <c r="B195" s="3">
        <v>7</v>
      </c>
      <c r="C195" s="3">
        <v>17</v>
      </c>
      <c r="D195" s="2">
        <v>391</v>
      </c>
      <c r="E195" s="3" t="s">
        <v>856</v>
      </c>
      <c r="F195" s="3">
        <v>3</v>
      </c>
      <c r="G195" s="3" t="s">
        <v>45</v>
      </c>
      <c r="H195" s="3" t="str">
        <f t="shared" si="27"/>
        <v>2011</v>
      </c>
      <c r="I195" s="3">
        <v>12</v>
      </c>
      <c r="J195" s="69"/>
      <c r="K195" s="3" t="s">
        <v>632</v>
      </c>
      <c r="L195" s="3" t="s">
        <v>317</v>
      </c>
      <c r="M195" s="3">
        <v>20.100000000000001</v>
      </c>
      <c r="N195" s="3">
        <v>310</v>
      </c>
      <c r="O195" s="3" t="str">
        <f t="shared" si="32"/>
        <v>2007</v>
      </c>
      <c r="P195" s="2">
        <v>391</v>
      </c>
      <c r="AH195">
        <v>5.15</v>
      </c>
      <c r="AI195">
        <f t="shared" si="33"/>
        <v>1.2399860244024239</v>
      </c>
      <c r="AJ195">
        <f t="shared" si="34"/>
        <v>17.377449072138937</v>
      </c>
      <c r="AK195">
        <f t="shared" si="30"/>
        <v>1.7377449072138937E-2</v>
      </c>
      <c r="AL195">
        <f t="shared" si="31"/>
        <v>8.6887245360694684E-2</v>
      </c>
    </row>
    <row r="196" spans="1:38" x14ac:dyDescent="0.35">
      <c r="A196" s="3">
        <v>2023</v>
      </c>
      <c r="B196" s="3">
        <v>7</v>
      </c>
      <c r="C196" s="3">
        <v>21</v>
      </c>
      <c r="D196" s="2">
        <v>426</v>
      </c>
      <c r="E196" s="3" t="s">
        <v>887</v>
      </c>
      <c r="F196" s="3">
        <v>3</v>
      </c>
      <c r="G196" s="3" t="s">
        <v>20</v>
      </c>
      <c r="H196" s="3" t="str">
        <f t="shared" si="27"/>
        <v>2020</v>
      </c>
      <c r="I196" s="3">
        <v>3</v>
      </c>
      <c r="J196" s="69"/>
      <c r="K196" s="3" t="s">
        <v>231</v>
      </c>
      <c r="L196" s="3">
        <v>8</v>
      </c>
      <c r="M196" s="3">
        <v>2.7</v>
      </c>
      <c r="N196" s="3">
        <v>310</v>
      </c>
      <c r="O196" s="3" t="str">
        <f t="shared" si="32"/>
        <v>2018</v>
      </c>
      <c r="P196" s="2">
        <v>426</v>
      </c>
      <c r="AH196">
        <v>5.17</v>
      </c>
      <c r="AI196">
        <f t="shared" si="33"/>
        <v>1.244089944063032</v>
      </c>
      <c r="AJ196">
        <f t="shared" si="34"/>
        <v>17.542437748777886</v>
      </c>
      <c r="AK196">
        <f t="shared" si="30"/>
        <v>1.7542437748777884E-2</v>
      </c>
      <c r="AL196">
        <f t="shared" si="31"/>
        <v>8.7712188743889419E-2</v>
      </c>
    </row>
    <row r="197" spans="1:38" x14ac:dyDescent="0.35">
      <c r="A197" s="3">
        <v>2024</v>
      </c>
      <c r="B197" s="3">
        <v>1</v>
      </c>
      <c r="C197" s="3">
        <v>16</v>
      </c>
      <c r="D197" s="2">
        <v>590</v>
      </c>
      <c r="E197" s="3" t="s">
        <v>1033</v>
      </c>
      <c r="F197" s="3">
        <v>1</v>
      </c>
      <c r="G197" s="3" t="s">
        <v>45</v>
      </c>
      <c r="H197" s="3" t="str">
        <f t="shared" si="27"/>
        <v>2011</v>
      </c>
      <c r="I197" s="3">
        <v>13</v>
      </c>
      <c r="J197" s="69"/>
      <c r="K197" t="s">
        <v>236</v>
      </c>
      <c r="L197" s="3" t="s">
        <v>317</v>
      </c>
      <c r="M197">
        <v>28.6</v>
      </c>
      <c r="N197" s="3">
        <v>310</v>
      </c>
      <c r="O197" s="3" t="str">
        <f t="shared" si="32"/>
        <v>2007</v>
      </c>
      <c r="P197" s="2">
        <v>590</v>
      </c>
      <c r="AH197">
        <v>5.21</v>
      </c>
      <c r="AI197">
        <f t="shared" si="33"/>
        <v>1.2522503694042406</v>
      </c>
      <c r="AJ197">
        <f t="shared" si="34"/>
        <v>17.875177762511161</v>
      </c>
      <c r="AK197">
        <f t="shared" si="30"/>
        <v>1.7875177762511161E-2</v>
      </c>
      <c r="AL197">
        <f t="shared" si="31"/>
        <v>8.9375888812555801E-2</v>
      </c>
    </row>
    <row r="198" spans="1:38" x14ac:dyDescent="0.35">
      <c r="A198" s="3">
        <v>2021</v>
      </c>
      <c r="B198" s="3">
        <v>10</v>
      </c>
      <c r="C198" s="3" t="s">
        <v>28</v>
      </c>
      <c r="D198" s="2">
        <v>15</v>
      </c>
      <c r="E198" s="3" t="s">
        <v>457</v>
      </c>
      <c r="F198" s="3">
        <v>4</v>
      </c>
      <c r="G198" s="3" t="s">
        <v>41</v>
      </c>
      <c r="H198" s="3" t="str">
        <f t="shared" si="27"/>
        <v>2013</v>
      </c>
      <c r="I198" s="3">
        <v>8</v>
      </c>
      <c r="J198" s="69"/>
      <c r="K198" s="3" t="s">
        <v>458</v>
      </c>
      <c r="L198" s="3" t="s">
        <v>458</v>
      </c>
      <c r="M198" s="3">
        <v>26.4</v>
      </c>
      <c r="N198" s="3">
        <v>313</v>
      </c>
      <c r="O198" s="3" t="str">
        <f t="shared" si="32"/>
        <v>2011</v>
      </c>
      <c r="P198" s="2">
        <v>15</v>
      </c>
      <c r="AH198">
        <v>5.22</v>
      </c>
      <c r="AI198">
        <f t="shared" si="33"/>
        <v>1.2542806863195151</v>
      </c>
      <c r="AJ198">
        <f t="shared" si="34"/>
        <v>17.95893945515985</v>
      </c>
      <c r="AK198">
        <f t="shared" si="30"/>
        <v>1.7958939455159851E-2</v>
      </c>
      <c r="AL198">
        <f t="shared" si="31"/>
        <v>8.9794697275799251E-2</v>
      </c>
    </row>
    <row r="199" spans="1:38" x14ac:dyDescent="0.35">
      <c r="A199" s="3">
        <v>2017</v>
      </c>
      <c r="B199" s="3">
        <v>8</v>
      </c>
      <c r="C199" s="3">
        <v>8</v>
      </c>
      <c r="D199" s="2">
        <v>73</v>
      </c>
      <c r="E199" s="14" t="s">
        <v>518</v>
      </c>
      <c r="F199" s="15">
        <v>3</v>
      </c>
      <c r="G199" s="3" t="s">
        <v>45</v>
      </c>
      <c r="H199" s="3" t="str">
        <f t="shared" ref="H199:H262" si="35">IF(L199="A55","2009",IF(L199="A59","2009",IF(L199="A60","2010",IF(L199="A62","2011",IF(L199="CP","2013",IF(L199="MD","2012",IF(L199="TS","2013",IF(L199="DL","2018",IF(L199="SCU","2018",IF(L199="NCU","2018",IF(L199="C1C","2018",IF(L199="C1E","2018",IF(L199="RS1S","2018",IF(L199="C2B","2018",IF(L199="DB3","2018",IF(AND(L199=6,G199="SRS"),"2018",IF(AND(L199=7,G199="SRS"),"2020",IF(AND(L199=8,G199="SRS"),"2020",IF(L199=23,"2019",IF(AND(L199=7,G199="WCA 3B"),"2017",IF(AND(L199=8,G199="WCA 3B"),"2019",IF(L199=1,"2021",IF(L199=2,"2022",IF(L199=3,"2021",IF(L199=4,"2021",IF(L199=5,"2022",IF(AND(L199=6,G199="WCA 3A"),"2022",IF(L199=9,"2023",IF(L199=10,"2023",IF(L199=37,"2020"))))))))))))))))))))))))))))))</f>
        <v>2009</v>
      </c>
      <c r="I199" s="3">
        <v>8</v>
      </c>
      <c r="J199" s="69"/>
      <c r="K199" s="3" t="s">
        <v>512</v>
      </c>
      <c r="L199" s="3" t="s">
        <v>512</v>
      </c>
      <c r="M199" s="3">
        <v>21.8</v>
      </c>
      <c r="N199" s="3">
        <v>313</v>
      </c>
      <c r="O199" s="3" t="str">
        <f t="shared" si="32"/>
        <v>2007</v>
      </c>
      <c r="P199" s="2">
        <v>73</v>
      </c>
      <c r="AH199">
        <v>5.26</v>
      </c>
      <c r="AI199">
        <f t="shared" si="33"/>
        <v>1.2623632442468158</v>
      </c>
      <c r="AJ199">
        <f t="shared" si="34"/>
        <v>18.29629880220709</v>
      </c>
      <c r="AK199">
        <f t="shared" si="30"/>
        <v>1.8296298802207091E-2</v>
      </c>
      <c r="AL199">
        <f t="shared" si="31"/>
        <v>9.1481494011035461E-2</v>
      </c>
    </row>
    <row r="200" spans="1:38" x14ac:dyDescent="0.35">
      <c r="A200" s="3">
        <v>2019</v>
      </c>
      <c r="B200" s="3">
        <v>2</v>
      </c>
      <c r="C200" s="3">
        <v>18</v>
      </c>
      <c r="D200" s="2">
        <v>161</v>
      </c>
      <c r="E200" s="3" t="s">
        <v>607</v>
      </c>
      <c r="F200" s="3">
        <v>1</v>
      </c>
      <c r="G200" s="3" t="s">
        <v>41</v>
      </c>
      <c r="H200" s="3" t="str">
        <f t="shared" si="35"/>
        <v>2013</v>
      </c>
      <c r="I200" s="3">
        <v>6</v>
      </c>
      <c r="J200" s="69"/>
      <c r="K200" s="3" t="s">
        <v>608</v>
      </c>
      <c r="L200" s="3" t="s">
        <v>318</v>
      </c>
      <c r="M200" s="3">
        <v>28.2</v>
      </c>
      <c r="N200" s="3">
        <v>313</v>
      </c>
      <c r="O200" s="3" t="str">
        <f t="shared" si="32"/>
        <v>2011</v>
      </c>
      <c r="P200" s="2">
        <v>161</v>
      </c>
      <c r="AH200">
        <v>5.28</v>
      </c>
      <c r="AI200">
        <f t="shared" si="33"/>
        <v>1.2663815031374346</v>
      </c>
      <c r="AJ200">
        <f t="shared" si="34"/>
        <v>18.466368729394013</v>
      </c>
      <c r="AK200">
        <f t="shared" si="30"/>
        <v>1.8466368729394014E-2</v>
      </c>
      <c r="AL200">
        <f t="shared" si="31"/>
        <v>9.2331843646970072E-2</v>
      </c>
    </row>
    <row r="201" spans="1:38" x14ac:dyDescent="0.35">
      <c r="A201" s="3">
        <v>2023</v>
      </c>
      <c r="B201" s="3">
        <v>8</v>
      </c>
      <c r="C201" s="3">
        <v>2</v>
      </c>
      <c r="D201" s="2">
        <v>433</v>
      </c>
      <c r="E201" s="3" t="s">
        <v>894</v>
      </c>
      <c r="F201" s="3">
        <v>3</v>
      </c>
      <c r="G201" s="3" t="s">
        <v>225</v>
      </c>
      <c r="H201" s="3" t="str">
        <f t="shared" si="35"/>
        <v>2022</v>
      </c>
      <c r="I201" s="3">
        <v>1</v>
      </c>
      <c r="J201" s="69"/>
      <c r="K201" s="3" t="s">
        <v>67</v>
      </c>
      <c r="L201" s="3">
        <v>2</v>
      </c>
      <c r="M201" s="3">
        <v>25.8</v>
      </c>
      <c r="N201" s="3">
        <v>313</v>
      </c>
      <c r="O201" s="3" t="str">
        <f t="shared" si="32"/>
        <v>2021</v>
      </c>
      <c r="P201" s="2">
        <v>433</v>
      </c>
      <c r="AH201">
        <v>5.33</v>
      </c>
      <c r="AI201">
        <f t="shared" si="33"/>
        <v>1.2763609356067833</v>
      </c>
      <c r="AJ201">
        <f t="shared" si="34"/>
        <v>18.895610824884805</v>
      </c>
      <c r="AK201">
        <f t="shared" si="30"/>
        <v>1.8895610824884806E-2</v>
      </c>
      <c r="AL201">
        <f t="shared" si="31"/>
        <v>9.4478054124424032E-2</v>
      </c>
    </row>
    <row r="202" spans="1:38" x14ac:dyDescent="0.35">
      <c r="A202" s="3">
        <v>2024</v>
      </c>
      <c r="B202" s="3">
        <v>3</v>
      </c>
      <c r="C202" s="3">
        <v>13</v>
      </c>
      <c r="D202" s="2">
        <v>675</v>
      </c>
      <c r="E202" s="3" t="s">
        <v>1097</v>
      </c>
      <c r="F202" s="3">
        <v>2</v>
      </c>
      <c r="G202" s="3" t="s">
        <v>226</v>
      </c>
      <c r="H202" s="3" t="str">
        <f t="shared" si="35"/>
        <v>2017</v>
      </c>
      <c r="I202" s="3">
        <v>7</v>
      </c>
      <c r="J202" s="69"/>
      <c r="K202" t="s">
        <v>783</v>
      </c>
      <c r="L202">
        <v>7</v>
      </c>
      <c r="M202">
        <v>26.6</v>
      </c>
      <c r="N202" s="3">
        <v>313</v>
      </c>
      <c r="O202" s="3" t="str">
        <f t="shared" si="32"/>
        <v>2017</v>
      </c>
      <c r="P202" s="2">
        <v>675</v>
      </c>
      <c r="AH202">
        <v>5.35</v>
      </c>
      <c r="AI202">
        <f t="shared" si="33"/>
        <v>1.280326520567755</v>
      </c>
      <c r="AJ202">
        <f t="shared" si="34"/>
        <v>19.068938608821671</v>
      </c>
      <c r="AK202">
        <f t="shared" si="30"/>
        <v>1.9068938608821671E-2</v>
      </c>
      <c r="AL202">
        <f t="shared" si="31"/>
        <v>9.534469304410835E-2</v>
      </c>
    </row>
    <row r="203" spans="1:38" x14ac:dyDescent="0.35">
      <c r="A203" s="3">
        <v>2024</v>
      </c>
      <c r="B203">
        <v>8</v>
      </c>
      <c r="C203" s="3">
        <v>9</v>
      </c>
      <c r="D203" s="2">
        <v>855</v>
      </c>
      <c r="E203" s="3" t="s">
        <v>312</v>
      </c>
      <c r="F203" s="3">
        <v>3</v>
      </c>
      <c r="G203" t="s">
        <v>41</v>
      </c>
      <c r="H203" s="3" t="str">
        <f t="shared" si="35"/>
        <v>2013</v>
      </c>
      <c r="I203" s="3">
        <v>11</v>
      </c>
      <c r="J203" s="69"/>
      <c r="K203" t="s">
        <v>42</v>
      </c>
      <c r="L203" t="s">
        <v>318</v>
      </c>
      <c r="M203">
        <v>25.9</v>
      </c>
      <c r="N203" s="3">
        <v>313</v>
      </c>
      <c r="O203" s="3" t="str">
        <f t="shared" si="32"/>
        <v>2011</v>
      </c>
      <c r="P203" s="2">
        <v>855</v>
      </c>
      <c r="AH203">
        <v>5.35</v>
      </c>
      <c r="AI203">
        <f t="shared" si="33"/>
        <v>1.280326520567755</v>
      </c>
      <c r="AJ203">
        <f t="shared" si="34"/>
        <v>19.068938608821671</v>
      </c>
      <c r="AK203">
        <f t="shared" si="30"/>
        <v>1.9068938608821671E-2</v>
      </c>
      <c r="AL203">
        <f t="shared" si="31"/>
        <v>9.534469304410835E-2</v>
      </c>
    </row>
    <row r="204" spans="1:38" x14ac:dyDescent="0.35">
      <c r="A204" s="3">
        <v>2017</v>
      </c>
      <c r="B204" s="3">
        <v>11</v>
      </c>
      <c r="C204" s="3">
        <v>8</v>
      </c>
      <c r="D204" s="2">
        <v>67</v>
      </c>
      <c r="E204" s="3" t="s">
        <v>511</v>
      </c>
      <c r="F204" s="3">
        <v>4</v>
      </c>
      <c r="G204" s="3" t="s">
        <v>45</v>
      </c>
      <c r="H204" s="3" t="str">
        <f t="shared" si="35"/>
        <v>2009</v>
      </c>
      <c r="I204" s="3">
        <v>8</v>
      </c>
      <c r="J204" s="69"/>
      <c r="K204" s="3" t="s">
        <v>512</v>
      </c>
      <c r="L204" s="3" t="s">
        <v>512</v>
      </c>
      <c r="M204" s="3">
        <v>2.2000000000000002</v>
      </c>
      <c r="N204" s="3">
        <v>314</v>
      </c>
      <c r="O204" s="3" t="str">
        <f t="shared" si="32"/>
        <v>2007</v>
      </c>
      <c r="P204" s="2">
        <v>67</v>
      </c>
      <c r="AH204">
        <v>5.38</v>
      </c>
      <c r="AI204">
        <f t="shared" si="33"/>
        <v>1.2862471880746569</v>
      </c>
      <c r="AJ204">
        <f t="shared" si="34"/>
        <v>19.33068251464471</v>
      </c>
      <c r="AK204">
        <f t="shared" si="30"/>
        <v>1.9330682514644711E-2</v>
      </c>
      <c r="AL204">
        <f t="shared" si="31"/>
        <v>9.6653412573223546E-2</v>
      </c>
    </row>
    <row r="205" spans="1:38" x14ac:dyDescent="0.35">
      <c r="A205" s="3">
        <v>2023</v>
      </c>
      <c r="B205" s="3">
        <v>1</v>
      </c>
      <c r="C205" s="3">
        <v>30</v>
      </c>
      <c r="D205" s="2">
        <v>101</v>
      </c>
      <c r="E205" s="14" t="s">
        <v>29</v>
      </c>
      <c r="F205" s="15">
        <v>1</v>
      </c>
      <c r="G205" s="3" t="s">
        <v>225</v>
      </c>
      <c r="H205" s="3" t="str">
        <f t="shared" si="35"/>
        <v>2021</v>
      </c>
      <c r="I205" s="3">
        <v>2</v>
      </c>
      <c r="J205" s="69"/>
      <c r="K205" s="3">
        <v>1</v>
      </c>
      <c r="L205" s="3">
        <v>1</v>
      </c>
      <c r="M205" s="3">
        <v>43.4</v>
      </c>
      <c r="N205" s="3">
        <v>315</v>
      </c>
      <c r="O205" s="3" t="str">
        <f t="shared" si="32"/>
        <v>2021</v>
      </c>
      <c r="P205" s="2">
        <v>101</v>
      </c>
      <c r="S205">
        <v>3.26</v>
      </c>
      <c r="AH205">
        <v>5.39</v>
      </c>
      <c r="AI205">
        <f t="shared" si="33"/>
        <v>1.2882134095252689</v>
      </c>
      <c r="AJ205">
        <f t="shared" si="34"/>
        <v>19.418398508440042</v>
      </c>
      <c r="AK205">
        <f t="shared" si="30"/>
        <v>1.9418398508440043E-2</v>
      </c>
      <c r="AL205">
        <f t="shared" si="31"/>
        <v>9.7091992542200217E-2</v>
      </c>
    </row>
    <row r="206" spans="1:38" x14ac:dyDescent="0.35">
      <c r="A206" s="3">
        <v>2023</v>
      </c>
      <c r="B206" s="3">
        <v>11</v>
      </c>
      <c r="C206" s="3">
        <v>8</v>
      </c>
      <c r="D206" s="2">
        <v>526</v>
      </c>
      <c r="E206" s="3" t="s">
        <v>980</v>
      </c>
      <c r="F206" s="3">
        <v>4</v>
      </c>
      <c r="G206" s="3" t="s">
        <v>20</v>
      </c>
      <c r="H206" s="3" t="str">
        <f t="shared" si="35"/>
        <v>2020</v>
      </c>
      <c r="I206" s="3">
        <v>3</v>
      </c>
      <c r="J206" s="69"/>
      <c r="K206" s="3" t="s">
        <v>55</v>
      </c>
      <c r="L206" s="3">
        <v>8</v>
      </c>
      <c r="M206" s="3">
        <v>26.9</v>
      </c>
      <c r="N206" s="3">
        <v>315</v>
      </c>
      <c r="O206" s="3" t="str">
        <f t="shared" si="32"/>
        <v>2018</v>
      </c>
      <c r="P206" s="2">
        <v>526</v>
      </c>
      <c r="AH206">
        <v>5.4</v>
      </c>
      <c r="AI206">
        <f t="shared" si="33"/>
        <v>1.2901759864483973</v>
      </c>
      <c r="AJ206">
        <f t="shared" si="34"/>
        <v>19.506348832528534</v>
      </c>
      <c r="AK206">
        <f t="shared" si="30"/>
        <v>1.9506348832528535E-2</v>
      </c>
      <c r="AL206">
        <f t="shared" si="31"/>
        <v>9.7531744162642681E-2</v>
      </c>
    </row>
    <row r="207" spans="1:38" x14ac:dyDescent="0.35">
      <c r="A207" s="3">
        <v>2024</v>
      </c>
      <c r="B207" s="2">
        <v>8</v>
      </c>
      <c r="C207" s="3">
        <v>15</v>
      </c>
      <c r="D207" s="2">
        <v>774</v>
      </c>
      <c r="E207" s="3" t="s">
        <v>275</v>
      </c>
      <c r="F207" s="3">
        <v>3</v>
      </c>
      <c r="G207" s="3" t="s">
        <v>225</v>
      </c>
      <c r="H207" s="3" t="str">
        <f t="shared" si="35"/>
        <v>2021</v>
      </c>
      <c r="I207" s="3">
        <v>3</v>
      </c>
      <c r="J207" s="69"/>
      <c r="K207">
        <v>3</v>
      </c>
      <c r="L207">
        <v>3</v>
      </c>
      <c r="M207">
        <v>57.1</v>
      </c>
      <c r="N207" s="3">
        <v>315</v>
      </c>
      <c r="O207" s="3" t="str">
        <f t="shared" si="32"/>
        <v>2021</v>
      </c>
      <c r="P207" s="2">
        <v>774</v>
      </c>
      <c r="AH207">
        <v>5.44</v>
      </c>
      <c r="AI207">
        <f t="shared" si="33"/>
        <v>1.2979901174641628</v>
      </c>
      <c r="AJ207">
        <f t="shared" si="34"/>
        <v>19.860497235276114</v>
      </c>
      <c r="AK207">
        <f t="shared" si="30"/>
        <v>1.9860497235276112E-2</v>
      </c>
      <c r="AL207">
        <f t="shared" si="31"/>
        <v>9.9302486176380558E-2</v>
      </c>
    </row>
    <row r="208" spans="1:38" x14ac:dyDescent="0.35">
      <c r="A208" s="3">
        <v>2017</v>
      </c>
      <c r="B208" s="3">
        <v>8</v>
      </c>
      <c r="C208" s="3">
        <v>8</v>
      </c>
      <c r="D208" s="2">
        <v>75</v>
      </c>
      <c r="E208" s="14" t="s">
        <v>520</v>
      </c>
      <c r="F208" s="15">
        <v>3</v>
      </c>
      <c r="G208" s="3" t="s">
        <v>45</v>
      </c>
      <c r="H208" s="3" t="str">
        <f t="shared" si="35"/>
        <v>2009</v>
      </c>
      <c r="I208" s="3">
        <v>8</v>
      </c>
      <c r="J208" s="69"/>
      <c r="K208" s="3" t="s">
        <v>512</v>
      </c>
      <c r="L208" s="3" t="s">
        <v>512</v>
      </c>
      <c r="M208" s="3">
        <v>21.6</v>
      </c>
      <c r="N208" s="3">
        <v>316</v>
      </c>
      <c r="O208" s="3" t="str">
        <f t="shared" si="32"/>
        <v>2007</v>
      </c>
      <c r="P208" s="2">
        <v>75</v>
      </c>
      <c r="AH208">
        <v>5.45</v>
      </c>
      <c r="AI208">
        <f t="shared" si="33"/>
        <v>1.2999346725504544</v>
      </c>
      <c r="AJ208">
        <f t="shared" si="34"/>
        <v>19.949622061700687</v>
      </c>
      <c r="AK208">
        <f t="shared" si="30"/>
        <v>1.9949622061700686E-2</v>
      </c>
      <c r="AL208">
        <f t="shared" si="31"/>
        <v>9.9748110308503432E-2</v>
      </c>
    </row>
    <row r="209" spans="1:38" x14ac:dyDescent="0.35">
      <c r="A209" s="3">
        <v>2024</v>
      </c>
      <c r="B209" s="3">
        <v>8</v>
      </c>
      <c r="C209" s="3">
        <v>14</v>
      </c>
      <c r="D209" s="2">
        <v>722</v>
      </c>
      <c r="E209" s="3" t="s">
        <v>1138</v>
      </c>
      <c r="F209" s="3">
        <v>3</v>
      </c>
      <c r="G209" s="3" t="s">
        <v>225</v>
      </c>
      <c r="H209" s="3" t="str">
        <f t="shared" si="35"/>
        <v>2021</v>
      </c>
      <c r="I209" s="3">
        <v>3</v>
      </c>
      <c r="J209" s="69"/>
      <c r="K209" t="s">
        <v>1139</v>
      </c>
      <c r="L209">
        <v>4</v>
      </c>
      <c r="M209">
        <v>38.799999999999997</v>
      </c>
      <c r="N209" s="3">
        <v>316</v>
      </c>
      <c r="O209" s="3" t="str">
        <f t="shared" si="32"/>
        <v>2021</v>
      </c>
      <c r="P209" s="2">
        <v>722</v>
      </c>
      <c r="AH209">
        <v>5.49</v>
      </c>
      <c r="AI209">
        <f t="shared" si="33"/>
        <v>1.3076773757693241</v>
      </c>
      <c r="AJ209">
        <f t="shared" si="34"/>
        <v>20.308477950482157</v>
      </c>
      <c r="AK209">
        <f t="shared" si="30"/>
        <v>2.0308477950482157E-2</v>
      </c>
      <c r="AL209">
        <f t="shared" si="31"/>
        <v>0.10154238975241078</v>
      </c>
    </row>
    <row r="210" spans="1:38" x14ac:dyDescent="0.35">
      <c r="A210" s="3">
        <v>2017</v>
      </c>
      <c r="B210" s="3">
        <v>11</v>
      </c>
      <c r="C210" s="3">
        <v>13</v>
      </c>
      <c r="D210" s="2">
        <v>66</v>
      </c>
      <c r="E210" s="3" t="s">
        <v>510</v>
      </c>
      <c r="F210" s="3">
        <v>4</v>
      </c>
      <c r="G210" s="3" t="s">
        <v>41</v>
      </c>
      <c r="H210" s="3" t="str">
        <f t="shared" si="35"/>
        <v>2013</v>
      </c>
      <c r="I210" s="3">
        <v>4</v>
      </c>
      <c r="J210" s="69"/>
      <c r="K210" s="3" t="s">
        <v>42</v>
      </c>
      <c r="L210" s="3" t="s">
        <v>318</v>
      </c>
      <c r="M210" s="3">
        <v>26.2</v>
      </c>
      <c r="N210" s="3">
        <v>317</v>
      </c>
      <c r="O210" s="3" t="str">
        <f t="shared" si="32"/>
        <v>2011</v>
      </c>
      <c r="P210" s="2">
        <v>66</v>
      </c>
      <c r="AH210">
        <v>5.51</v>
      </c>
      <c r="AI210">
        <f t="shared" si="33"/>
        <v>1.311527598000652</v>
      </c>
      <c r="AJ210">
        <f t="shared" si="34"/>
        <v>20.489322487955324</v>
      </c>
      <c r="AK210">
        <f t="shared" si="30"/>
        <v>2.0489322487955323E-2</v>
      </c>
      <c r="AL210">
        <f t="shared" si="31"/>
        <v>0.10244661243977661</v>
      </c>
    </row>
    <row r="211" spans="1:38" x14ac:dyDescent="0.35">
      <c r="A211" s="3">
        <v>2022</v>
      </c>
      <c r="B211" s="3">
        <v>11</v>
      </c>
      <c r="C211" s="3">
        <v>14</v>
      </c>
      <c r="D211" s="2">
        <v>119</v>
      </c>
      <c r="E211" s="14" t="s">
        <v>565</v>
      </c>
      <c r="F211" s="15">
        <v>4</v>
      </c>
      <c r="G211" s="3" t="s">
        <v>20</v>
      </c>
      <c r="H211" s="3" t="str">
        <f t="shared" si="35"/>
        <v>2020</v>
      </c>
      <c r="I211" s="3">
        <v>2</v>
      </c>
      <c r="J211" s="69"/>
      <c r="K211" s="3">
        <v>8</v>
      </c>
      <c r="L211" s="3">
        <v>8</v>
      </c>
      <c r="M211" s="3">
        <v>26.3</v>
      </c>
      <c r="N211" s="3">
        <v>317</v>
      </c>
      <c r="O211" s="3" t="str">
        <f t="shared" si="32"/>
        <v>2018</v>
      </c>
      <c r="P211" s="2">
        <v>119</v>
      </c>
      <c r="AH211">
        <v>5.53</v>
      </c>
      <c r="AI211">
        <f t="shared" si="33"/>
        <v>1.3153638701208545</v>
      </c>
      <c r="AJ211">
        <f t="shared" si="34"/>
        <v>20.671113430070054</v>
      </c>
      <c r="AK211">
        <f t="shared" si="30"/>
        <v>2.0671113430070054E-2</v>
      </c>
      <c r="AL211">
        <f t="shared" si="31"/>
        <v>0.10335556715035027</v>
      </c>
    </row>
    <row r="212" spans="1:38" x14ac:dyDescent="0.35">
      <c r="A212" s="3">
        <v>2018</v>
      </c>
      <c r="B212" s="3">
        <v>8</v>
      </c>
      <c r="C212" s="3">
        <v>16</v>
      </c>
      <c r="D212" s="2">
        <v>331</v>
      </c>
      <c r="E212" s="3" t="s">
        <v>798</v>
      </c>
      <c r="F212" s="3">
        <v>3</v>
      </c>
      <c r="G212" s="3" t="s">
        <v>45</v>
      </c>
      <c r="H212" s="3" t="str">
        <f t="shared" si="35"/>
        <v>2011</v>
      </c>
      <c r="I212" s="3">
        <v>7</v>
      </c>
      <c r="J212" s="69"/>
      <c r="K212" s="3" t="s">
        <v>632</v>
      </c>
      <c r="L212" s="3" t="s">
        <v>317</v>
      </c>
      <c r="M212" s="3">
        <v>22.4</v>
      </c>
      <c r="N212" s="3">
        <v>317</v>
      </c>
      <c r="O212" s="3" t="str">
        <f t="shared" si="32"/>
        <v>2007</v>
      </c>
      <c r="P212" s="2">
        <v>331</v>
      </c>
      <c r="AH212">
        <v>5.53</v>
      </c>
      <c r="AI212">
        <f t="shared" si="33"/>
        <v>1.3153638701208545</v>
      </c>
      <c r="AJ212">
        <f t="shared" si="34"/>
        <v>20.671113430070054</v>
      </c>
      <c r="AK212">
        <f t="shared" si="30"/>
        <v>2.0671113430070054E-2</v>
      </c>
      <c r="AL212">
        <f t="shared" si="31"/>
        <v>0.10335556715035027</v>
      </c>
    </row>
    <row r="213" spans="1:38" x14ac:dyDescent="0.35">
      <c r="A213" s="3">
        <v>2023</v>
      </c>
      <c r="B213" s="3">
        <v>7</v>
      </c>
      <c r="C213" s="3">
        <v>19</v>
      </c>
      <c r="D213" s="2">
        <v>376</v>
      </c>
      <c r="E213" s="3" t="s">
        <v>842</v>
      </c>
      <c r="F213" s="3">
        <v>3</v>
      </c>
      <c r="G213" s="3" t="s">
        <v>41</v>
      </c>
      <c r="H213" s="3" t="str">
        <f t="shared" si="35"/>
        <v>2012</v>
      </c>
      <c r="I213" s="3">
        <v>11</v>
      </c>
      <c r="J213" s="69"/>
      <c r="K213" s="3" t="s">
        <v>544</v>
      </c>
      <c r="L213" s="3" t="s">
        <v>461</v>
      </c>
      <c r="M213" s="3">
        <v>24.8</v>
      </c>
      <c r="N213" s="3">
        <v>317</v>
      </c>
      <c r="O213" s="3" t="str">
        <f t="shared" si="32"/>
        <v>2011</v>
      </c>
      <c r="P213" s="2">
        <v>376</v>
      </c>
      <c r="AH213">
        <v>5.62</v>
      </c>
      <c r="AI213">
        <f t="shared" si="33"/>
        <v>1.332457137357371</v>
      </c>
      <c r="AJ213">
        <f t="shared" si="34"/>
        <v>21.500924657461137</v>
      </c>
      <c r="AK213">
        <f t="shared" si="30"/>
        <v>2.1500924657461139E-2</v>
      </c>
      <c r="AL213">
        <f t="shared" si="31"/>
        <v>0.1075046232873057</v>
      </c>
    </row>
    <row r="214" spans="1:38" x14ac:dyDescent="0.35">
      <c r="A214" s="3">
        <v>2024</v>
      </c>
      <c r="B214" s="3">
        <v>2</v>
      </c>
      <c r="C214" s="3">
        <v>1</v>
      </c>
      <c r="D214" s="2">
        <v>625</v>
      </c>
      <c r="E214" s="3" t="s">
        <v>1064</v>
      </c>
      <c r="F214" s="3">
        <v>1</v>
      </c>
      <c r="G214" s="3" t="s">
        <v>226</v>
      </c>
      <c r="H214" s="3" t="str">
        <f t="shared" si="35"/>
        <v>2017</v>
      </c>
      <c r="I214" s="3">
        <v>7</v>
      </c>
      <c r="J214" s="69"/>
      <c r="K214" t="s">
        <v>64</v>
      </c>
      <c r="L214">
        <v>7</v>
      </c>
      <c r="M214">
        <v>27.7</v>
      </c>
      <c r="N214" s="3">
        <v>317</v>
      </c>
      <c r="O214" s="3" t="str">
        <f t="shared" si="32"/>
        <v>2017</v>
      </c>
      <c r="P214" s="2">
        <v>625</v>
      </c>
      <c r="AH214">
        <v>5.9</v>
      </c>
      <c r="AI214">
        <f t="shared" si="33"/>
        <v>1.3839372043835476</v>
      </c>
      <c r="AJ214">
        <f t="shared" si="34"/>
        <v>24.206790100050615</v>
      </c>
      <c r="AK214">
        <f t="shared" si="30"/>
        <v>2.4206790100050616E-2</v>
      </c>
      <c r="AL214">
        <f t="shared" si="31"/>
        <v>0.12103395050025308</v>
      </c>
    </row>
    <row r="215" spans="1:38" x14ac:dyDescent="0.35">
      <c r="A215" s="3">
        <v>2024</v>
      </c>
      <c r="B215" s="3">
        <v>1</v>
      </c>
      <c r="C215" s="3">
        <v>30</v>
      </c>
      <c r="D215" s="2">
        <v>648</v>
      </c>
      <c r="E215" t="s">
        <v>144</v>
      </c>
      <c r="F215" s="3">
        <v>1</v>
      </c>
      <c r="G215" s="3" t="s">
        <v>225</v>
      </c>
      <c r="H215" s="3" t="str">
        <f t="shared" si="35"/>
        <v>2022</v>
      </c>
      <c r="I215" s="3">
        <v>2</v>
      </c>
      <c r="J215" s="69"/>
      <c r="K215" t="s">
        <v>58</v>
      </c>
      <c r="L215">
        <v>2</v>
      </c>
      <c r="M215">
        <v>27.3</v>
      </c>
      <c r="N215" s="3">
        <v>317</v>
      </c>
      <c r="O215" s="3" t="str">
        <f t="shared" si="32"/>
        <v>2021</v>
      </c>
      <c r="P215" s="2">
        <v>648</v>
      </c>
      <c r="AH215">
        <v>5.93</v>
      </c>
      <c r="AI215">
        <f t="shared" si="33"/>
        <v>1.3893073424220723</v>
      </c>
      <c r="AJ215">
        <f t="shared" si="34"/>
        <v>24.507970134197617</v>
      </c>
      <c r="AK215">
        <f t="shared" si="30"/>
        <v>2.4507970134197615E-2</v>
      </c>
      <c r="AL215">
        <f t="shared" si="31"/>
        <v>0.12253985067098808</v>
      </c>
    </row>
    <row r="216" spans="1:38" x14ac:dyDescent="0.35">
      <c r="A216" s="3">
        <v>2024</v>
      </c>
      <c r="B216" s="3">
        <v>3</v>
      </c>
      <c r="C216" s="3">
        <v>13</v>
      </c>
      <c r="D216" s="2">
        <v>672</v>
      </c>
      <c r="E216" s="3" t="s">
        <v>1094</v>
      </c>
      <c r="F216" s="3">
        <v>2</v>
      </c>
      <c r="G216" s="3" t="s">
        <v>226</v>
      </c>
      <c r="H216" s="3" t="str">
        <f t="shared" si="35"/>
        <v>2017</v>
      </c>
      <c r="I216" s="3">
        <v>7</v>
      </c>
      <c r="J216" s="69"/>
      <c r="K216" t="s">
        <v>783</v>
      </c>
      <c r="L216">
        <v>7</v>
      </c>
      <c r="M216">
        <v>31.3</v>
      </c>
      <c r="N216" s="3">
        <v>317</v>
      </c>
      <c r="O216" s="3" t="str">
        <f t="shared" si="32"/>
        <v>2017</v>
      </c>
      <c r="P216" s="2">
        <v>672</v>
      </c>
      <c r="AH216">
        <v>5.96</v>
      </c>
      <c r="AI216">
        <f t="shared" si="33"/>
        <v>1.3946503812466964</v>
      </c>
      <c r="AJ216">
        <f t="shared" si="34"/>
        <v>24.811349206801829</v>
      </c>
      <c r="AK216">
        <f t="shared" si="30"/>
        <v>2.4811349206801829E-2</v>
      </c>
      <c r="AL216">
        <f t="shared" si="31"/>
        <v>0.12405674603400915</v>
      </c>
    </row>
    <row r="217" spans="1:38" x14ac:dyDescent="0.35">
      <c r="A217" s="3">
        <v>2024</v>
      </c>
      <c r="B217" s="3">
        <v>1</v>
      </c>
      <c r="C217" s="3">
        <v>19</v>
      </c>
      <c r="D217" s="2">
        <v>591</v>
      </c>
      <c r="E217" s="3" t="s">
        <v>1034</v>
      </c>
      <c r="F217" s="3">
        <v>1</v>
      </c>
      <c r="G217" s="3" t="s">
        <v>41</v>
      </c>
      <c r="H217" s="3" t="str">
        <f t="shared" si="35"/>
        <v>2013</v>
      </c>
      <c r="I217" s="3">
        <v>11</v>
      </c>
      <c r="J217" s="69"/>
      <c r="K217" t="s">
        <v>1035</v>
      </c>
      <c r="L217" t="s">
        <v>318</v>
      </c>
      <c r="M217">
        <v>26.3</v>
      </c>
      <c r="N217" s="3">
        <v>318</v>
      </c>
      <c r="O217" s="3" t="str">
        <f t="shared" si="32"/>
        <v>2011</v>
      </c>
      <c r="P217" s="2">
        <v>591</v>
      </c>
      <c r="AH217" s="2">
        <v>7.8</v>
      </c>
      <c r="AI217">
        <f t="shared" si="33"/>
        <v>1.679526641359391</v>
      </c>
      <c r="AJ217">
        <f t="shared" si="34"/>
        <v>47.810869434786241</v>
      </c>
      <c r="AK217">
        <f t="shared" si="30"/>
        <v>4.7810869434786241E-2</v>
      </c>
      <c r="AL217">
        <f t="shared" si="31"/>
        <v>0.2390543471739312</v>
      </c>
    </row>
    <row r="218" spans="1:38" x14ac:dyDescent="0.35">
      <c r="A218" s="3">
        <v>2024</v>
      </c>
      <c r="B218" s="3">
        <v>2</v>
      </c>
      <c r="C218" s="3">
        <v>23</v>
      </c>
      <c r="D218" s="2">
        <v>630</v>
      </c>
      <c r="E218" s="3" t="s">
        <v>1068</v>
      </c>
      <c r="F218" s="3">
        <v>1</v>
      </c>
      <c r="G218" s="3" t="s">
        <v>225</v>
      </c>
      <c r="H218" s="3" t="str">
        <f t="shared" si="35"/>
        <v>2022</v>
      </c>
      <c r="I218" s="3">
        <v>2</v>
      </c>
      <c r="J218" s="69"/>
      <c r="K218" t="s">
        <v>21</v>
      </c>
      <c r="L218" s="3">
        <v>2</v>
      </c>
      <c r="M218">
        <v>30.9</v>
      </c>
      <c r="N218" s="3">
        <v>318</v>
      </c>
      <c r="O218" s="3" t="str">
        <f t="shared" si="32"/>
        <v>2021</v>
      </c>
      <c r="P218" s="2">
        <v>630</v>
      </c>
    </row>
    <row r="219" spans="1:38" x14ac:dyDescent="0.35">
      <c r="A219" s="3">
        <v>2023</v>
      </c>
      <c r="B219" s="3">
        <v>10</v>
      </c>
      <c r="C219" s="3">
        <v>31</v>
      </c>
      <c r="D219" s="2">
        <v>544</v>
      </c>
      <c r="E219" s="3" t="s">
        <v>993</v>
      </c>
      <c r="F219" s="3">
        <v>4</v>
      </c>
      <c r="G219" s="3" t="s">
        <v>225</v>
      </c>
      <c r="H219" s="3" t="str">
        <f t="shared" si="35"/>
        <v>2022</v>
      </c>
      <c r="I219" s="3">
        <v>1</v>
      </c>
      <c r="J219" s="69"/>
      <c r="K219" t="s">
        <v>67</v>
      </c>
      <c r="L219" s="3">
        <v>2</v>
      </c>
      <c r="M219" s="3">
        <v>27</v>
      </c>
      <c r="N219" s="3">
        <v>319</v>
      </c>
      <c r="O219" s="3" t="str">
        <f t="shared" si="32"/>
        <v>2021</v>
      </c>
      <c r="P219" s="2">
        <v>544</v>
      </c>
    </row>
    <row r="220" spans="1:38" x14ac:dyDescent="0.35">
      <c r="A220" s="3">
        <v>2012</v>
      </c>
      <c r="B220" s="3">
        <v>10</v>
      </c>
      <c r="C220" s="3">
        <v>5</v>
      </c>
      <c r="D220" s="2">
        <v>624</v>
      </c>
      <c r="E220" s="3" t="s">
        <v>1063</v>
      </c>
      <c r="F220" s="3">
        <v>4</v>
      </c>
      <c r="G220" s="3" t="s">
        <v>45</v>
      </c>
      <c r="H220" s="3" t="str">
        <f t="shared" si="35"/>
        <v>2009</v>
      </c>
      <c r="I220" s="3">
        <v>3</v>
      </c>
      <c r="J220" s="69"/>
      <c r="K220" t="s">
        <v>1062</v>
      </c>
      <c r="L220" s="3" t="s">
        <v>512</v>
      </c>
      <c r="M220">
        <v>24.9</v>
      </c>
      <c r="N220" s="3">
        <v>319</v>
      </c>
      <c r="O220" s="3" t="str">
        <f t="shared" si="32"/>
        <v>2007</v>
      </c>
      <c r="P220" s="2">
        <v>624</v>
      </c>
    </row>
    <row r="221" spans="1:38" x14ac:dyDescent="0.35">
      <c r="A221" s="3">
        <v>2016</v>
      </c>
      <c r="B221" s="3">
        <v>9</v>
      </c>
      <c r="C221" s="3">
        <v>1</v>
      </c>
      <c r="D221" s="2">
        <v>237</v>
      </c>
      <c r="E221" s="3" t="s">
        <v>695</v>
      </c>
      <c r="F221" s="3">
        <v>3</v>
      </c>
      <c r="G221" s="3" t="s">
        <v>45</v>
      </c>
      <c r="H221" s="3" t="str">
        <f t="shared" si="35"/>
        <v>2011</v>
      </c>
      <c r="I221" s="3">
        <v>5</v>
      </c>
      <c r="J221" s="69"/>
      <c r="K221" s="3" t="s">
        <v>647</v>
      </c>
      <c r="L221" s="3" t="s">
        <v>317</v>
      </c>
      <c r="M221" s="3">
        <v>26.9</v>
      </c>
      <c r="N221" s="3">
        <v>320</v>
      </c>
      <c r="O221" s="3" t="str">
        <f t="shared" si="32"/>
        <v>2007</v>
      </c>
      <c r="P221" s="2">
        <v>237</v>
      </c>
    </row>
    <row r="222" spans="1:38" x14ac:dyDescent="0.35">
      <c r="A222" s="3">
        <v>2016</v>
      </c>
      <c r="B222" s="3">
        <v>9</v>
      </c>
      <c r="C222" s="3">
        <v>1</v>
      </c>
      <c r="D222" s="2">
        <v>265</v>
      </c>
      <c r="E222" s="3" t="s">
        <v>726</v>
      </c>
      <c r="F222" s="3">
        <v>3</v>
      </c>
      <c r="G222" s="3" t="s">
        <v>45</v>
      </c>
      <c r="H222" s="3" t="str">
        <f t="shared" si="35"/>
        <v>2011</v>
      </c>
      <c r="I222" s="3">
        <v>5</v>
      </c>
      <c r="J222" s="69"/>
      <c r="K222" s="3" t="s">
        <v>718</v>
      </c>
      <c r="L222" s="3" t="s">
        <v>317</v>
      </c>
      <c r="M222" s="3">
        <v>2.6</v>
      </c>
      <c r="N222" s="3">
        <v>320</v>
      </c>
      <c r="O222" s="3" t="str">
        <f t="shared" si="32"/>
        <v>2007</v>
      </c>
      <c r="P222" s="2">
        <v>265</v>
      </c>
    </row>
    <row r="223" spans="1:38" x14ac:dyDescent="0.35">
      <c r="A223" s="3">
        <v>2023</v>
      </c>
      <c r="B223" s="3">
        <v>8</v>
      </c>
      <c r="C223" s="3">
        <v>1</v>
      </c>
      <c r="D223" s="2">
        <v>427</v>
      </c>
      <c r="E223" s="3" t="s">
        <v>888</v>
      </c>
      <c r="F223" s="3">
        <v>3</v>
      </c>
      <c r="G223" s="3" t="s">
        <v>225</v>
      </c>
      <c r="H223" s="3" t="str">
        <f t="shared" si="35"/>
        <v>2022</v>
      </c>
      <c r="I223" s="3">
        <v>1</v>
      </c>
      <c r="J223" s="69"/>
      <c r="K223" s="3" t="s">
        <v>235</v>
      </c>
      <c r="L223" s="3">
        <v>5</v>
      </c>
      <c r="M223" s="3">
        <v>26.9</v>
      </c>
      <c r="N223" s="3">
        <v>320</v>
      </c>
      <c r="O223" s="3" t="str">
        <f t="shared" si="32"/>
        <v>2021</v>
      </c>
      <c r="P223" s="2">
        <v>427</v>
      </c>
    </row>
    <row r="224" spans="1:38" x14ac:dyDescent="0.35">
      <c r="A224" s="3">
        <v>2023</v>
      </c>
      <c r="B224" s="3">
        <v>11</v>
      </c>
      <c r="C224" s="3">
        <v>3</v>
      </c>
      <c r="D224" s="2">
        <v>507</v>
      </c>
      <c r="E224" s="3" t="s">
        <v>961</v>
      </c>
      <c r="F224" s="3">
        <v>4</v>
      </c>
      <c r="G224" s="3" t="s">
        <v>226</v>
      </c>
      <c r="H224" s="3" t="str">
        <f t="shared" si="35"/>
        <v>2017</v>
      </c>
      <c r="I224" s="3">
        <v>6</v>
      </c>
      <c r="J224" s="69"/>
      <c r="K224" s="3" t="s">
        <v>783</v>
      </c>
      <c r="L224" s="3">
        <v>7</v>
      </c>
      <c r="M224" s="3">
        <v>28.3</v>
      </c>
      <c r="N224" s="3">
        <v>320</v>
      </c>
      <c r="O224" s="3" t="str">
        <f t="shared" si="32"/>
        <v>2017</v>
      </c>
      <c r="P224" s="2">
        <v>507</v>
      </c>
      <c r="Q224" s="2">
        <v>2.85</v>
      </c>
    </row>
    <row r="225" spans="1:23" x14ac:dyDescent="0.35">
      <c r="A225" s="3">
        <v>2024</v>
      </c>
      <c r="B225" s="3">
        <v>8</v>
      </c>
      <c r="C225" s="3">
        <v>19</v>
      </c>
      <c r="D225" s="2">
        <v>747</v>
      </c>
      <c r="E225" s="3" t="s">
        <v>259</v>
      </c>
      <c r="F225" s="3">
        <v>3</v>
      </c>
      <c r="G225" s="3" t="s">
        <v>225</v>
      </c>
      <c r="H225" s="3" t="str">
        <f t="shared" si="35"/>
        <v>2021</v>
      </c>
      <c r="I225" s="3">
        <v>3</v>
      </c>
      <c r="J225" s="69"/>
      <c r="K225">
        <v>3</v>
      </c>
      <c r="L225">
        <v>3</v>
      </c>
      <c r="M225">
        <v>43</v>
      </c>
      <c r="N225" s="3">
        <v>320</v>
      </c>
      <c r="O225" s="3" t="str">
        <f t="shared" si="32"/>
        <v>2021</v>
      </c>
      <c r="P225" s="2">
        <v>747</v>
      </c>
    </row>
    <row r="226" spans="1:23" x14ac:dyDescent="0.35">
      <c r="A226" s="3">
        <v>2024</v>
      </c>
      <c r="B226" s="3">
        <v>2</v>
      </c>
      <c r="C226" s="3">
        <v>1</v>
      </c>
      <c r="D226" s="2">
        <v>626</v>
      </c>
      <c r="E226" s="3" t="s">
        <v>1065</v>
      </c>
      <c r="F226" s="3">
        <v>1</v>
      </c>
      <c r="G226" s="3" t="s">
        <v>226</v>
      </c>
      <c r="H226" s="3" t="str">
        <f t="shared" si="35"/>
        <v>2017</v>
      </c>
      <c r="I226" s="3">
        <v>7</v>
      </c>
      <c r="J226" s="69"/>
      <c r="K226" t="s">
        <v>64</v>
      </c>
      <c r="L226">
        <v>7</v>
      </c>
      <c r="M226">
        <v>26</v>
      </c>
      <c r="N226" s="3">
        <v>321</v>
      </c>
      <c r="O226" s="3" t="str">
        <f t="shared" si="32"/>
        <v>2017</v>
      </c>
      <c r="P226" s="2">
        <v>626</v>
      </c>
    </row>
    <row r="227" spans="1:23" x14ac:dyDescent="0.35">
      <c r="A227" s="3">
        <v>2016</v>
      </c>
      <c r="B227" s="3">
        <v>9</v>
      </c>
      <c r="C227" s="3">
        <v>1</v>
      </c>
      <c r="D227" s="2">
        <v>259</v>
      </c>
      <c r="E227" s="3" t="s">
        <v>720</v>
      </c>
      <c r="F227" s="3">
        <v>3</v>
      </c>
      <c r="G227" s="3" t="s">
        <v>45</v>
      </c>
      <c r="H227" s="3" t="str">
        <f t="shared" si="35"/>
        <v>2011</v>
      </c>
      <c r="I227" s="3">
        <v>5</v>
      </c>
      <c r="J227" s="69"/>
      <c r="K227" s="3" t="s">
        <v>718</v>
      </c>
      <c r="L227" s="3" t="s">
        <v>317</v>
      </c>
      <c r="M227" s="3">
        <v>24.4</v>
      </c>
      <c r="N227" s="3">
        <v>322</v>
      </c>
      <c r="O227" s="3" t="str">
        <f t="shared" si="32"/>
        <v>2007</v>
      </c>
      <c r="P227" s="2">
        <v>259</v>
      </c>
    </row>
    <row r="228" spans="1:23" x14ac:dyDescent="0.35">
      <c r="A228" s="3">
        <v>2024</v>
      </c>
      <c r="B228" s="3">
        <v>6</v>
      </c>
      <c r="C228" s="3">
        <v>19</v>
      </c>
      <c r="D228" s="2">
        <v>803</v>
      </c>
      <c r="E228" s="3" t="s">
        <v>292</v>
      </c>
      <c r="F228" s="3">
        <v>3</v>
      </c>
      <c r="G228" s="3" t="s">
        <v>225</v>
      </c>
      <c r="H228" s="3" t="str">
        <f t="shared" si="35"/>
        <v>2021</v>
      </c>
      <c r="I228" s="3">
        <v>3</v>
      </c>
      <c r="J228" s="69"/>
      <c r="K228" t="s">
        <v>1162</v>
      </c>
      <c r="L228">
        <v>3</v>
      </c>
      <c r="M228">
        <v>30.9</v>
      </c>
      <c r="N228" s="3">
        <v>322</v>
      </c>
      <c r="O228" s="3" t="str">
        <f t="shared" si="32"/>
        <v>2021</v>
      </c>
      <c r="P228" s="2">
        <v>803</v>
      </c>
    </row>
    <row r="229" spans="1:23" x14ac:dyDescent="0.35">
      <c r="A229" s="3">
        <v>2016</v>
      </c>
      <c r="B229" s="3">
        <v>9</v>
      </c>
      <c r="C229" s="3">
        <v>2</v>
      </c>
      <c r="D229" s="2">
        <v>217</v>
      </c>
      <c r="E229" s="3" t="s">
        <v>675</v>
      </c>
      <c r="F229" s="3">
        <v>3</v>
      </c>
      <c r="G229" s="3" t="s">
        <v>41</v>
      </c>
      <c r="H229" s="3" t="str">
        <f t="shared" si="35"/>
        <v>2013</v>
      </c>
      <c r="I229" s="3">
        <v>3</v>
      </c>
      <c r="J229" s="69"/>
      <c r="K229" s="3" t="s">
        <v>49</v>
      </c>
      <c r="L229" s="3" t="s">
        <v>318</v>
      </c>
      <c r="M229" s="3">
        <v>28.1</v>
      </c>
      <c r="N229" s="3">
        <v>323</v>
      </c>
      <c r="O229" s="3" t="str">
        <f t="shared" si="32"/>
        <v>2011</v>
      </c>
      <c r="P229" s="2">
        <v>217</v>
      </c>
      <c r="Q229" s="2">
        <v>1.81</v>
      </c>
      <c r="W229">
        <v>3.62</v>
      </c>
    </row>
    <row r="230" spans="1:23" x14ac:dyDescent="0.35">
      <c r="A230" s="3">
        <v>2023</v>
      </c>
      <c r="B230" s="3">
        <v>2</v>
      </c>
      <c r="C230" s="3">
        <v>10</v>
      </c>
      <c r="D230" s="2">
        <v>142</v>
      </c>
      <c r="E230" s="14" t="s">
        <v>588</v>
      </c>
      <c r="F230" s="15">
        <v>1</v>
      </c>
      <c r="G230" s="3" t="s">
        <v>41</v>
      </c>
      <c r="H230" s="3" t="str">
        <f t="shared" si="35"/>
        <v>2013</v>
      </c>
      <c r="I230" s="3">
        <v>10</v>
      </c>
      <c r="J230" s="69"/>
      <c r="K230" s="3" t="s">
        <v>91</v>
      </c>
      <c r="L230" s="3" t="s">
        <v>318</v>
      </c>
      <c r="M230" s="3">
        <v>20.399999999999999</v>
      </c>
      <c r="N230" s="3">
        <v>323</v>
      </c>
      <c r="O230" s="3" t="str">
        <f t="shared" si="32"/>
        <v>2011</v>
      </c>
      <c r="P230" s="2">
        <v>142</v>
      </c>
    </row>
    <row r="231" spans="1:23" x14ac:dyDescent="0.35">
      <c r="A231" s="3">
        <v>2016</v>
      </c>
      <c r="B231" s="3">
        <v>9</v>
      </c>
      <c r="C231" s="3">
        <v>2</v>
      </c>
      <c r="D231" s="2">
        <v>217</v>
      </c>
      <c r="E231" s="3" t="s">
        <v>675</v>
      </c>
      <c r="F231" s="3">
        <v>3</v>
      </c>
      <c r="G231" s="3" t="s">
        <v>41</v>
      </c>
      <c r="H231" s="3" t="str">
        <f t="shared" si="35"/>
        <v>2013</v>
      </c>
      <c r="I231" s="3">
        <v>3</v>
      </c>
      <c r="J231" s="69"/>
      <c r="K231" s="3" t="s">
        <v>49</v>
      </c>
      <c r="L231" s="3" t="s">
        <v>318</v>
      </c>
      <c r="M231" s="3">
        <v>28.1</v>
      </c>
      <c r="N231" s="3">
        <v>323</v>
      </c>
      <c r="O231" s="3" t="str">
        <f t="shared" si="32"/>
        <v>2011</v>
      </c>
      <c r="P231" s="2">
        <v>217</v>
      </c>
      <c r="Q231" s="2">
        <v>1.24</v>
      </c>
    </row>
    <row r="232" spans="1:23" x14ac:dyDescent="0.35">
      <c r="A232" s="3">
        <v>2024</v>
      </c>
      <c r="B232" s="3">
        <v>1</v>
      </c>
      <c r="C232" s="3">
        <v>16</v>
      </c>
      <c r="D232" s="2">
        <v>571</v>
      </c>
      <c r="E232" s="3" t="s">
        <v>1015</v>
      </c>
      <c r="F232" s="3">
        <v>1</v>
      </c>
      <c r="G232" s="3" t="s">
        <v>45</v>
      </c>
      <c r="H232" s="3" t="str">
        <f t="shared" si="35"/>
        <v>2011</v>
      </c>
      <c r="I232" s="3">
        <v>13</v>
      </c>
      <c r="J232" s="69"/>
      <c r="K232" t="s">
        <v>615</v>
      </c>
      <c r="L232" s="3" t="s">
        <v>317</v>
      </c>
      <c r="M232">
        <v>33.700000000000003</v>
      </c>
      <c r="N232" s="3">
        <v>323</v>
      </c>
      <c r="O232" s="3" t="str">
        <f t="shared" si="32"/>
        <v>2007</v>
      </c>
      <c r="P232" s="2">
        <v>571</v>
      </c>
    </row>
    <row r="233" spans="1:23" x14ac:dyDescent="0.35">
      <c r="A233" s="3">
        <v>2021</v>
      </c>
      <c r="B233" s="3" t="s">
        <v>28</v>
      </c>
      <c r="C233" s="3" t="s">
        <v>28</v>
      </c>
      <c r="D233" s="2">
        <v>14</v>
      </c>
      <c r="E233" s="3" t="s">
        <v>456</v>
      </c>
      <c r="F233" s="3" t="s">
        <v>28</v>
      </c>
      <c r="G233" s="3" t="s">
        <v>45</v>
      </c>
      <c r="H233" s="3" t="str">
        <f t="shared" si="35"/>
        <v>2011</v>
      </c>
      <c r="I233" s="3">
        <v>10</v>
      </c>
      <c r="J233" s="69"/>
      <c r="K233" s="3" t="s">
        <v>317</v>
      </c>
      <c r="L233" s="3" t="s">
        <v>317</v>
      </c>
      <c r="M233" s="3">
        <v>26.6</v>
      </c>
      <c r="N233" s="3">
        <v>324</v>
      </c>
      <c r="O233" s="3" t="str">
        <f t="shared" si="32"/>
        <v>2007</v>
      </c>
      <c r="P233" s="2">
        <v>14</v>
      </c>
    </row>
    <row r="234" spans="1:23" x14ac:dyDescent="0.35">
      <c r="A234" s="3">
        <v>2021</v>
      </c>
      <c r="B234" s="3">
        <v>10</v>
      </c>
      <c r="C234" s="3">
        <v>11</v>
      </c>
      <c r="D234" s="2">
        <v>471</v>
      </c>
      <c r="E234" s="3" t="s">
        <v>926</v>
      </c>
      <c r="F234" s="3">
        <v>4</v>
      </c>
      <c r="G234" s="3" t="s">
        <v>226</v>
      </c>
      <c r="H234" s="3" t="str">
        <f t="shared" si="35"/>
        <v>2018</v>
      </c>
      <c r="I234" s="3">
        <v>3</v>
      </c>
      <c r="J234" s="69"/>
      <c r="K234" s="3" t="s">
        <v>51</v>
      </c>
      <c r="L234" s="3" t="s">
        <v>927</v>
      </c>
      <c r="M234" s="16">
        <v>25</v>
      </c>
      <c r="N234" s="3">
        <v>324</v>
      </c>
      <c r="O234" s="3" t="str">
        <f t="shared" si="32"/>
        <v>2017</v>
      </c>
      <c r="P234" s="2">
        <v>471</v>
      </c>
    </row>
    <row r="235" spans="1:23" x14ac:dyDescent="0.35">
      <c r="A235" s="3">
        <v>2023</v>
      </c>
      <c r="B235" s="3">
        <v>11</v>
      </c>
      <c r="C235" s="3">
        <v>17</v>
      </c>
      <c r="D235" s="2">
        <v>513</v>
      </c>
      <c r="E235" s="3" t="s">
        <v>966</v>
      </c>
      <c r="F235" s="3">
        <v>4</v>
      </c>
      <c r="G235" s="3" t="s">
        <v>225</v>
      </c>
      <c r="H235" s="3" t="str">
        <f t="shared" si="35"/>
        <v>2022</v>
      </c>
      <c r="I235" s="3">
        <v>1</v>
      </c>
      <c r="J235" s="69"/>
      <c r="K235" s="3" t="s">
        <v>896</v>
      </c>
      <c r="L235" s="3">
        <v>5</v>
      </c>
      <c r="M235" s="3">
        <v>37.1</v>
      </c>
      <c r="N235" s="3">
        <v>324</v>
      </c>
      <c r="O235" s="3" t="str">
        <f t="shared" si="32"/>
        <v>2021</v>
      </c>
      <c r="P235" s="2">
        <v>513</v>
      </c>
    </row>
    <row r="236" spans="1:23" x14ac:dyDescent="0.35">
      <c r="A236" s="3">
        <v>2024</v>
      </c>
      <c r="B236" s="3">
        <v>4</v>
      </c>
      <c r="C236" s="3">
        <v>8</v>
      </c>
      <c r="D236" s="2">
        <v>657</v>
      </c>
      <c r="E236" s="3" t="s">
        <v>1082</v>
      </c>
      <c r="F236" s="3">
        <v>2</v>
      </c>
      <c r="G236" s="3" t="s">
        <v>225</v>
      </c>
      <c r="H236" s="3" t="str">
        <f t="shared" si="35"/>
        <v>2021</v>
      </c>
      <c r="I236" s="3">
        <v>3</v>
      </c>
      <c r="J236" s="69"/>
      <c r="K236" t="s">
        <v>1076</v>
      </c>
      <c r="L236" s="3">
        <v>3</v>
      </c>
      <c r="M236">
        <v>18.899999999999999</v>
      </c>
      <c r="N236" s="3">
        <v>324</v>
      </c>
      <c r="O236" s="3" t="str">
        <f t="shared" si="32"/>
        <v>2021</v>
      </c>
      <c r="P236" s="2">
        <v>657</v>
      </c>
      <c r="Q236" s="2">
        <v>2.46</v>
      </c>
    </row>
    <row r="237" spans="1:23" x14ac:dyDescent="0.35">
      <c r="A237" s="3">
        <v>2019</v>
      </c>
      <c r="B237" s="3">
        <v>11</v>
      </c>
      <c r="C237" s="3">
        <v>27</v>
      </c>
      <c r="D237" s="2">
        <v>51</v>
      </c>
      <c r="E237" s="3" t="s">
        <v>494</v>
      </c>
      <c r="F237" s="3">
        <v>4</v>
      </c>
      <c r="G237" s="3" t="s">
        <v>45</v>
      </c>
      <c r="H237" s="3" t="str">
        <f t="shared" si="35"/>
        <v>2009</v>
      </c>
      <c r="I237" s="3">
        <v>10</v>
      </c>
      <c r="J237" s="69"/>
      <c r="K237" s="3" t="s">
        <v>488</v>
      </c>
      <c r="L237" s="3" t="s">
        <v>488</v>
      </c>
      <c r="M237" s="3">
        <v>25.7</v>
      </c>
      <c r="N237" s="3">
        <v>325</v>
      </c>
      <c r="O237" s="3" t="str">
        <f t="shared" si="32"/>
        <v>2007</v>
      </c>
      <c r="P237" s="2">
        <v>51</v>
      </c>
    </row>
    <row r="238" spans="1:23" x14ac:dyDescent="0.35">
      <c r="A238" s="3">
        <v>2024</v>
      </c>
      <c r="B238" s="3">
        <v>3</v>
      </c>
      <c r="C238" s="3">
        <v>28</v>
      </c>
      <c r="D238" s="2">
        <v>661</v>
      </c>
      <c r="E238" s="3" t="s">
        <v>151</v>
      </c>
      <c r="F238" s="3">
        <v>2</v>
      </c>
      <c r="G238" s="3" t="s">
        <v>41</v>
      </c>
      <c r="H238" s="3" t="str">
        <f t="shared" si="35"/>
        <v>2013</v>
      </c>
      <c r="I238" s="3">
        <v>11</v>
      </c>
      <c r="J238" s="69"/>
      <c r="K238" t="s">
        <v>42</v>
      </c>
      <c r="L238" t="s">
        <v>318</v>
      </c>
      <c r="M238">
        <v>29.8</v>
      </c>
      <c r="N238" s="3">
        <v>325</v>
      </c>
      <c r="O238" s="3" t="str">
        <f t="shared" si="32"/>
        <v>2011</v>
      </c>
      <c r="P238" s="2">
        <v>661</v>
      </c>
    </row>
    <row r="239" spans="1:23" x14ac:dyDescent="0.35">
      <c r="A239" s="3">
        <v>2024</v>
      </c>
      <c r="B239" s="3">
        <v>8</v>
      </c>
      <c r="C239" s="3">
        <v>19</v>
      </c>
      <c r="D239" s="2">
        <v>756</v>
      </c>
      <c r="E239" s="3" t="s">
        <v>267</v>
      </c>
      <c r="F239" s="3">
        <v>3</v>
      </c>
      <c r="G239" s="3" t="s">
        <v>225</v>
      </c>
      <c r="H239" s="3" t="str">
        <f t="shared" si="35"/>
        <v>2021</v>
      </c>
      <c r="I239" s="3">
        <v>3</v>
      </c>
      <c r="J239" s="69"/>
      <c r="K239">
        <v>3</v>
      </c>
      <c r="L239">
        <v>3</v>
      </c>
      <c r="M239">
        <v>37.4</v>
      </c>
      <c r="N239" s="3">
        <v>325</v>
      </c>
      <c r="O239" s="3" t="str">
        <f t="shared" si="32"/>
        <v>2021</v>
      </c>
      <c r="P239" s="2">
        <v>756</v>
      </c>
    </row>
    <row r="240" spans="1:23" x14ac:dyDescent="0.35">
      <c r="A240" s="3">
        <v>2024</v>
      </c>
      <c r="B240">
        <v>8</v>
      </c>
      <c r="C240">
        <v>20</v>
      </c>
      <c r="D240" s="2">
        <v>833</v>
      </c>
      <c r="E240" s="3" t="s">
        <v>1184</v>
      </c>
      <c r="F240" s="3">
        <v>3</v>
      </c>
      <c r="G240" s="3" t="s">
        <v>226</v>
      </c>
      <c r="H240" s="3" t="str">
        <f t="shared" si="35"/>
        <v>2017</v>
      </c>
      <c r="I240" s="3">
        <v>7</v>
      </c>
      <c r="J240" s="69"/>
      <c r="K240" t="s">
        <v>64</v>
      </c>
      <c r="L240">
        <v>7</v>
      </c>
      <c r="M240">
        <v>28.8</v>
      </c>
      <c r="N240" s="3">
        <v>325</v>
      </c>
      <c r="O240" s="3" t="str">
        <f t="shared" si="32"/>
        <v>2017</v>
      </c>
      <c r="P240" s="2">
        <v>833</v>
      </c>
    </row>
    <row r="241" spans="1:25" x14ac:dyDescent="0.35">
      <c r="A241" s="3">
        <v>2024</v>
      </c>
      <c r="B241" s="3">
        <v>2</v>
      </c>
      <c r="C241" s="3">
        <v>23</v>
      </c>
      <c r="D241" s="2">
        <v>633</v>
      </c>
      <c r="E241" s="3" t="s">
        <v>1069</v>
      </c>
      <c r="F241" s="3">
        <v>1</v>
      </c>
      <c r="G241" s="3" t="s">
        <v>225</v>
      </c>
      <c r="H241" s="3" t="str">
        <f t="shared" si="35"/>
        <v>2022</v>
      </c>
      <c r="I241" s="3">
        <v>2</v>
      </c>
      <c r="J241" s="69"/>
      <c r="K241" t="s">
        <v>21</v>
      </c>
      <c r="L241" s="3">
        <v>2</v>
      </c>
      <c r="M241">
        <v>13.4</v>
      </c>
      <c r="N241" s="3">
        <v>326</v>
      </c>
      <c r="O241" s="3" t="str">
        <f t="shared" si="32"/>
        <v>2021</v>
      </c>
      <c r="P241" s="2">
        <v>633</v>
      </c>
    </row>
    <row r="242" spans="1:25" x14ac:dyDescent="0.35">
      <c r="A242" s="3">
        <v>2022</v>
      </c>
      <c r="B242" s="3">
        <v>11</v>
      </c>
      <c r="C242" s="3">
        <v>4</v>
      </c>
      <c r="D242" s="2">
        <v>105</v>
      </c>
      <c r="E242" s="14" t="s">
        <v>553</v>
      </c>
      <c r="F242" s="15">
        <v>4</v>
      </c>
      <c r="G242" s="3" t="s">
        <v>45</v>
      </c>
      <c r="H242" s="3" t="str">
        <f t="shared" si="35"/>
        <v>2011</v>
      </c>
      <c r="I242" s="3">
        <v>11</v>
      </c>
      <c r="J242" s="69"/>
      <c r="K242" s="3" t="s">
        <v>317</v>
      </c>
      <c r="L242" s="3" t="s">
        <v>317</v>
      </c>
      <c r="M242" s="3">
        <v>27.8</v>
      </c>
      <c r="N242" s="3">
        <v>327</v>
      </c>
      <c r="O242" s="3" t="str">
        <f t="shared" si="32"/>
        <v>2007</v>
      </c>
      <c r="P242" s="2">
        <v>105</v>
      </c>
      <c r="Q242" s="2">
        <v>1.78</v>
      </c>
    </row>
    <row r="243" spans="1:25" x14ac:dyDescent="0.35">
      <c r="A243" s="3">
        <v>2017</v>
      </c>
      <c r="B243" s="3">
        <v>8</v>
      </c>
      <c r="C243" s="3">
        <v>14</v>
      </c>
      <c r="D243" s="2">
        <v>131</v>
      </c>
      <c r="E243" s="14" t="s">
        <v>576</v>
      </c>
      <c r="F243" s="15">
        <v>3</v>
      </c>
      <c r="G243" s="3" t="s">
        <v>45</v>
      </c>
      <c r="H243" s="3" t="str">
        <f t="shared" si="35"/>
        <v>2011</v>
      </c>
      <c r="I243" s="3">
        <v>6</v>
      </c>
      <c r="J243" s="69"/>
      <c r="K243" s="3" t="s">
        <v>317</v>
      </c>
      <c r="L243" s="3" t="s">
        <v>317</v>
      </c>
      <c r="M243" s="3">
        <v>28.7</v>
      </c>
      <c r="N243" s="3">
        <v>327</v>
      </c>
      <c r="O243" s="3" t="str">
        <f t="shared" si="32"/>
        <v>2007</v>
      </c>
      <c r="P243" s="2">
        <v>131</v>
      </c>
    </row>
    <row r="244" spans="1:25" x14ac:dyDescent="0.35">
      <c r="A244" s="3">
        <v>2023</v>
      </c>
      <c r="B244" s="3">
        <v>7</v>
      </c>
      <c r="C244" s="3">
        <v>28</v>
      </c>
      <c r="D244" s="2">
        <v>436</v>
      </c>
      <c r="E244" s="3" t="s">
        <v>897</v>
      </c>
      <c r="F244" s="3">
        <v>3</v>
      </c>
      <c r="G244" s="3" t="s">
        <v>225</v>
      </c>
      <c r="H244" s="3" t="str">
        <f t="shared" si="35"/>
        <v>2021</v>
      </c>
      <c r="I244" s="3">
        <v>2</v>
      </c>
      <c r="J244" s="69"/>
      <c r="K244" s="3" t="s">
        <v>898</v>
      </c>
      <c r="L244" s="3">
        <v>4</v>
      </c>
      <c r="M244" s="3">
        <v>21.7</v>
      </c>
      <c r="N244" s="3">
        <v>327</v>
      </c>
      <c r="O244" s="3" t="str">
        <f t="shared" si="32"/>
        <v>2021</v>
      </c>
      <c r="P244" s="2">
        <v>436</v>
      </c>
    </row>
    <row r="245" spans="1:25" x14ac:dyDescent="0.35">
      <c r="A245" s="3">
        <v>2024</v>
      </c>
      <c r="B245" s="3">
        <v>4</v>
      </c>
      <c r="C245" s="3">
        <v>8</v>
      </c>
      <c r="D245" s="2">
        <v>658</v>
      </c>
      <c r="E245" s="3" t="s">
        <v>1083</v>
      </c>
      <c r="F245" s="3">
        <v>2</v>
      </c>
      <c r="G245" s="3" t="s">
        <v>225</v>
      </c>
      <c r="H245" s="3" t="str">
        <f t="shared" si="35"/>
        <v>2021</v>
      </c>
      <c r="I245" s="3">
        <v>3</v>
      </c>
      <c r="J245" s="69"/>
      <c r="K245" t="s">
        <v>1076</v>
      </c>
      <c r="L245" s="3">
        <v>3</v>
      </c>
      <c r="M245">
        <v>34.299999999999997</v>
      </c>
      <c r="N245" s="3">
        <v>328</v>
      </c>
      <c r="O245" s="3" t="str">
        <f t="shared" si="32"/>
        <v>2021</v>
      </c>
      <c r="P245" s="2">
        <v>658</v>
      </c>
    </row>
    <row r="246" spans="1:25" x14ac:dyDescent="0.35">
      <c r="A246" s="3">
        <v>2024</v>
      </c>
      <c r="B246" s="3">
        <v>3</v>
      </c>
      <c r="C246" s="3">
        <v>29</v>
      </c>
      <c r="D246" s="2">
        <v>664</v>
      </c>
      <c r="E246" s="3" t="s">
        <v>1085</v>
      </c>
      <c r="F246" s="3">
        <v>2</v>
      </c>
      <c r="G246" s="3" t="s">
        <v>41</v>
      </c>
      <c r="H246" s="3" t="str">
        <f t="shared" si="35"/>
        <v>2012</v>
      </c>
      <c r="I246" s="3">
        <v>12</v>
      </c>
      <c r="J246" s="69"/>
      <c r="K246" t="s">
        <v>551</v>
      </c>
      <c r="L246" t="s">
        <v>461</v>
      </c>
      <c r="M246">
        <v>42.7</v>
      </c>
      <c r="N246" s="3">
        <v>328</v>
      </c>
      <c r="O246" s="3" t="str">
        <f t="shared" si="32"/>
        <v>2011</v>
      </c>
      <c r="P246" s="2">
        <v>664</v>
      </c>
    </row>
    <row r="247" spans="1:25" x14ac:dyDescent="0.35">
      <c r="A247" s="3">
        <v>2024</v>
      </c>
      <c r="B247">
        <v>8</v>
      </c>
      <c r="C247" s="3">
        <v>15</v>
      </c>
      <c r="D247" s="2">
        <v>832</v>
      </c>
      <c r="E247" s="3" t="s">
        <v>1183</v>
      </c>
      <c r="F247" s="3">
        <v>3</v>
      </c>
      <c r="G247" s="3" t="s">
        <v>225</v>
      </c>
      <c r="H247" s="3" t="str">
        <f t="shared" si="35"/>
        <v>2021</v>
      </c>
      <c r="I247" s="3">
        <v>3</v>
      </c>
      <c r="J247" s="69"/>
      <c r="K247" t="s">
        <v>237</v>
      </c>
      <c r="L247">
        <v>3</v>
      </c>
      <c r="M247">
        <v>27</v>
      </c>
      <c r="N247" s="3">
        <v>328</v>
      </c>
      <c r="O247" s="3" t="str">
        <f t="shared" si="32"/>
        <v>2021</v>
      </c>
      <c r="P247" s="2">
        <v>832</v>
      </c>
    </row>
    <row r="248" spans="1:25" x14ac:dyDescent="0.35">
      <c r="A248" s="3">
        <v>2024</v>
      </c>
      <c r="B248" s="3">
        <v>2</v>
      </c>
      <c r="C248" s="3">
        <v>23</v>
      </c>
      <c r="D248" s="2">
        <v>632</v>
      </c>
      <c r="E248" s="3" t="s">
        <v>139</v>
      </c>
      <c r="F248" s="3">
        <v>1</v>
      </c>
      <c r="G248" s="3" t="s">
        <v>225</v>
      </c>
      <c r="H248" s="3" t="str">
        <f t="shared" si="35"/>
        <v>2022</v>
      </c>
      <c r="I248" s="3">
        <v>2</v>
      </c>
      <c r="J248" s="69"/>
      <c r="K248" t="s">
        <v>21</v>
      </c>
      <c r="L248" s="3">
        <v>2</v>
      </c>
      <c r="M248">
        <v>35.1</v>
      </c>
      <c r="N248" s="3">
        <v>329</v>
      </c>
      <c r="O248" s="3" t="str">
        <f t="shared" si="32"/>
        <v>2021</v>
      </c>
      <c r="P248" s="2">
        <v>632</v>
      </c>
    </row>
    <row r="249" spans="1:25" x14ac:dyDescent="0.35">
      <c r="A249" s="3">
        <v>2024</v>
      </c>
      <c r="B249" s="3">
        <v>1</v>
      </c>
      <c r="C249" s="3">
        <v>19</v>
      </c>
      <c r="D249" s="2">
        <v>597</v>
      </c>
      <c r="E249" s="3" t="s">
        <v>1041</v>
      </c>
      <c r="F249" s="3">
        <v>1</v>
      </c>
      <c r="G249" s="3" t="s">
        <v>41</v>
      </c>
      <c r="H249" s="3" t="str">
        <f t="shared" si="35"/>
        <v>2012</v>
      </c>
      <c r="I249" s="3">
        <v>12</v>
      </c>
      <c r="J249" s="69"/>
      <c r="K249" t="s">
        <v>541</v>
      </c>
      <c r="L249" s="3" t="s">
        <v>461</v>
      </c>
      <c r="M249">
        <v>32.9</v>
      </c>
      <c r="N249" s="3">
        <v>330</v>
      </c>
      <c r="O249" s="3" t="str">
        <f t="shared" si="32"/>
        <v>2011</v>
      </c>
      <c r="P249" s="2">
        <v>597</v>
      </c>
      <c r="X249">
        <v>5.51</v>
      </c>
    </row>
    <row r="250" spans="1:25" x14ac:dyDescent="0.35">
      <c r="A250" s="3">
        <v>2016</v>
      </c>
      <c r="B250" s="3">
        <v>11</v>
      </c>
      <c r="C250" s="3">
        <v>7</v>
      </c>
      <c r="D250" s="2">
        <v>211</v>
      </c>
      <c r="E250" s="3" t="s">
        <v>666</v>
      </c>
      <c r="F250" s="3">
        <v>4</v>
      </c>
      <c r="G250" s="3" t="s">
        <v>45</v>
      </c>
      <c r="H250" s="3" t="str">
        <f t="shared" si="35"/>
        <v>2009</v>
      </c>
      <c r="I250" s="3">
        <v>7</v>
      </c>
      <c r="J250" s="69"/>
      <c r="K250" s="3" t="s">
        <v>667</v>
      </c>
      <c r="L250" s="3" t="s">
        <v>512</v>
      </c>
      <c r="M250" s="3">
        <v>3.1</v>
      </c>
      <c r="N250" s="3">
        <v>330</v>
      </c>
      <c r="O250" s="3" t="str">
        <f t="shared" si="32"/>
        <v>2007</v>
      </c>
      <c r="P250" s="2">
        <v>211</v>
      </c>
      <c r="Y250">
        <v>3.16</v>
      </c>
    </row>
    <row r="251" spans="1:25" x14ac:dyDescent="0.35">
      <c r="A251" s="3">
        <v>2016</v>
      </c>
      <c r="B251" s="3">
        <v>11</v>
      </c>
      <c r="C251" s="3">
        <v>16</v>
      </c>
      <c r="D251" s="2">
        <v>202</v>
      </c>
      <c r="E251" s="3" t="s">
        <v>655</v>
      </c>
      <c r="F251" s="3">
        <v>4</v>
      </c>
      <c r="G251" s="3" t="s">
        <v>41</v>
      </c>
      <c r="H251" s="3" t="str">
        <f t="shared" si="35"/>
        <v>2013</v>
      </c>
      <c r="I251" s="3">
        <v>3</v>
      </c>
      <c r="J251" s="69"/>
      <c r="K251" s="3" t="s">
        <v>42</v>
      </c>
      <c r="L251" s="3" t="s">
        <v>318</v>
      </c>
      <c r="M251" s="3">
        <v>29.7</v>
      </c>
      <c r="N251" s="3">
        <v>330</v>
      </c>
      <c r="O251" s="3" t="str">
        <f t="shared" si="32"/>
        <v>2011</v>
      </c>
      <c r="P251" s="2">
        <v>202</v>
      </c>
      <c r="Y251">
        <v>2.83</v>
      </c>
    </row>
    <row r="252" spans="1:25" x14ac:dyDescent="0.35">
      <c r="A252" s="3">
        <v>2016</v>
      </c>
      <c r="B252" s="3">
        <v>11</v>
      </c>
      <c r="C252" s="3">
        <v>16</v>
      </c>
      <c r="D252" s="2">
        <v>202</v>
      </c>
      <c r="E252" s="3" t="s">
        <v>655</v>
      </c>
      <c r="F252" s="3">
        <v>4</v>
      </c>
      <c r="G252" s="3" t="s">
        <v>41</v>
      </c>
      <c r="H252" s="3" t="str">
        <f t="shared" si="35"/>
        <v>2013</v>
      </c>
      <c r="I252" s="3">
        <v>3</v>
      </c>
      <c r="J252" s="69"/>
      <c r="K252" s="3" t="s">
        <v>42</v>
      </c>
      <c r="L252" s="3" t="s">
        <v>318</v>
      </c>
      <c r="M252" s="3">
        <v>29.7</v>
      </c>
      <c r="N252" s="3">
        <v>330</v>
      </c>
      <c r="O252" s="3" t="str">
        <f t="shared" si="32"/>
        <v>2011</v>
      </c>
      <c r="P252" s="2">
        <v>202</v>
      </c>
      <c r="Y252">
        <v>2.79</v>
      </c>
    </row>
    <row r="253" spans="1:25" x14ac:dyDescent="0.35">
      <c r="A253" s="3">
        <v>2023</v>
      </c>
      <c r="B253" s="3">
        <v>8</v>
      </c>
      <c r="C253" s="3">
        <v>2</v>
      </c>
      <c r="D253" s="2">
        <v>422</v>
      </c>
      <c r="E253" s="3" t="s">
        <v>883</v>
      </c>
      <c r="F253" s="3">
        <v>3</v>
      </c>
      <c r="G253" s="3" t="s">
        <v>226</v>
      </c>
      <c r="H253" s="3" t="str">
        <f t="shared" si="35"/>
        <v>2017</v>
      </c>
      <c r="I253" s="3">
        <v>6</v>
      </c>
      <c r="J253" s="69"/>
      <c r="K253" s="3" t="s">
        <v>64</v>
      </c>
      <c r="L253" s="3">
        <v>7</v>
      </c>
      <c r="M253" s="3">
        <v>32.9</v>
      </c>
      <c r="N253" s="3">
        <v>330.20000000000005</v>
      </c>
      <c r="O253" s="3" t="str">
        <f t="shared" si="32"/>
        <v>2017</v>
      </c>
      <c r="P253" s="2">
        <v>422</v>
      </c>
    </row>
    <row r="254" spans="1:25" x14ac:dyDescent="0.35">
      <c r="A254" s="3">
        <v>2024</v>
      </c>
      <c r="B254" s="3">
        <v>1</v>
      </c>
      <c r="C254" s="3">
        <v>30</v>
      </c>
      <c r="D254" s="2">
        <v>627</v>
      </c>
      <c r="E254" s="3" t="s">
        <v>1066</v>
      </c>
      <c r="F254" s="3">
        <v>1</v>
      </c>
      <c r="G254" s="3" t="s">
        <v>225</v>
      </c>
      <c r="H254" s="3" t="str">
        <f t="shared" si="35"/>
        <v>2022</v>
      </c>
      <c r="I254" s="3">
        <v>2</v>
      </c>
      <c r="J254" s="69"/>
      <c r="K254" t="s">
        <v>67</v>
      </c>
      <c r="L254">
        <v>2</v>
      </c>
      <c r="M254">
        <v>29.8</v>
      </c>
      <c r="N254" s="3">
        <v>332</v>
      </c>
      <c r="O254" s="3" t="str">
        <f t="shared" si="32"/>
        <v>2021</v>
      </c>
      <c r="P254" s="2">
        <v>627</v>
      </c>
    </row>
    <row r="255" spans="1:25" x14ac:dyDescent="0.35">
      <c r="A255" s="3">
        <v>2024</v>
      </c>
      <c r="B255" s="3">
        <v>1</v>
      </c>
      <c r="C255" s="3">
        <v>24</v>
      </c>
      <c r="D255" s="2">
        <v>573</v>
      </c>
      <c r="E255" s="3" t="s">
        <v>129</v>
      </c>
      <c r="F255" s="3">
        <v>1</v>
      </c>
      <c r="G255" s="3" t="s">
        <v>20</v>
      </c>
      <c r="H255" s="3" t="str">
        <f t="shared" si="35"/>
        <v>2019</v>
      </c>
      <c r="I255" s="3">
        <v>5</v>
      </c>
      <c r="J255" s="69"/>
      <c r="K255" t="s">
        <v>232</v>
      </c>
      <c r="L255">
        <v>23</v>
      </c>
      <c r="M255">
        <v>33.4</v>
      </c>
      <c r="N255" s="3">
        <v>333</v>
      </c>
      <c r="O255" s="3" t="str">
        <f t="shared" si="32"/>
        <v>2018</v>
      </c>
      <c r="P255" s="2">
        <v>573</v>
      </c>
      <c r="S255">
        <v>3.47</v>
      </c>
    </row>
    <row r="256" spans="1:25" x14ac:dyDescent="0.35">
      <c r="A256" s="3">
        <v>2024</v>
      </c>
      <c r="B256" s="3">
        <v>1</v>
      </c>
      <c r="C256" s="3">
        <v>16</v>
      </c>
      <c r="D256" s="2">
        <v>594</v>
      </c>
      <c r="E256" s="3" t="s">
        <v>1038</v>
      </c>
      <c r="F256" s="3">
        <v>1</v>
      </c>
      <c r="G256" s="3" t="s">
        <v>45</v>
      </c>
      <c r="H256" s="3" t="str">
        <f t="shared" si="35"/>
        <v>2011</v>
      </c>
      <c r="I256" s="3">
        <v>13</v>
      </c>
      <c r="J256" s="69"/>
      <c r="K256" t="s">
        <v>990</v>
      </c>
      <c r="L256" s="3" t="s">
        <v>317</v>
      </c>
      <c r="M256">
        <v>30.6</v>
      </c>
      <c r="N256" s="3">
        <v>334</v>
      </c>
      <c r="O256" s="3" t="str">
        <f t="shared" si="32"/>
        <v>2007</v>
      </c>
      <c r="P256" s="2">
        <v>594</v>
      </c>
    </row>
    <row r="257" spans="1:24" x14ac:dyDescent="0.35">
      <c r="A257" s="3">
        <v>2024</v>
      </c>
      <c r="B257" s="3">
        <v>8</v>
      </c>
      <c r="C257" s="3">
        <v>19</v>
      </c>
      <c r="D257" s="2">
        <v>745</v>
      </c>
      <c r="E257" s="3" t="s">
        <v>257</v>
      </c>
      <c r="F257" s="3">
        <v>3</v>
      </c>
      <c r="G257" s="3" t="s">
        <v>225</v>
      </c>
      <c r="H257" s="3" t="str">
        <f t="shared" si="35"/>
        <v>2021</v>
      </c>
      <c r="I257" s="3">
        <v>3</v>
      </c>
      <c r="J257" s="69"/>
      <c r="K257">
        <v>3</v>
      </c>
      <c r="L257">
        <v>3</v>
      </c>
      <c r="M257">
        <v>36.799999999999997</v>
      </c>
      <c r="N257" s="3">
        <v>334</v>
      </c>
      <c r="O257" s="3" t="str">
        <f t="shared" si="32"/>
        <v>2021</v>
      </c>
      <c r="P257" s="2">
        <v>745</v>
      </c>
    </row>
    <row r="258" spans="1:24" x14ac:dyDescent="0.35">
      <c r="A258" s="3">
        <v>2023</v>
      </c>
      <c r="B258" s="3">
        <v>7</v>
      </c>
      <c r="C258" s="3">
        <v>31</v>
      </c>
      <c r="D258" s="2">
        <v>451</v>
      </c>
      <c r="E258" s="3" t="s">
        <v>909</v>
      </c>
      <c r="F258" s="3">
        <v>3</v>
      </c>
      <c r="G258" s="3" t="s">
        <v>225</v>
      </c>
      <c r="H258" s="3" t="str">
        <f t="shared" si="35"/>
        <v>2021</v>
      </c>
      <c r="I258" s="3">
        <v>2</v>
      </c>
      <c r="J258" s="69"/>
      <c r="K258" s="3" t="s">
        <v>237</v>
      </c>
      <c r="L258" s="3">
        <v>3</v>
      </c>
      <c r="M258" s="3">
        <v>38.799999999999997</v>
      </c>
      <c r="N258" s="3">
        <v>335</v>
      </c>
      <c r="O258" s="3" t="str">
        <f t="shared" ref="O258:O321" si="36">IF(G258="PHD", "2007", IF(G258="TSL", "2011", IF(G258 = "SRS", "2018", IF(G258="WCA 3B", "2017", IF(G258="WCA 3A", "2021")))))</f>
        <v>2021</v>
      </c>
      <c r="P258" s="2">
        <v>451</v>
      </c>
    </row>
    <row r="259" spans="1:24" x14ac:dyDescent="0.35">
      <c r="A259" s="3">
        <v>2023</v>
      </c>
      <c r="B259" s="3">
        <v>8</v>
      </c>
      <c r="C259" s="3">
        <v>11</v>
      </c>
      <c r="D259" s="2">
        <v>505</v>
      </c>
      <c r="E259" s="3" t="s">
        <v>959</v>
      </c>
      <c r="F259" s="3">
        <v>3</v>
      </c>
      <c r="G259" s="3" t="s">
        <v>20</v>
      </c>
      <c r="H259" s="3" t="str">
        <f t="shared" si="35"/>
        <v>2020</v>
      </c>
      <c r="I259" s="3">
        <v>3</v>
      </c>
      <c r="J259" s="69"/>
      <c r="K259" s="3" t="s">
        <v>233</v>
      </c>
      <c r="L259" s="3">
        <v>37</v>
      </c>
      <c r="M259" s="3">
        <v>36.9</v>
      </c>
      <c r="N259" s="3">
        <v>335</v>
      </c>
      <c r="O259" s="3" t="str">
        <f t="shared" si="36"/>
        <v>2018</v>
      </c>
      <c r="P259" s="2">
        <v>505</v>
      </c>
    </row>
    <row r="260" spans="1:24" x14ac:dyDescent="0.35">
      <c r="A260" s="3">
        <v>2023</v>
      </c>
      <c r="B260" s="3">
        <v>11</v>
      </c>
      <c r="C260" s="3">
        <v>3</v>
      </c>
      <c r="D260" s="2">
        <v>533</v>
      </c>
      <c r="E260" s="3" t="s">
        <v>985</v>
      </c>
      <c r="F260" s="3">
        <v>4</v>
      </c>
      <c r="G260" s="3" t="s">
        <v>225</v>
      </c>
      <c r="H260" s="3" t="str">
        <f t="shared" si="35"/>
        <v>2022</v>
      </c>
      <c r="I260" s="3">
        <v>1</v>
      </c>
      <c r="J260" s="69"/>
      <c r="K260" s="3">
        <v>2</v>
      </c>
      <c r="L260" s="3">
        <v>2</v>
      </c>
      <c r="M260" s="3">
        <v>31.7</v>
      </c>
      <c r="N260" s="3">
        <v>335</v>
      </c>
      <c r="O260" s="3" t="str">
        <f t="shared" si="36"/>
        <v>2021</v>
      </c>
      <c r="P260" s="2">
        <v>533</v>
      </c>
    </row>
    <row r="261" spans="1:24" x14ac:dyDescent="0.35">
      <c r="A261" s="3">
        <v>2024</v>
      </c>
      <c r="B261" s="3">
        <v>4</v>
      </c>
      <c r="C261" s="3">
        <v>8</v>
      </c>
      <c r="D261" s="2">
        <v>676</v>
      </c>
      <c r="E261" s="3" t="s">
        <v>1098</v>
      </c>
      <c r="F261" s="3">
        <v>2</v>
      </c>
      <c r="G261" s="3" t="s">
        <v>225</v>
      </c>
      <c r="H261" s="3" t="str">
        <f t="shared" si="35"/>
        <v>2021</v>
      </c>
      <c r="I261" s="3">
        <v>3</v>
      </c>
      <c r="J261" s="69"/>
      <c r="K261" t="s">
        <v>237</v>
      </c>
      <c r="L261">
        <v>3</v>
      </c>
      <c r="M261">
        <v>39.1</v>
      </c>
      <c r="N261" s="3">
        <v>335</v>
      </c>
      <c r="O261" s="3" t="str">
        <f t="shared" si="36"/>
        <v>2021</v>
      </c>
      <c r="P261" s="2">
        <v>676</v>
      </c>
    </row>
    <row r="262" spans="1:24" x14ac:dyDescent="0.35">
      <c r="A262" s="3">
        <v>2024</v>
      </c>
      <c r="B262" s="3">
        <v>8</v>
      </c>
      <c r="C262" s="3">
        <v>20</v>
      </c>
      <c r="D262" s="2">
        <v>762</v>
      </c>
      <c r="E262" s="3" t="s">
        <v>1154</v>
      </c>
      <c r="F262" s="3">
        <v>3</v>
      </c>
      <c r="G262" s="3" t="s">
        <v>226</v>
      </c>
      <c r="H262" s="3" t="str">
        <f t="shared" si="35"/>
        <v>2017</v>
      </c>
      <c r="I262" s="3">
        <v>7</v>
      </c>
      <c r="J262" s="69"/>
      <c r="K262" s="6" t="s">
        <v>228</v>
      </c>
      <c r="L262">
        <v>7</v>
      </c>
      <c r="M262">
        <v>29.2</v>
      </c>
      <c r="N262" s="3">
        <v>335</v>
      </c>
      <c r="O262" s="3" t="str">
        <f t="shared" si="36"/>
        <v>2017</v>
      </c>
      <c r="P262" s="2">
        <v>762</v>
      </c>
    </row>
    <row r="263" spans="1:24" x14ac:dyDescent="0.35">
      <c r="A263" s="3">
        <v>2024</v>
      </c>
      <c r="B263" s="3">
        <v>6</v>
      </c>
      <c r="C263" s="3">
        <v>19</v>
      </c>
      <c r="D263" s="2">
        <v>802</v>
      </c>
      <c r="E263" s="3" t="s">
        <v>291</v>
      </c>
      <c r="F263" s="3">
        <v>3</v>
      </c>
      <c r="G263" s="3" t="s">
        <v>225</v>
      </c>
      <c r="H263" s="3" t="str">
        <f t="shared" ref="H263:H326" si="37">IF(L263="A55","2009",IF(L263="A59","2009",IF(L263="A60","2010",IF(L263="A62","2011",IF(L263="CP","2013",IF(L263="MD","2012",IF(L263="TS","2013",IF(L263="DL","2018",IF(L263="SCU","2018",IF(L263="NCU","2018",IF(L263="C1C","2018",IF(L263="C1E","2018",IF(L263="RS1S","2018",IF(L263="C2B","2018",IF(L263="DB3","2018",IF(AND(L263=6,G263="SRS"),"2018",IF(AND(L263=7,G263="SRS"),"2020",IF(AND(L263=8,G263="SRS"),"2020",IF(L263=23,"2019",IF(AND(L263=7,G263="WCA 3B"),"2017",IF(AND(L263=8,G263="WCA 3B"),"2019",IF(L263=1,"2021",IF(L263=2,"2022",IF(L263=3,"2021",IF(L263=4,"2021",IF(L263=5,"2022",IF(AND(L263=6,G263="WCA 3A"),"2022",IF(L263=9,"2023",IF(L263=10,"2023",IF(L263=37,"2020"))))))))))))))))))))))))))))))</f>
        <v>2021</v>
      </c>
      <c r="I263" s="3">
        <v>3</v>
      </c>
      <c r="J263" s="69"/>
      <c r="K263" t="s">
        <v>1162</v>
      </c>
      <c r="L263">
        <v>3</v>
      </c>
      <c r="M263">
        <v>33.4</v>
      </c>
      <c r="N263" s="3">
        <v>335</v>
      </c>
      <c r="O263" s="3" t="str">
        <f t="shared" si="36"/>
        <v>2021</v>
      </c>
      <c r="P263" s="2">
        <v>802</v>
      </c>
    </row>
    <row r="264" spans="1:24" x14ac:dyDescent="0.35">
      <c r="A264" s="3">
        <v>2024</v>
      </c>
      <c r="B264">
        <v>8</v>
      </c>
      <c r="C264" s="3">
        <v>19</v>
      </c>
      <c r="D264" s="2">
        <v>815</v>
      </c>
      <c r="E264" s="3" t="s">
        <v>1177</v>
      </c>
      <c r="F264" s="3">
        <v>3</v>
      </c>
      <c r="G264" s="3" t="s">
        <v>225</v>
      </c>
      <c r="H264" s="3" t="str">
        <f t="shared" si="37"/>
        <v>2021</v>
      </c>
      <c r="I264" s="3">
        <v>3</v>
      </c>
      <c r="J264" s="69"/>
      <c r="K264">
        <v>3</v>
      </c>
      <c r="L264">
        <v>3</v>
      </c>
      <c r="M264">
        <v>37.799999999999997</v>
      </c>
      <c r="N264" s="3">
        <v>335</v>
      </c>
      <c r="O264" s="3" t="str">
        <f t="shared" si="36"/>
        <v>2021</v>
      </c>
      <c r="P264" s="2">
        <v>815</v>
      </c>
    </row>
    <row r="265" spans="1:24" x14ac:dyDescent="0.35">
      <c r="A265" s="3">
        <v>2023</v>
      </c>
      <c r="B265" s="3">
        <v>11</v>
      </c>
      <c r="C265" s="3">
        <v>17</v>
      </c>
      <c r="D265" s="2">
        <v>512</v>
      </c>
      <c r="E265" s="3" t="s">
        <v>965</v>
      </c>
      <c r="F265" s="3">
        <v>4</v>
      </c>
      <c r="G265" s="3" t="s">
        <v>225</v>
      </c>
      <c r="H265" s="3" t="str">
        <f t="shared" si="37"/>
        <v>2022</v>
      </c>
      <c r="I265" s="3">
        <v>1</v>
      </c>
      <c r="J265" s="69"/>
      <c r="K265" s="3" t="s">
        <v>896</v>
      </c>
      <c r="L265" s="3">
        <v>5</v>
      </c>
      <c r="M265" s="3">
        <v>35.799999999999997</v>
      </c>
      <c r="N265" s="3">
        <v>337</v>
      </c>
      <c r="O265" s="3" t="str">
        <f t="shared" si="36"/>
        <v>2021</v>
      </c>
      <c r="P265" s="2">
        <v>512</v>
      </c>
    </row>
    <row r="266" spans="1:24" x14ac:dyDescent="0.35">
      <c r="A266" s="3">
        <v>2024</v>
      </c>
      <c r="B266" s="3">
        <v>8</v>
      </c>
      <c r="C266" s="3">
        <v>19</v>
      </c>
      <c r="D266" s="2">
        <v>809</v>
      </c>
      <c r="E266" s="3" t="s">
        <v>296</v>
      </c>
      <c r="F266" s="3">
        <v>3</v>
      </c>
      <c r="G266" s="3" t="s">
        <v>225</v>
      </c>
      <c r="H266" s="3" t="str">
        <f t="shared" si="37"/>
        <v>2021</v>
      </c>
      <c r="I266" s="3">
        <v>3</v>
      </c>
      <c r="J266" s="69"/>
      <c r="K266">
        <v>3</v>
      </c>
      <c r="L266">
        <v>3</v>
      </c>
      <c r="M266">
        <v>49.8</v>
      </c>
      <c r="N266" s="3">
        <v>337</v>
      </c>
      <c r="O266" s="3" t="str">
        <f t="shared" si="36"/>
        <v>2021</v>
      </c>
      <c r="P266" s="2">
        <v>809</v>
      </c>
    </row>
    <row r="267" spans="1:24" x14ac:dyDescent="0.35">
      <c r="A267" s="3">
        <v>2024</v>
      </c>
      <c r="B267" s="3">
        <v>1</v>
      </c>
      <c r="C267" s="3">
        <v>16</v>
      </c>
      <c r="D267" s="2">
        <v>593</v>
      </c>
      <c r="E267" s="3" t="s">
        <v>1037</v>
      </c>
      <c r="F267" s="3">
        <v>1</v>
      </c>
      <c r="G267" s="3" t="s">
        <v>45</v>
      </c>
      <c r="H267" s="3" t="str">
        <f t="shared" si="37"/>
        <v>2011</v>
      </c>
      <c r="I267" s="3">
        <v>13</v>
      </c>
      <c r="J267" s="69"/>
      <c r="K267" t="s">
        <v>990</v>
      </c>
      <c r="L267" s="3" t="s">
        <v>317</v>
      </c>
      <c r="M267">
        <v>36</v>
      </c>
      <c r="N267" s="3">
        <v>338</v>
      </c>
      <c r="O267" s="3" t="str">
        <f t="shared" si="36"/>
        <v>2007</v>
      </c>
      <c r="P267" s="2">
        <v>593</v>
      </c>
      <c r="Q267" s="2">
        <v>1.57</v>
      </c>
      <c r="X267">
        <v>3.74</v>
      </c>
    </row>
    <row r="268" spans="1:24" x14ac:dyDescent="0.35">
      <c r="A268" s="3">
        <v>2017</v>
      </c>
      <c r="B268" s="3">
        <v>8</v>
      </c>
      <c r="C268" s="3">
        <v>8</v>
      </c>
      <c r="D268" s="2">
        <v>84</v>
      </c>
      <c r="E268" s="14" t="s">
        <v>529</v>
      </c>
      <c r="F268" s="15">
        <v>3</v>
      </c>
      <c r="G268" s="3" t="s">
        <v>45</v>
      </c>
      <c r="H268" s="3" t="str">
        <f t="shared" si="37"/>
        <v>2009</v>
      </c>
      <c r="I268" s="3">
        <v>8</v>
      </c>
      <c r="J268" s="69"/>
      <c r="K268" s="3" t="s">
        <v>512</v>
      </c>
      <c r="L268" s="3" t="s">
        <v>512</v>
      </c>
      <c r="M268" s="3">
        <v>29.7</v>
      </c>
      <c r="N268" s="3">
        <v>338</v>
      </c>
      <c r="O268" s="3" t="str">
        <f t="shared" si="36"/>
        <v>2007</v>
      </c>
      <c r="P268" s="2">
        <v>84</v>
      </c>
    </row>
    <row r="269" spans="1:24" x14ac:dyDescent="0.35">
      <c r="A269" s="3">
        <v>2017</v>
      </c>
      <c r="B269" s="3">
        <v>8</v>
      </c>
      <c r="C269" s="3">
        <v>3</v>
      </c>
      <c r="D269" s="2">
        <v>139</v>
      </c>
      <c r="E269" s="14" t="s">
        <v>585</v>
      </c>
      <c r="F269" s="15">
        <v>3</v>
      </c>
      <c r="G269" s="3" t="s">
        <v>41</v>
      </c>
      <c r="H269" s="3" t="str">
        <f t="shared" si="37"/>
        <v>2013</v>
      </c>
      <c r="I269" s="3">
        <v>4</v>
      </c>
      <c r="J269" s="69"/>
      <c r="K269" s="3" t="s">
        <v>583</v>
      </c>
      <c r="L269" s="3" t="s">
        <v>318</v>
      </c>
      <c r="M269" s="3">
        <v>28.7</v>
      </c>
      <c r="N269" s="3">
        <v>338</v>
      </c>
      <c r="O269" s="3" t="str">
        <f t="shared" si="36"/>
        <v>2011</v>
      </c>
      <c r="P269" s="2">
        <v>139</v>
      </c>
    </row>
    <row r="270" spans="1:24" x14ac:dyDescent="0.35">
      <c r="A270" s="3">
        <v>2018</v>
      </c>
      <c r="B270" s="3">
        <v>8</v>
      </c>
      <c r="C270" s="3">
        <v>6</v>
      </c>
      <c r="D270" s="2">
        <v>273</v>
      </c>
      <c r="E270" s="3" t="s">
        <v>735</v>
      </c>
      <c r="F270" s="3">
        <v>3</v>
      </c>
      <c r="G270" s="3" t="s">
        <v>41</v>
      </c>
      <c r="H270" s="3" t="str">
        <f t="shared" si="37"/>
        <v>2012</v>
      </c>
      <c r="I270" s="3">
        <v>6</v>
      </c>
      <c r="J270" s="69"/>
      <c r="K270" s="3" t="s">
        <v>551</v>
      </c>
      <c r="L270" s="3" t="s">
        <v>461</v>
      </c>
      <c r="M270" s="3">
        <v>27.2</v>
      </c>
      <c r="N270" s="3">
        <v>338</v>
      </c>
      <c r="O270" s="3" t="str">
        <f t="shared" si="36"/>
        <v>2011</v>
      </c>
      <c r="P270" s="2">
        <v>273</v>
      </c>
    </row>
    <row r="271" spans="1:24" x14ac:dyDescent="0.35">
      <c r="A271" s="3">
        <v>2023</v>
      </c>
      <c r="B271" s="3">
        <v>7</v>
      </c>
      <c r="C271" s="3">
        <v>31</v>
      </c>
      <c r="D271" s="2">
        <v>457</v>
      </c>
      <c r="E271" s="3" t="s">
        <v>82</v>
      </c>
      <c r="F271" s="3">
        <v>3</v>
      </c>
      <c r="G271" s="3" t="s">
        <v>225</v>
      </c>
      <c r="H271" s="3" t="str">
        <f t="shared" si="37"/>
        <v>2022</v>
      </c>
      <c r="I271" s="3">
        <v>1</v>
      </c>
      <c r="J271" s="69"/>
      <c r="K271" s="3" t="s">
        <v>83</v>
      </c>
      <c r="L271" s="3">
        <v>2</v>
      </c>
      <c r="M271" s="3">
        <v>35.1</v>
      </c>
      <c r="N271" s="3">
        <v>338</v>
      </c>
      <c r="O271" s="3" t="str">
        <f t="shared" si="36"/>
        <v>2021</v>
      </c>
      <c r="P271" s="2">
        <v>457</v>
      </c>
    </row>
    <row r="272" spans="1:24" x14ac:dyDescent="0.35">
      <c r="A272" s="3">
        <v>2024</v>
      </c>
      <c r="B272" s="3">
        <v>3</v>
      </c>
      <c r="C272" s="3">
        <v>24</v>
      </c>
      <c r="D272" s="2">
        <v>670</v>
      </c>
      <c r="E272" s="3" t="s">
        <v>1091</v>
      </c>
      <c r="F272" s="3">
        <v>2</v>
      </c>
      <c r="G272" s="3" t="s">
        <v>41</v>
      </c>
      <c r="H272" s="3" t="str">
        <f t="shared" si="37"/>
        <v>2012</v>
      </c>
      <c r="I272" s="3">
        <v>12</v>
      </c>
      <c r="J272" s="69"/>
      <c r="K272" t="s">
        <v>544</v>
      </c>
      <c r="L272" t="s">
        <v>461</v>
      </c>
      <c r="M272">
        <v>52.2</v>
      </c>
      <c r="N272" s="3">
        <v>338</v>
      </c>
      <c r="O272" s="3" t="str">
        <f t="shared" si="36"/>
        <v>2011</v>
      </c>
      <c r="P272" s="2">
        <v>670</v>
      </c>
    </row>
    <row r="273" spans="1:25" x14ac:dyDescent="0.35">
      <c r="A273" s="3">
        <v>2024</v>
      </c>
      <c r="B273" s="3">
        <v>1</v>
      </c>
      <c r="C273" s="3">
        <v>18</v>
      </c>
      <c r="D273" s="2">
        <v>557</v>
      </c>
      <c r="E273" s="3" t="s">
        <v>1002</v>
      </c>
      <c r="F273" s="3">
        <v>1</v>
      </c>
      <c r="G273" s="3" t="s">
        <v>41</v>
      </c>
      <c r="H273" s="3" t="str">
        <f t="shared" si="37"/>
        <v>2013</v>
      </c>
      <c r="I273" s="3">
        <v>11</v>
      </c>
      <c r="J273" s="69"/>
      <c r="K273" t="s">
        <v>583</v>
      </c>
      <c r="L273" s="3" t="s">
        <v>318</v>
      </c>
      <c r="M273">
        <v>33.5</v>
      </c>
      <c r="N273" s="3">
        <v>339</v>
      </c>
      <c r="O273" s="3" t="str">
        <f t="shared" si="36"/>
        <v>2011</v>
      </c>
      <c r="P273" s="2">
        <v>557</v>
      </c>
      <c r="S273">
        <v>5.49</v>
      </c>
    </row>
    <row r="274" spans="1:25" x14ac:dyDescent="0.35">
      <c r="A274" s="3">
        <v>2024</v>
      </c>
      <c r="B274">
        <v>8</v>
      </c>
      <c r="C274" s="3">
        <v>19</v>
      </c>
      <c r="D274" s="2">
        <v>819</v>
      </c>
      <c r="E274" s="3" t="s">
        <v>1180</v>
      </c>
      <c r="F274" s="3">
        <v>3</v>
      </c>
      <c r="G274" s="3" t="s">
        <v>225</v>
      </c>
      <c r="H274" s="3" t="str">
        <f t="shared" si="37"/>
        <v>2021</v>
      </c>
      <c r="I274" s="3">
        <v>3</v>
      </c>
      <c r="J274" s="69"/>
      <c r="K274">
        <v>3</v>
      </c>
      <c r="L274">
        <v>3</v>
      </c>
      <c r="M274">
        <v>38.799999999999997</v>
      </c>
      <c r="N274" s="3">
        <v>339</v>
      </c>
      <c r="O274" s="3" t="str">
        <f t="shared" si="36"/>
        <v>2021</v>
      </c>
      <c r="P274" s="2">
        <v>819</v>
      </c>
    </row>
    <row r="275" spans="1:25" x14ac:dyDescent="0.35">
      <c r="A275" s="3">
        <v>2023</v>
      </c>
      <c r="B275" s="3">
        <v>7</v>
      </c>
      <c r="C275" s="3">
        <v>17</v>
      </c>
      <c r="D275" s="2">
        <v>399</v>
      </c>
      <c r="E275" s="3" t="s">
        <v>864</v>
      </c>
      <c r="F275" s="3">
        <v>3</v>
      </c>
      <c r="G275" s="3" t="s">
        <v>45</v>
      </c>
      <c r="H275" s="3" t="str">
        <f t="shared" si="37"/>
        <v>2011</v>
      </c>
      <c r="I275" s="3">
        <v>12</v>
      </c>
      <c r="J275" s="69"/>
      <c r="K275" s="3" t="s">
        <v>865</v>
      </c>
      <c r="L275" s="3" t="s">
        <v>317</v>
      </c>
      <c r="M275" s="3">
        <v>25.7</v>
      </c>
      <c r="N275" s="3">
        <v>340</v>
      </c>
      <c r="O275" s="3" t="str">
        <f t="shared" si="36"/>
        <v>2007</v>
      </c>
      <c r="P275" s="2">
        <v>399</v>
      </c>
      <c r="T275">
        <v>3.52</v>
      </c>
    </row>
    <row r="276" spans="1:25" x14ac:dyDescent="0.35">
      <c r="A276" s="3">
        <v>2016</v>
      </c>
      <c r="B276" s="3">
        <v>9</v>
      </c>
      <c r="C276" s="3">
        <v>2</v>
      </c>
      <c r="D276" s="2">
        <v>283</v>
      </c>
      <c r="E276" s="3" t="s">
        <v>747</v>
      </c>
      <c r="F276" s="3">
        <v>3</v>
      </c>
      <c r="G276" s="3" t="s">
        <v>41</v>
      </c>
      <c r="H276" s="3" t="str">
        <f t="shared" si="37"/>
        <v>2013</v>
      </c>
      <c r="I276" s="3">
        <v>3</v>
      </c>
      <c r="J276" s="69"/>
      <c r="K276" s="3" t="s">
        <v>42</v>
      </c>
      <c r="L276" s="3" t="s">
        <v>318</v>
      </c>
      <c r="M276" s="3">
        <v>34.5</v>
      </c>
      <c r="N276" s="3">
        <v>340</v>
      </c>
      <c r="O276" s="3" t="str">
        <f t="shared" si="36"/>
        <v>2011</v>
      </c>
      <c r="P276" s="2">
        <v>283</v>
      </c>
      <c r="Y276">
        <v>3.97</v>
      </c>
    </row>
    <row r="277" spans="1:25" x14ac:dyDescent="0.35">
      <c r="A277" s="3">
        <v>2024</v>
      </c>
      <c r="B277" s="3">
        <v>3</v>
      </c>
      <c r="C277" s="3">
        <v>12</v>
      </c>
      <c r="D277" s="2">
        <v>684</v>
      </c>
      <c r="E277" s="3" t="s">
        <v>157</v>
      </c>
      <c r="F277" s="3">
        <v>2</v>
      </c>
      <c r="G277" s="3" t="s">
        <v>45</v>
      </c>
      <c r="H277" s="3" t="str">
        <f t="shared" si="37"/>
        <v>2011</v>
      </c>
      <c r="I277" s="3">
        <v>13</v>
      </c>
      <c r="J277" s="69"/>
      <c r="K277" t="s">
        <v>1105</v>
      </c>
      <c r="L277" t="s">
        <v>317</v>
      </c>
      <c r="M277">
        <v>36.4</v>
      </c>
      <c r="N277" s="3">
        <v>340</v>
      </c>
      <c r="O277" s="3" t="str">
        <f t="shared" si="36"/>
        <v>2007</v>
      </c>
      <c r="P277" s="2">
        <v>684</v>
      </c>
    </row>
    <row r="278" spans="1:25" x14ac:dyDescent="0.35">
      <c r="A278" s="3">
        <v>2019</v>
      </c>
      <c r="B278" s="3">
        <v>2</v>
      </c>
      <c r="C278" s="3">
        <v>18</v>
      </c>
      <c r="D278" s="2">
        <v>176</v>
      </c>
      <c r="E278" s="3" t="s">
        <v>626</v>
      </c>
      <c r="F278" s="3">
        <v>1</v>
      </c>
      <c r="G278" s="3" t="s">
        <v>41</v>
      </c>
      <c r="H278" s="3" t="str">
        <f t="shared" si="37"/>
        <v>2013</v>
      </c>
      <c r="I278" s="3">
        <v>6</v>
      </c>
      <c r="J278" s="69"/>
      <c r="K278" s="3" t="s">
        <v>42</v>
      </c>
      <c r="L278" s="3" t="s">
        <v>318</v>
      </c>
      <c r="M278" s="3">
        <v>34.9</v>
      </c>
      <c r="N278" s="3">
        <v>341</v>
      </c>
      <c r="O278" s="3" t="str">
        <f t="shared" si="36"/>
        <v>2011</v>
      </c>
      <c r="P278" s="2">
        <v>176</v>
      </c>
      <c r="S278">
        <v>4.58</v>
      </c>
    </row>
    <row r="279" spans="1:25" x14ac:dyDescent="0.35">
      <c r="A279" s="3">
        <v>2023</v>
      </c>
      <c r="B279" s="3">
        <v>7</v>
      </c>
      <c r="C279" s="3">
        <v>17</v>
      </c>
      <c r="D279" s="2">
        <v>344</v>
      </c>
      <c r="E279" s="3" t="s">
        <v>810</v>
      </c>
      <c r="F279" s="3">
        <v>3</v>
      </c>
      <c r="G279" s="3" t="s">
        <v>41</v>
      </c>
      <c r="H279" s="3" t="str">
        <f t="shared" si="37"/>
        <v>2013</v>
      </c>
      <c r="I279" s="3">
        <v>10</v>
      </c>
      <c r="J279" s="69"/>
      <c r="K279" s="3" t="s">
        <v>546</v>
      </c>
      <c r="L279" s="3" t="s">
        <v>458</v>
      </c>
      <c r="M279" s="3">
        <v>2.6</v>
      </c>
      <c r="N279" s="3">
        <v>341</v>
      </c>
      <c r="O279" s="3" t="str">
        <f t="shared" si="36"/>
        <v>2011</v>
      </c>
      <c r="P279" s="2">
        <v>344</v>
      </c>
      <c r="Y279">
        <v>3.09</v>
      </c>
    </row>
    <row r="280" spans="1:25" x14ac:dyDescent="0.35">
      <c r="A280" s="3">
        <v>2023</v>
      </c>
      <c r="B280" s="3">
        <v>7</v>
      </c>
      <c r="C280" s="3">
        <v>17</v>
      </c>
      <c r="D280" s="2">
        <v>344</v>
      </c>
      <c r="E280" s="3" t="s">
        <v>810</v>
      </c>
      <c r="F280" s="3">
        <v>3</v>
      </c>
      <c r="G280" s="3" t="s">
        <v>41</v>
      </c>
      <c r="H280" s="3" t="str">
        <f t="shared" si="37"/>
        <v>2013</v>
      </c>
      <c r="I280" s="3">
        <v>10</v>
      </c>
      <c r="J280" s="69"/>
      <c r="K280" s="3" t="s">
        <v>546</v>
      </c>
      <c r="L280" s="3" t="s">
        <v>458</v>
      </c>
      <c r="M280" s="3">
        <v>2.6</v>
      </c>
      <c r="N280" s="3">
        <v>341</v>
      </c>
      <c r="O280" s="3" t="str">
        <f t="shared" si="36"/>
        <v>2011</v>
      </c>
      <c r="P280" s="2">
        <v>344</v>
      </c>
      <c r="Y280">
        <v>2.52</v>
      </c>
    </row>
    <row r="281" spans="1:25" x14ac:dyDescent="0.35">
      <c r="A281" s="3">
        <v>2023</v>
      </c>
      <c r="B281" s="3">
        <v>2</v>
      </c>
      <c r="C281" s="3">
        <v>10</v>
      </c>
      <c r="D281" s="2">
        <v>149</v>
      </c>
      <c r="E281" s="3" t="s">
        <v>594</v>
      </c>
      <c r="F281" s="3">
        <v>1</v>
      </c>
      <c r="G281" s="3" t="s">
        <v>41</v>
      </c>
      <c r="H281" s="3" t="str">
        <f t="shared" si="37"/>
        <v>2013</v>
      </c>
      <c r="I281" s="3">
        <v>10</v>
      </c>
      <c r="J281" s="69"/>
      <c r="K281" s="3" t="s">
        <v>91</v>
      </c>
      <c r="L281" s="3" t="s">
        <v>318</v>
      </c>
      <c r="M281" s="3">
        <v>80.400000000000006</v>
      </c>
      <c r="N281" s="3">
        <v>342</v>
      </c>
      <c r="O281" s="3" t="str">
        <f t="shared" si="36"/>
        <v>2011</v>
      </c>
      <c r="P281" s="2">
        <v>149</v>
      </c>
      <c r="S281">
        <v>3.84</v>
      </c>
    </row>
    <row r="282" spans="1:25" x14ac:dyDescent="0.35">
      <c r="A282" s="3">
        <v>2024</v>
      </c>
      <c r="B282" s="3">
        <v>8</v>
      </c>
      <c r="C282" s="3">
        <v>19</v>
      </c>
      <c r="D282" s="2">
        <v>780</v>
      </c>
      <c r="E282" s="3" t="s">
        <v>1163</v>
      </c>
      <c r="F282" s="3">
        <v>3</v>
      </c>
      <c r="G282" s="3" t="s">
        <v>225</v>
      </c>
      <c r="H282" s="3" t="str">
        <f t="shared" si="37"/>
        <v>2021</v>
      </c>
      <c r="I282" s="3">
        <v>3</v>
      </c>
      <c r="J282" s="69"/>
      <c r="K282">
        <v>3</v>
      </c>
      <c r="L282">
        <v>3</v>
      </c>
      <c r="M282">
        <v>35.299999999999997</v>
      </c>
      <c r="N282" s="3">
        <v>342</v>
      </c>
      <c r="O282" s="3" t="str">
        <f t="shared" si="36"/>
        <v>2021</v>
      </c>
      <c r="P282" s="2">
        <v>780</v>
      </c>
    </row>
    <row r="283" spans="1:25" x14ac:dyDescent="0.35">
      <c r="A283" s="3">
        <v>2024</v>
      </c>
      <c r="B283" s="3">
        <v>2</v>
      </c>
      <c r="C283" s="3">
        <v>23</v>
      </c>
      <c r="D283" s="2">
        <v>637</v>
      </c>
      <c r="E283" s="3" t="s">
        <v>1073</v>
      </c>
      <c r="F283" s="3">
        <v>1</v>
      </c>
      <c r="G283" s="3" t="s">
        <v>225</v>
      </c>
      <c r="H283" s="3" t="str">
        <f t="shared" si="37"/>
        <v>2022</v>
      </c>
      <c r="I283" s="3">
        <v>2</v>
      </c>
      <c r="J283" s="69"/>
      <c r="K283" t="s">
        <v>21</v>
      </c>
      <c r="L283" s="3">
        <v>2</v>
      </c>
      <c r="M283">
        <v>42.1</v>
      </c>
      <c r="N283" s="3">
        <v>343</v>
      </c>
      <c r="O283" s="3" t="str">
        <f t="shared" si="36"/>
        <v>2021</v>
      </c>
      <c r="P283" s="2">
        <v>637</v>
      </c>
      <c r="Q283" s="2">
        <v>2.67</v>
      </c>
      <c r="W283">
        <v>4.66</v>
      </c>
    </row>
    <row r="284" spans="1:25" x14ac:dyDescent="0.35">
      <c r="A284" s="3">
        <v>2023</v>
      </c>
      <c r="B284" s="3">
        <v>11</v>
      </c>
      <c r="C284" s="3">
        <v>2</v>
      </c>
      <c r="D284" s="2">
        <v>527</v>
      </c>
      <c r="E284" s="3" t="s">
        <v>981</v>
      </c>
      <c r="F284" s="3">
        <v>4</v>
      </c>
      <c r="G284" s="3" t="s">
        <v>45</v>
      </c>
      <c r="H284" s="3" t="str">
        <f t="shared" si="37"/>
        <v>2011</v>
      </c>
      <c r="I284" s="3">
        <v>12</v>
      </c>
      <c r="J284" s="69"/>
      <c r="K284" s="3" t="s">
        <v>615</v>
      </c>
      <c r="L284" s="3" t="s">
        <v>317</v>
      </c>
      <c r="M284" s="3">
        <v>26.4</v>
      </c>
      <c r="N284" s="3">
        <v>344</v>
      </c>
      <c r="O284" s="3" t="str">
        <f t="shared" si="36"/>
        <v>2007</v>
      </c>
      <c r="P284" s="2">
        <v>527</v>
      </c>
    </row>
    <row r="285" spans="1:25" x14ac:dyDescent="0.35">
      <c r="A285" s="3">
        <v>2024</v>
      </c>
      <c r="B285" s="3">
        <v>1</v>
      </c>
      <c r="C285" s="3">
        <v>14</v>
      </c>
      <c r="D285" s="2">
        <v>610</v>
      </c>
      <c r="E285" s="3" t="s">
        <v>1052</v>
      </c>
      <c r="F285" s="3">
        <v>1</v>
      </c>
      <c r="G285" s="3" t="s">
        <v>45</v>
      </c>
      <c r="H285" s="3" t="str">
        <f t="shared" si="37"/>
        <v>2011</v>
      </c>
      <c r="I285" s="3">
        <v>13</v>
      </c>
      <c r="J285" s="69"/>
      <c r="K285" t="s">
        <v>977</v>
      </c>
      <c r="L285" s="3" t="s">
        <v>317</v>
      </c>
      <c r="M285">
        <v>34.4</v>
      </c>
      <c r="N285" s="3">
        <v>344</v>
      </c>
      <c r="O285" s="3" t="str">
        <f t="shared" si="36"/>
        <v>2007</v>
      </c>
      <c r="P285" s="2">
        <v>610</v>
      </c>
    </row>
    <row r="286" spans="1:25" x14ac:dyDescent="0.35">
      <c r="A286" s="3">
        <v>2023</v>
      </c>
      <c r="B286" s="3">
        <v>7</v>
      </c>
      <c r="C286" s="3">
        <v>17</v>
      </c>
      <c r="D286" s="2">
        <v>395</v>
      </c>
      <c r="E286" s="3" t="s">
        <v>860</v>
      </c>
      <c r="F286" s="3">
        <v>3</v>
      </c>
      <c r="G286" s="3" t="s">
        <v>45</v>
      </c>
      <c r="H286" s="3" t="str">
        <f t="shared" si="37"/>
        <v>2011</v>
      </c>
      <c r="I286" s="3">
        <v>12</v>
      </c>
      <c r="J286" s="69"/>
      <c r="K286" s="3" t="s">
        <v>632</v>
      </c>
      <c r="L286" s="3" t="s">
        <v>317</v>
      </c>
      <c r="M286" s="3">
        <v>26.2</v>
      </c>
      <c r="N286" s="3">
        <v>345</v>
      </c>
      <c r="O286" s="3" t="str">
        <f t="shared" si="36"/>
        <v>2007</v>
      </c>
      <c r="P286" s="2">
        <v>395</v>
      </c>
      <c r="V286">
        <v>3.94</v>
      </c>
    </row>
    <row r="287" spans="1:25" x14ac:dyDescent="0.35">
      <c r="A287" s="3">
        <v>2017</v>
      </c>
      <c r="B287" s="3">
        <v>11</v>
      </c>
      <c r="C287" s="3">
        <v>9</v>
      </c>
      <c r="D287" s="2">
        <v>82</v>
      </c>
      <c r="E287" s="14" t="s">
        <v>527</v>
      </c>
      <c r="F287" s="15">
        <v>4</v>
      </c>
      <c r="G287" s="3" t="s">
        <v>45</v>
      </c>
      <c r="H287" s="3" t="str">
        <f t="shared" si="37"/>
        <v>2011</v>
      </c>
      <c r="I287" s="3">
        <v>6</v>
      </c>
      <c r="J287" s="69"/>
      <c r="K287" s="3" t="s">
        <v>317</v>
      </c>
      <c r="L287" s="3" t="s">
        <v>317</v>
      </c>
      <c r="M287" s="3">
        <v>29.4</v>
      </c>
      <c r="N287" s="3">
        <v>345</v>
      </c>
      <c r="O287" s="3" t="str">
        <f t="shared" si="36"/>
        <v>2007</v>
      </c>
      <c r="P287" s="2">
        <v>82</v>
      </c>
    </row>
    <row r="288" spans="1:25" x14ac:dyDescent="0.35">
      <c r="A288" s="3">
        <v>2024</v>
      </c>
      <c r="B288" s="3">
        <v>1</v>
      </c>
      <c r="C288" s="3">
        <v>19</v>
      </c>
      <c r="D288" s="2">
        <v>580</v>
      </c>
      <c r="E288" s="3" t="s">
        <v>1024</v>
      </c>
      <c r="F288" s="3">
        <v>1</v>
      </c>
      <c r="G288" s="3" t="s">
        <v>41</v>
      </c>
      <c r="H288" s="3" t="str">
        <f t="shared" si="37"/>
        <v>2013</v>
      </c>
      <c r="I288" s="3">
        <v>11</v>
      </c>
      <c r="J288" s="69"/>
      <c r="K288" t="s">
        <v>42</v>
      </c>
      <c r="L288" s="3" t="s">
        <v>318</v>
      </c>
      <c r="M288">
        <v>41</v>
      </c>
      <c r="N288" s="3">
        <v>345</v>
      </c>
      <c r="O288" s="3" t="str">
        <f t="shared" si="36"/>
        <v>2011</v>
      </c>
      <c r="P288" s="2">
        <v>580</v>
      </c>
    </row>
    <row r="289" spans="1:23" x14ac:dyDescent="0.35">
      <c r="A289" s="3">
        <v>2019</v>
      </c>
      <c r="B289" s="3">
        <v>2</v>
      </c>
      <c r="C289" s="3">
        <v>21</v>
      </c>
      <c r="D289" s="2">
        <v>156</v>
      </c>
      <c r="E289" s="3" t="s">
        <v>601</v>
      </c>
      <c r="F289" s="3">
        <v>1</v>
      </c>
      <c r="G289" s="3" t="s">
        <v>45</v>
      </c>
      <c r="H289" s="3" t="str">
        <f t="shared" si="37"/>
        <v>2011</v>
      </c>
      <c r="I289" s="3">
        <v>8</v>
      </c>
      <c r="J289" s="69"/>
      <c r="K289" s="3" t="s">
        <v>602</v>
      </c>
      <c r="L289" s="3" t="s">
        <v>317</v>
      </c>
      <c r="M289" s="3">
        <v>37.5</v>
      </c>
      <c r="N289" s="3">
        <v>346</v>
      </c>
      <c r="O289" s="3" t="str">
        <f t="shared" si="36"/>
        <v>2007</v>
      </c>
      <c r="P289" s="2">
        <v>156</v>
      </c>
      <c r="Q289" s="2">
        <v>2.75</v>
      </c>
    </row>
    <row r="290" spans="1:23" x14ac:dyDescent="0.35">
      <c r="A290" s="3">
        <v>2024</v>
      </c>
      <c r="B290" s="3">
        <v>3</v>
      </c>
      <c r="C290" s="3">
        <v>28</v>
      </c>
      <c r="D290" s="2">
        <v>655</v>
      </c>
      <c r="E290" s="3" t="s">
        <v>147</v>
      </c>
      <c r="F290" s="3">
        <v>2</v>
      </c>
      <c r="G290" s="3" t="s">
        <v>41</v>
      </c>
      <c r="H290" s="3" t="str">
        <f t="shared" si="37"/>
        <v>2013</v>
      </c>
      <c r="I290" s="3">
        <v>11</v>
      </c>
      <c r="J290" s="69"/>
      <c r="K290" t="s">
        <v>49</v>
      </c>
      <c r="L290" t="s">
        <v>318</v>
      </c>
      <c r="M290">
        <v>35.6</v>
      </c>
      <c r="N290" s="3">
        <v>346</v>
      </c>
      <c r="O290" s="3" t="str">
        <f t="shared" si="36"/>
        <v>2011</v>
      </c>
      <c r="P290" s="2">
        <v>655</v>
      </c>
    </row>
    <row r="291" spans="1:23" x14ac:dyDescent="0.35">
      <c r="A291" s="3">
        <v>2023</v>
      </c>
      <c r="B291" s="3">
        <v>7</v>
      </c>
      <c r="C291" s="3">
        <v>17</v>
      </c>
      <c r="D291" s="2">
        <v>379</v>
      </c>
      <c r="E291" s="3" t="s">
        <v>845</v>
      </c>
      <c r="F291" s="3">
        <v>3</v>
      </c>
      <c r="G291" s="3" t="s">
        <v>45</v>
      </c>
      <c r="H291" s="3" t="str">
        <f t="shared" si="37"/>
        <v>2011</v>
      </c>
      <c r="I291" s="3">
        <v>12</v>
      </c>
      <c r="J291" s="69"/>
      <c r="K291" s="3" t="s">
        <v>46</v>
      </c>
      <c r="L291" s="3" t="s">
        <v>317</v>
      </c>
      <c r="M291" s="3">
        <v>31.6</v>
      </c>
      <c r="N291" s="3">
        <v>347</v>
      </c>
      <c r="O291" s="3" t="str">
        <f t="shared" si="36"/>
        <v>2007</v>
      </c>
      <c r="P291" s="2">
        <v>379</v>
      </c>
      <c r="V291">
        <v>2.56</v>
      </c>
    </row>
    <row r="292" spans="1:23" x14ac:dyDescent="0.35">
      <c r="A292" s="3">
        <v>2024</v>
      </c>
      <c r="B292" s="3">
        <v>3</v>
      </c>
      <c r="C292" s="3">
        <v>13</v>
      </c>
      <c r="D292" s="2">
        <v>668</v>
      </c>
      <c r="E292" s="3" t="s">
        <v>1087</v>
      </c>
      <c r="F292" s="3">
        <v>2</v>
      </c>
      <c r="G292" s="3" t="s">
        <v>226</v>
      </c>
      <c r="H292" s="3" t="str">
        <f t="shared" si="37"/>
        <v>2017</v>
      </c>
      <c r="I292" s="3">
        <v>7</v>
      </c>
      <c r="J292" s="69"/>
      <c r="K292" t="s">
        <v>1088</v>
      </c>
      <c r="L292">
        <v>7</v>
      </c>
      <c r="M292">
        <v>38.299999999999997</v>
      </c>
      <c r="N292" s="3">
        <v>347</v>
      </c>
      <c r="O292" s="3" t="str">
        <f t="shared" si="36"/>
        <v>2017</v>
      </c>
      <c r="P292" s="2">
        <v>668</v>
      </c>
    </row>
    <row r="293" spans="1:23" x14ac:dyDescent="0.35">
      <c r="A293" s="3">
        <v>2024</v>
      </c>
      <c r="B293" s="3">
        <v>8</v>
      </c>
      <c r="C293" s="3">
        <v>8</v>
      </c>
      <c r="D293" s="2">
        <v>706</v>
      </c>
      <c r="E293" s="3" t="s">
        <v>1123</v>
      </c>
      <c r="F293" s="3">
        <v>3</v>
      </c>
      <c r="G293" s="3" t="s">
        <v>45</v>
      </c>
      <c r="H293" s="3" t="str">
        <f t="shared" si="37"/>
        <v>2011</v>
      </c>
      <c r="I293" s="3">
        <v>13</v>
      </c>
      <c r="J293" s="69"/>
      <c r="K293" t="s">
        <v>632</v>
      </c>
      <c r="L293" t="s">
        <v>317</v>
      </c>
      <c r="M293">
        <v>33.4</v>
      </c>
      <c r="N293" s="3">
        <v>348</v>
      </c>
      <c r="O293" s="3" t="str">
        <f t="shared" si="36"/>
        <v>2007</v>
      </c>
      <c r="P293" s="2">
        <v>706</v>
      </c>
    </row>
    <row r="294" spans="1:23" x14ac:dyDescent="0.35">
      <c r="A294" s="3">
        <v>2016</v>
      </c>
      <c r="B294" s="3">
        <v>9</v>
      </c>
      <c r="C294" s="3">
        <v>1</v>
      </c>
      <c r="D294" s="2">
        <v>260</v>
      </c>
      <c r="E294" s="3" t="s">
        <v>721</v>
      </c>
      <c r="F294" s="3">
        <v>3</v>
      </c>
      <c r="G294" s="3" t="s">
        <v>45</v>
      </c>
      <c r="H294" s="3" t="str">
        <f t="shared" si="37"/>
        <v>2011</v>
      </c>
      <c r="I294" s="3">
        <v>5</v>
      </c>
      <c r="J294" s="69"/>
      <c r="K294" s="3" t="s">
        <v>718</v>
      </c>
      <c r="L294" s="3" t="s">
        <v>317</v>
      </c>
      <c r="M294" s="3">
        <v>37.200000000000003</v>
      </c>
      <c r="N294" s="3">
        <v>349</v>
      </c>
      <c r="O294" s="3" t="str">
        <f t="shared" si="36"/>
        <v>2007</v>
      </c>
      <c r="P294" s="2">
        <v>260</v>
      </c>
    </row>
    <row r="295" spans="1:23" x14ac:dyDescent="0.35">
      <c r="A295" s="3">
        <v>2024</v>
      </c>
      <c r="B295" s="3">
        <v>6</v>
      </c>
      <c r="C295" s="3">
        <v>19</v>
      </c>
      <c r="D295" s="2">
        <v>801</v>
      </c>
      <c r="E295" s="3" t="s">
        <v>1173</v>
      </c>
      <c r="F295" s="3">
        <v>3</v>
      </c>
      <c r="G295" s="3" t="s">
        <v>225</v>
      </c>
      <c r="H295" s="3" t="str">
        <f t="shared" si="37"/>
        <v>2021</v>
      </c>
      <c r="I295" s="3">
        <v>3</v>
      </c>
      <c r="J295" s="69"/>
      <c r="K295" t="s">
        <v>1162</v>
      </c>
      <c r="L295">
        <v>3</v>
      </c>
      <c r="M295">
        <v>45.8</v>
      </c>
      <c r="N295" s="3">
        <v>349</v>
      </c>
      <c r="O295" s="3" t="str">
        <f t="shared" si="36"/>
        <v>2021</v>
      </c>
      <c r="P295" s="2">
        <v>801</v>
      </c>
    </row>
    <row r="296" spans="1:23" x14ac:dyDescent="0.35">
      <c r="A296" s="3">
        <v>2019</v>
      </c>
      <c r="B296" s="3">
        <v>8</v>
      </c>
      <c r="C296" s="3">
        <v>5</v>
      </c>
      <c r="D296" s="2">
        <v>311</v>
      </c>
      <c r="E296" s="3" t="s">
        <v>777</v>
      </c>
      <c r="F296" s="3">
        <v>3</v>
      </c>
      <c r="G296" s="3" t="s">
        <v>20</v>
      </c>
      <c r="H296" s="3" t="str">
        <f t="shared" si="37"/>
        <v>2018</v>
      </c>
      <c r="I296" s="3">
        <v>1</v>
      </c>
      <c r="J296" s="69"/>
      <c r="K296" s="3" t="s">
        <v>778</v>
      </c>
      <c r="L296" s="3">
        <v>6</v>
      </c>
      <c r="M296" s="3">
        <v>38.200000000000003</v>
      </c>
      <c r="N296" s="3">
        <v>350</v>
      </c>
      <c r="O296" s="3" t="str">
        <f t="shared" si="36"/>
        <v>2018</v>
      </c>
      <c r="P296" s="2">
        <v>311</v>
      </c>
    </row>
    <row r="297" spans="1:23" x14ac:dyDescent="0.35">
      <c r="A297" s="3">
        <v>2024</v>
      </c>
      <c r="B297" s="3">
        <v>1</v>
      </c>
      <c r="C297" s="3">
        <v>18</v>
      </c>
      <c r="D297" s="2">
        <v>559</v>
      </c>
      <c r="E297" s="3" t="s">
        <v>1004</v>
      </c>
      <c r="F297" s="3">
        <v>1</v>
      </c>
      <c r="G297" s="3" t="s">
        <v>41</v>
      </c>
      <c r="H297" s="3" t="str">
        <f t="shared" si="37"/>
        <v>2012</v>
      </c>
      <c r="I297" s="3">
        <v>12</v>
      </c>
      <c r="J297" s="69"/>
      <c r="K297" t="s">
        <v>541</v>
      </c>
      <c r="L297" s="3" t="s">
        <v>461</v>
      </c>
      <c r="M297">
        <v>31.1</v>
      </c>
      <c r="N297" s="3">
        <v>350</v>
      </c>
      <c r="O297" s="3" t="str">
        <f t="shared" si="36"/>
        <v>2011</v>
      </c>
      <c r="P297" s="2">
        <v>559</v>
      </c>
    </row>
    <row r="298" spans="1:23" x14ac:dyDescent="0.35">
      <c r="A298" s="3">
        <v>2024</v>
      </c>
      <c r="B298" s="3">
        <v>8</v>
      </c>
      <c r="C298" s="3">
        <v>19</v>
      </c>
      <c r="D298" s="2">
        <v>790</v>
      </c>
      <c r="E298" s="3" t="s">
        <v>1170</v>
      </c>
      <c r="F298" s="3">
        <v>3</v>
      </c>
      <c r="G298" s="3" t="s">
        <v>225</v>
      </c>
      <c r="H298" s="3" t="str">
        <f t="shared" si="37"/>
        <v>2021</v>
      </c>
      <c r="I298" s="3">
        <v>3</v>
      </c>
      <c r="J298" s="69"/>
      <c r="K298">
        <v>3</v>
      </c>
      <c r="L298">
        <v>3</v>
      </c>
      <c r="M298">
        <v>64.099999999999994</v>
      </c>
      <c r="N298" s="3">
        <v>350</v>
      </c>
      <c r="O298" s="3" t="str">
        <f t="shared" si="36"/>
        <v>2021</v>
      </c>
      <c r="P298" s="2">
        <v>790</v>
      </c>
    </row>
    <row r="299" spans="1:23" x14ac:dyDescent="0.35">
      <c r="A299" s="3">
        <v>2024</v>
      </c>
      <c r="B299" s="3">
        <v>1</v>
      </c>
      <c r="C299" s="3">
        <v>19</v>
      </c>
      <c r="D299" s="2">
        <v>579</v>
      </c>
      <c r="E299" s="3" t="s">
        <v>1023</v>
      </c>
      <c r="F299" s="3">
        <v>1</v>
      </c>
      <c r="G299" s="3" t="s">
        <v>41</v>
      </c>
      <c r="H299" s="3" t="str">
        <f t="shared" si="37"/>
        <v>2013</v>
      </c>
      <c r="I299" s="3">
        <v>11</v>
      </c>
      <c r="J299" s="69"/>
      <c r="K299" t="s">
        <v>42</v>
      </c>
      <c r="L299" s="3" t="s">
        <v>318</v>
      </c>
      <c r="M299">
        <v>38</v>
      </c>
      <c r="N299" s="3">
        <v>351</v>
      </c>
      <c r="O299" s="3" t="str">
        <f t="shared" si="36"/>
        <v>2011</v>
      </c>
      <c r="P299" s="2">
        <v>579</v>
      </c>
      <c r="S299">
        <v>4.17</v>
      </c>
      <c r="U299">
        <v>4.1500000000000004</v>
      </c>
    </row>
    <row r="300" spans="1:23" x14ac:dyDescent="0.35">
      <c r="A300" s="3">
        <v>2023</v>
      </c>
      <c r="B300" s="3">
        <v>7</v>
      </c>
      <c r="C300" s="3">
        <v>17</v>
      </c>
      <c r="D300" s="2">
        <v>397</v>
      </c>
      <c r="E300" s="3" t="s">
        <v>862</v>
      </c>
      <c r="F300" s="3">
        <v>3</v>
      </c>
      <c r="G300" s="3" t="s">
        <v>45</v>
      </c>
      <c r="H300" s="3" t="str">
        <f t="shared" si="37"/>
        <v>2011</v>
      </c>
      <c r="I300" s="3">
        <v>12</v>
      </c>
      <c r="J300" s="69"/>
      <c r="K300" s="3" t="s">
        <v>632</v>
      </c>
      <c r="L300" s="3" t="s">
        <v>317</v>
      </c>
      <c r="M300" s="3">
        <v>31.2</v>
      </c>
      <c r="N300" s="3">
        <v>351</v>
      </c>
      <c r="O300" s="3" t="str">
        <f t="shared" si="36"/>
        <v>2007</v>
      </c>
      <c r="P300" s="2">
        <v>397</v>
      </c>
      <c r="T300">
        <v>2.36</v>
      </c>
    </row>
    <row r="301" spans="1:23" x14ac:dyDescent="0.35">
      <c r="A301" s="3">
        <v>2021</v>
      </c>
      <c r="B301" s="3" t="s">
        <v>28</v>
      </c>
      <c r="C301" s="3" t="s">
        <v>28</v>
      </c>
      <c r="D301" s="2">
        <v>12</v>
      </c>
      <c r="E301" s="3" t="s">
        <v>454</v>
      </c>
      <c r="F301" s="3" t="s">
        <v>28</v>
      </c>
      <c r="G301" s="3" t="s">
        <v>45</v>
      </c>
      <c r="H301" s="3" t="str">
        <f t="shared" si="37"/>
        <v>2011</v>
      </c>
      <c r="I301" s="3">
        <v>10</v>
      </c>
      <c r="J301" s="69"/>
      <c r="K301" s="3" t="s">
        <v>317</v>
      </c>
      <c r="L301" s="3" t="s">
        <v>317</v>
      </c>
      <c r="M301" s="3">
        <v>39.6</v>
      </c>
      <c r="N301" s="3">
        <v>352</v>
      </c>
      <c r="O301" s="3" t="str">
        <f t="shared" si="36"/>
        <v>2007</v>
      </c>
      <c r="P301" s="2">
        <v>12</v>
      </c>
    </row>
    <row r="302" spans="1:23" x14ac:dyDescent="0.35">
      <c r="A302" s="3">
        <v>2024</v>
      </c>
      <c r="B302" s="3">
        <v>1</v>
      </c>
      <c r="C302" s="3">
        <v>22</v>
      </c>
      <c r="D302" s="2">
        <v>602</v>
      </c>
      <c r="E302" s="3" t="s">
        <v>132</v>
      </c>
      <c r="F302" s="3">
        <v>1</v>
      </c>
      <c r="G302" s="3" t="s">
        <v>20</v>
      </c>
      <c r="H302" s="3" t="str">
        <f t="shared" si="37"/>
        <v>2020</v>
      </c>
      <c r="I302" s="3">
        <v>4</v>
      </c>
      <c r="J302" s="69"/>
      <c r="K302" t="s">
        <v>233</v>
      </c>
      <c r="L302">
        <v>37</v>
      </c>
      <c r="M302">
        <v>42.6</v>
      </c>
      <c r="N302" s="3">
        <v>352</v>
      </c>
      <c r="O302" s="3" t="str">
        <f t="shared" si="36"/>
        <v>2018</v>
      </c>
      <c r="P302" s="2">
        <v>602</v>
      </c>
      <c r="Q302" s="2">
        <v>3.39</v>
      </c>
    </row>
    <row r="303" spans="1:23" x14ac:dyDescent="0.35">
      <c r="A303" s="3">
        <v>2016</v>
      </c>
      <c r="B303" s="3">
        <v>9</v>
      </c>
      <c r="C303" s="3">
        <v>2</v>
      </c>
      <c r="D303" s="2">
        <v>291</v>
      </c>
      <c r="E303" s="3" t="s">
        <v>757</v>
      </c>
      <c r="F303" s="3">
        <v>3</v>
      </c>
      <c r="G303" s="3" t="s">
        <v>41</v>
      </c>
      <c r="H303" s="3" t="str">
        <f t="shared" si="37"/>
        <v>2013</v>
      </c>
      <c r="I303" s="3">
        <v>3</v>
      </c>
      <c r="J303" s="69"/>
      <c r="K303" s="3" t="s">
        <v>42</v>
      </c>
      <c r="L303" s="3" t="s">
        <v>318</v>
      </c>
      <c r="M303" s="3">
        <v>37.299999999999997</v>
      </c>
      <c r="N303" s="3">
        <v>353</v>
      </c>
      <c r="O303" s="3" t="str">
        <f t="shared" si="36"/>
        <v>2011</v>
      </c>
      <c r="P303" s="2">
        <v>291</v>
      </c>
      <c r="W303">
        <v>4.1100000000000003</v>
      </c>
    </row>
    <row r="304" spans="1:23" x14ac:dyDescent="0.35">
      <c r="A304" s="3">
        <v>2024</v>
      </c>
      <c r="B304" s="3">
        <v>1</v>
      </c>
      <c r="C304" s="3">
        <v>17</v>
      </c>
      <c r="D304" s="2">
        <v>567</v>
      </c>
      <c r="E304" s="3" t="s">
        <v>1012</v>
      </c>
      <c r="F304" s="3">
        <v>1</v>
      </c>
      <c r="G304" s="3" t="s">
        <v>41</v>
      </c>
      <c r="H304" s="3" t="str">
        <f t="shared" si="37"/>
        <v>2013</v>
      </c>
      <c r="I304" s="3">
        <v>11</v>
      </c>
      <c r="J304" s="69"/>
      <c r="K304" t="s">
        <v>42</v>
      </c>
      <c r="L304" s="3" t="s">
        <v>318</v>
      </c>
      <c r="M304">
        <v>40.9</v>
      </c>
      <c r="N304" s="3">
        <v>353</v>
      </c>
      <c r="O304" s="3" t="str">
        <f t="shared" si="36"/>
        <v>2011</v>
      </c>
      <c r="P304" s="2">
        <v>567</v>
      </c>
    </row>
    <row r="305" spans="1:25" x14ac:dyDescent="0.35">
      <c r="A305" s="3">
        <v>2024</v>
      </c>
      <c r="B305" s="3">
        <v>8</v>
      </c>
      <c r="C305" s="3">
        <v>13</v>
      </c>
      <c r="D305" s="2">
        <v>759</v>
      </c>
      <c r="E305" s="3" t="s">
        <v>1152</v>
      </c>
      <c r="F305" s="3">
        <v>3</v>
      </c>
      <c r="G305" s="3" t="s">
        <v>225</v>
      </c>
      <c r="H305" s="3" t="str">
        <f t="shared" si="37"/>
        <v>2021</v>
      </c>
      <c r="I305" s="3">
        <v>3</v>
      </c>
      <c r="J305" s="69"/>
      <c r="K305" s="6" t="s">
        <v>1076</v>
      </c>
      <c r="L305">
        <v>3</v>
      </c>
      <c r="M305">
        <v>39.9</v>
      </c>
      <c r="N305" s="3">
        <v>354</v>
      </c>
      <c r="O305" s="3" t="str">
        <f t="shared" si="36"/>
        <v>2021</v>
      </c>
      <c r="P305" s="2">
        <v>759</v>
      </c>
      <c r="W305">
        <v>2.33</v>
      </c>
    </row>
    <row r="306" spans="1:25" x14ac:dyDescent="0.35">
      <c r="A306" s="3">
        <v>2019</v>
      </c>
      <c r="B306" s="3">
        <v>11</v>
      </c>
      <c r="C306" s="3">
        <v>27</v>
      </c>
      <c r="D306" s="2">
        <v>46</v>
      </c>
      <c r="E306" s="3" t="s">
        <v>489</v>
      </c>
      <c r="F306" s="3">
        <v>4</v>
      </c>
      <c r="G306" s="3" t="s">
        <v>45</v>
      </c>
      <c r="H306" s="3" t="str">
        <f t="shared" si="37"/>
        <v>2009</v>
      </c>
      <c r="I306" s="3">
        <v>10</v>
      </c>
      <c r="J306" s="69"/>
      <c r="K306" s="3" t="s">
        <v>488</v>
      </c>
      <c r="L306" s="3" t="s">
        <v>488</v>
      </c>
      <c r="M306" s="3">
        <v>44.2</v>
      </c>
      <c r="N306" s="3">
        <v>354</v>
      </c>
      <c r="O306" s="3" t="str">
        <f t="shared" si="36"/>
        <v>2007</v>
      </c>
      <c r="P306" s="2">
        <v>46</v>
      </c>
    </row>
    <row r="307" spans="1:25" x14ac:dyDescent="0.35">
      <c r="A307" s="3">
        <v>2018</v>
      </c>
      <c r="B307" s="3">
        <v>8</v>
      </c>
      <c r="C307" s="3">
        <v>16</v>
      </c>
      <c r="D307" s="2">
        <v>332</v>
      </c>
      <c r="E307" s="3" t="s">
        <v>799</v>
      </c>
      <c r="F307" s="3">
        <v>3</v>
      </c>
      <c r="G307" s="3" t="s">
        <v>45</v>
      </c>
      <c r="H307" s="3" t="str">
        <f t="shared" si="37"/>
        <v>2011</v>
      </c>
      <c r="I307" s="3">
        <v>7</v>
      </c>
      <c r="J307" s="69"/>
      <c r="K307" s="3" t="s">
        <v>632</v>
      </c>
      <c r="L307" s="3" t="s">
        <v>317</v>
      </c>
      <c r="M307" s="3">
        <v>32.6</v>
      </c>
      <c r="N307" s="3">
        <v>354</v>
      </c>
      <c r="O307" s="3" t="str">
        <f t="shared" si="36"/>
        <v>2007</v>
      </c>
      <c r="P307" s="2">
        <v>332</v>
      </c>
    </row>
    <row r="308" spans="1:25" x14ac:dyDescent="0.35">
      <c r="A308" s="3">
        <v>2024</v>
      </c>
      <c r="B308" s="3">
        <v>1</v>
      </c>
      <c r="C308" s="3">
        <v>24</v>
      </c>
      <c r="D308" s="2">
        <v>550</v>
      </c>
      <c r="E308" s="3" t="s">
        <v>997</v>
      </c>
      <c r="F308" s="3">
        <v>1</v>
      </c>
      <c r="G308" s="3" t="s">
        <v>20</v>
      </c>
      <c r="H308" s="3" t="str">
        <f t="shared" si="37"/>
        <v>2018</v>
      </c>
      <c r="I308" s="3">
        <v>6</v>
      </c>
      <c r="J308" s="69"/>
      <c r="K308" t="s">
        <v>998</v>
      </c>
      <c r="L308">
        <v>6</v>
      </c>
      <c r="M308">
        <v>44.9</v>
      </c>
      <c r="N308" s="3">
        <v>354</v>
      </c>
      <c r="O308" s="3" t="str">
        <f t="shared" si="36"/>
        <v>2018</v>
      </c>
      <c r="P308" s="2">
        <v>550</v>
      </c>
    </row>
    <row r="309" spans="1:25" x14ac:dyDescent="0.35">
      <c r="A309" s="3">
        <v>2024</v>
      </c>
      <c r="B309" s="3">
        <v>3</v>
      </c>
      <c r="C309" s="3">
        <v>12</v>
      </c>
      <c r="D309" s="2">
        <v>686</v>
      </c>
      <c r="E309" s="3" t="s">
        <v>1107</v>
      </c>
      <c r="F309" s="3">
        <v>2</v>
      </c>
      <c r="G309" s="3" t="s">
        <v>45</v>
      </c>
      <c r="H309" s="3" t="str">
        <f t="shared" si="37"/>
        <v>2011</v>
      </c>
      <c r="I309" s="3">
        <v>13</v>
      </c>
      <c r="J309" s="69"/>
      <c r="K309" t="s">
        <v>1105</v>
      </c>
      <c r="L309" t="s">
        <v>317</v>
      </c>
      <c r="M309">
        <v>39.799999999999997</v>
      </c>
      <c r="N309" s="3">
        <v>355</v>
      </c>
      <c r="O309" s="3" t="str">
        <f t="shared" si="36"/>
        <v>2007</v>
      </c>
      <c r="P309" s="2">
        <v>686</v>
      </c>
      <c r="S309">
        <v>5.53</v>
      </c>
    </row>
    <row r="310" spans="1:25" x14ac:dyDescent="0.35">
      <c r="A310" s="3">
        <v>2022</v>
      </c>
      <c r="B310" s="3">
        <v>3</v>
      </c>
      <c r="C310" s="3" t="s">
        <v>28</v>
      </c>
      <c r="D310" s="2">
        <v>8</v>
      </c>
      <c r="E310" s="3" t="s">
        <v>451</v>
      </c>
      <c r="F310" s="3">
        <v>2</v>
      </c>
      <c r="G310" s="3" t="s">
        <v>20</v>
      </c>
      <c r="H310" s="3" t="str">
        <f t="shared" si="37"/>
        <v>2019</v>
      </c>
      <c r="I310" s="3">
        <v>3</v>
      </c>
      <c r="J310" s="69"/>
      <c r="K310" s="3">
        <v>23</v>
      </c>
      <c r="L310" s="3">
        <v>23</v>
      </c>
      <c r="M310" s="3">
        <v>39.5</v>
      </c>
      <c r="N310" s="3">
        <v>355</v>
      </c>
      <c r="O310" s="3" t="str">
        <f t="shared" si="36"/>
        <v>2018</v>
      </c>
      <c r="P310" s="2">
        <v>8</v>
      </c>
      <c r="S310">
        <v>4.18</v>
      </c>
    </row>
    <row r="311" spans="1:25" x14ac:dyDescent="0.35">
      <c r="A311" s="3">
        <v>2022</v>
      </c>
      <c r="B311" s="3">
        <v>11</v>
      </c>
      <c r="C311" s="3">
        <v>7</v>
      </c>
      <c r="D311" s="2">
        <v>117</v>
      </c>
      <c r="E311" s="14" t="s">
        <v>563</v>
      </c>
      <c r="F311" s="15">
        <v>4</v>
      </c>
      <c r="G311" s="3" t="s">
        <v>41</v>
      </c>
      <c r="H311" s="3" t="str">
        <f t="shared" si="37"/>
        <v>2012</v>
      </c>
      <c r="I311" s="3">
        <v>10</v>
      </c>
      <c r="J311" s="69"/>
      <c r="K311" s="3" t="s">
        <v>461</v>
      </c>
      <c r="L311" s="3" t="s">
        <v>461</v>
      </c>
      <c r="M311" s="3">
        <v>36.1</v>
      </c>
      <c r="N311" s="3">
        <v>355</v>
      </c>
      <c r="O311" s="3" t="str">
        <f t="shared" si="36"/>
        <v>2011</v>
      </c>
      <c r="P311" s="2">
        <v>117</v>
      </c>
      <c r="Q311" s="2">
        <v>1.34</v>
      </c>
    </row>
    <row r="312" spans="1:25" x14ac:dyDescent="0.35">
      <c r="A312" s="3">
        <v>2016</v>
      </c>
      <c r="B312" s="3">
        <v>11</v>
      </c>
      <c r="C312" s="3">
        <v>16</v>
      </c>
      <c r="D312" s="2">
        <v>180</v>
      </c>
      <c r="E312" s="3" t="s">
        <v>630</v>
      </c>
      <c r="F312" s="3">
        <v>4</v>
      </c>
      <c r="G312" s="3" t="s">
        <v>41</v>
      </c>
      <c r="H312" s="3" t="str">
        <f t="shared" si="37"/>
        <v>2013</v>
      </c>
      <c r="I312" s="3">
        <v>3</v>
      </c>
      <c r="J312" s="69"/>
      <c r="K312" s="3" t="s">
        <v>49</v>
      </c>
      <c r="L312" s="3" t="s">
        <v>318</v>
      </c>
      <c r="M312" s="3">
        <v>37.1</v>
      </c>
      <c r="N312" s="3">
        <v>355</v>
      </c>
      <c r="O312" s="3" t="str">
        <f t="shared" si="36"/>
        <v>2011</v>
      </c>
      <c r="P312" s="2">
        <v>180</v>
      </c>
    </row>
    <row r="313" spans="1:25" x14ac:dyDescent="0.35">
      <c r="A313" s="3">
        <v>2023</v>
      </c>
      <c r="B313" s="3">
        <v>7</v>
      </c>
      <c r="C313" s="3">
        <v>17</v>
      </c>
      <c r="D313" s="2">
        <v>389</v>
      </c>
      <c r="E313" s="3" t="s">
        <v>854</v>
      </c>
      <c r="F313" s="3">
        <v>3</v>
      </c>
      <c r="G313" s="3" t="s">
        <v>45</v>
      </c>
      <c r="H313" s="3" t="str">
        <f t="shared" si="37"/>
        <v>2011</v>
      </c>
      <c r="I313" s="3">
        <v>12</v>
      </c>
      <c r="J313" s="69"/>
      <c r="K313" s="3" t="s">
        <v>632</v>
      </c>
      <c r="L313" s="3" t="s">
        <v>317</v>
      </c>
      <c r="M313" s="3">
        <v>31.8</v>
      </c>
      <c r="N313" s="3">
        <v>355</v>
      </c>
      <c r="O313" s="3" t="str">
        <f t="shared" si="36"/>
        <v>2007</v>
      </c>
      <c r="P313" s="2">
        <v>389</v>
      </c>
    </row>
    <row r="314" spans="1:25" x14ac:dyDescent="0.35">
      <c r="A314" s="3">
        <v>2024</v>
      </c>
      <c r="B314" s="3">
        <v>8</v>
      </c>
      <c r="C314" s="3">
        <v>6</v>
      </c>
      <c r="D314" s="2">
        <v>704</v>
      </c>
      <c r="E314" s="3" t="s">
        <v>240</v>
      </c>
      <c r="F314" s="3">
        <v>3</v>
      </c>
      <c r="G314" s="3" t="s">
        <v>20</v>
      </c>
      <c r="H314" s="3" t="str">
        <f t="shared" si="37"/>
        <v>2020</v>
      </c>
      <c r="I314" s="3">
        <v>4</v>
      </c>
      <c r="J314" s="69"/>
      <c r="K314" t="s">
        <v>233</v>
      </c>
      <c r="L314">
        <v>37</v>
      </c>
      <c r="M314">
        <v>34.6</v>
      </c>
      <c r="N314" s="3">
        <v>355</v>
      </c>
      <c r="O314" s="3" t="str">
        <f t="shared" si="36"/>
        <v>2018</v>
      </c>
      <c r="P314" s="2">
        <v>704</v>
      </c>
    </row>
    <row r="315" spans="1:25" x14ac:dyDescent="0.35">
      <c r="A315" s="3">
        <v>2019</v>
      </c>
      <c r="B315" s="3">
        <v>8</v>
      </c>
      <c r="C315" s="3">
        <v>9</v>
      </c>
      <c r="D315" s="2">
        <v>314</v>
      </c>
      <c r="E315" s="3" t="s">
        <v>781</v>
      </c>
      <c r="F315" s="3">
        <v>3</v>
      </c>
      <c r="G315" s="3" t="s">
        <v>45</v>
      </c>
      <c r="H315" s="3" t="str">
        <f t="shared" si="37"/>
        <v>2011</v>
      </c>
      <c r="I315" s="3">
        <v>8</v>
      </c>
      <c r="J315" s="69"/>
      <c r="K315" s="3" t="s">
        <v>317</v>
      </c>
      <c r="L315" s="3" t="s">
        <v>317</v>
      </c>
      <c r="M315" s="3">
        <v>27.6</v>
      </c>
      <c r="N315" s="3">
        <v>356</v>
      </c>
      <c r="O315" s="3" t="str">
        <f t="shared" si="36"/>
        <v>2007</v>
      </c>
      <c r="P315" s="2">
        <v>314</v>
      </c>
      <c r="U315">
        <v>4</v>
      </c>
      <c r="Y315">
        <v>3.48</v>
      </c>
    </row>
    <row r="316" spans="1:25" x14ac:dyDescent="0.35">
      <c r="A316" s="3">
        <v>2018</v>
      </c>
      <c r="B316" s="3">
        <v>8</v>
      </c>
      <c r="C316" s="3">
        <v>16</v>
      </c>
      <c r="D316" s="2">
        <v>327</v>
      </c>
      <c r="E316" s="3" t="s">
        <v>794</v>
      </c>
      <c r="F316" s="3">
        <v>3</v>
      </c>
      <c r="G316" s="3" t="s">
        <v>45</v>
      </c>
      <c r="H316" s="3" t="str">
        <f t="shared" si="37"/>
        <v>2011</v>
      </c>
      <c r="I316" s="3">
        <v>7</v>
      </c>
      <c r="J316" s="69"/>
      <c r="K316" s="3" t="s">
        <v>647</v>
      </c>
      <c r="L316" s="3" t="s">
        <v>317</v>
      </c>
      <c r="M316" s="3">
        <v>37.799999999999997</v>
      </c>
      <c r="N316" s="3">
        <v>356</v>
      </c>
      <c r="O316" s="3" t="str">
        <f t="shared" si="36"/>
        <v>2007</v>
      </c>
      <c r="P316" s="2">
        <v>327</v>
      </c>
      <c r="W316">
        <v>3.38</v>
      </c>
    </row>
    <row r="317" spans="1:25" x14ac:dyDescent="0.35">
      <c r="A317" s="3">
        <v>2023</v>
      </c>
      <c r="B317" s="3">
        <v>11</v>
      </c>
      <c r="C317" s="3">
        <v>7</v>
      </c>
      <c r="D317" s="2">
        <v>503</v>
      </c>
      <c r="E317" s="3" t="s">
        <v>957</v>
      </c>
      <c r="F317" s="3">
        <v>4</v>
      </c>
      <c r="G317" s="3" t="s">
        <v>41</v>
      </c>
      <c r="H317" s="3" t="str">
        <f t="shared" si="37"/>
        <v>2012</v>
      </c>
      <c r="I317" s="3">
        <v>11</v>
      </c>
      <c r="J317" s="69"/>
      <c r="K317" s="3" t="s">
        <v>958</v>
      </c>
      <c r="L317" s="3" t="s">
        <v>461</v>
      </c>
      <c r="M317" s="3">
        <v>34.5</v>
      </c>
      <c r="N317" s="3">
        <v>357</v>
      </c>
      <c r="O317" s="3" t="str">
        <f t="shared" si="36"/>
        <v>2011</v>
      </c>
      <c r="P317" s="2">
        <v>503</v>
      </c>
    </row>
    <row r="318" spans="1:25" x14ac:dyDescent="0.35">
      <c r="A318" s="3">
        <v>2024</v>
      </c>
      <c r="B318" s="3">
        <v>8</v>
      </c>
      <c r="C318" s="3">
        <v>19</v>
      </c>
      <c r="D318" s="2">
        <v>743</v>
      </c>
      <c r="E318" s="3" t="s">
        <v>255</v>
      </c>
      <c r="F318" s="3">
        <v>3</v>
      </c>
      <c r="G318" s="3" t="s">
        <v>225</v>
      </c>
      <c r="H318" s="3" t="str">
        <f t="shared" si="37"/>
        <v>2021</v>
      </c>
      <c r="I318" s="3">
        <v>3</v>
      </c>
      <c r="J318" s="69"/>
      <c r="K318">
        <v>3</v>
      </c>
      <c r="L318">
        <v>3</v>
      </c>
      <c r="M318">
        <v>45.2</v>
      </c>
      <c r="N318" s="3">
        <v>357</v>
      </c>
      <c r="O318" s="3" t="str">
        <f t="shared" si="36"/>
        <v>2021</v>
      </c>
      <c r="P318" s="2">
        <v>743</v>
      </c>
    </row>
    <row r="319" spans="1:25" x14ac:dyDescent="0.35">
      <c r="A319" s="3">
        <v>2017</v>
      </c>
      <c r="B319" s="3">
        <v>11</v>
      </c>
      <c r="C319" s="3">
        <v>9</v>
      </c>
      <c r="D319" s="2">
        <v>80</v>
      </c>
      <c r="E319" s="14" t="s">
        <v>525</v>
      </c>
      <c r="F319" s="15">
        <v>4</v>
      </c>
      <c r="G319" s="3" t="s">
        <v>45</v>
      </c>
      <c r="H319" s="3" t="str">
        <f t="shared" si="37"/>
        <v>2011</v>
      </c>
      <c r="I319" s="3">
        <v>6</v>
      </c>
      <c r="J319" s="69"/>
      <c r="K319" s="3" t="s">
        <v>317</v>
      </c>
      <c r="L319" s="3" t="s">
        <v>317</v>
      </c>
      <c r="M319" s="3">
        <v>37.9</v>
      </c>
      <c r="N319" s="3">
        <v>358</v>
      </c>
      <c r="O319" s="3" t="str">
        <f t="shared" si="36"/>
        <v>2007</v>
      </c>
      <c r="P319" s="2">
        <v>80</v>
      </c>
      <c r="Q319" s="2">
        <v>1.19</v>
      </c>
    </row>
    <row r="320" spans="1:25" x14ac:dyDescent="0.35">
      <c r="A320" s="3">
        <v>2017</v>
      </c>
      <c r="B320" s="3">
        <v>11</v>
      </c>
      <c r="C320" s="3">
        <v>9</v>
      </c>
      <c r="D320" s="2">
        <v>80</v>
      </c>
      <c r="E320" s="14" t="s">
        <v>525</v>
      </c>
      <c r="F320" s="15">
        <v>4</v>
      </c>
      <c r="G320" s="3" t="s">
        <v>45</v>
      </c>
      <c r="H320" s="3" t="str">
        <f t="shared" si="37"/>
        <v>2011</v>
      </c>
      <c r="I320" s="3">
        <v>6</v>
      </c>
      <c r="J320" s="69"/>
      <c r="K320" s="3" t="s">
        <v>317</v>
      </c>
      <c r="L320" s="3" t="s">
        <v>317</v>
      </c>
      <c r="M320" s="3">
        <v>37.9</v>
      </c>
      <c r="N320" s="3">
        <v>358</v>
      </c>
      <c r="O320" s="3" t="str">
        <f t="shared" si="36"/>
        <v>2007</v>
      </c>
      <c r="P320" s="2">
        <v>80</v>
      </c>
      <c r="Q320" s="2">
        <v>1.1499999999999999</v>
      </c>
    </row>
    <row r="321" spans="1:25" x14ac:dyDescent="0.35">
      <c r="A321" s="3">
        <v>2017</v>
      </c>
      <c r="B321" s="3">
        <v>11</v>
      </c>
      <c r="C321" s="3">
        <v>9</v>
      </c>
      <c r="D321" s="2">
        <v>80</v>
      </c>
      <c r="E321" s="14" t="s">
        <v>525</v>
      </c>
      <c r="F321" s="15">
        <v>4</v>
      </c>
      <c r="G321" s="3" t="s">
        <v>45</v>
      </c>
      <c r="H321" s="3" t="str">
        <f t="shared" si="37"/>
        <v>2011</v>
      </c>
      <c r="I321" s="3">
        <v>6</v>
      </c>
      <c r="J321" s="69"/>
      <c r="K321" s="3" t="s">
        <v>317</v>
      </c>
      <c r="L321" s="3" t="s">
        <v>317</v>
      </c>
      <c r="M321" s="3">
        <v>37.9</v>
      </c>
      <c r="N321" s="3">
        <v>358</v>
      </c>
      <c r="O321" s="3" t="str">
        <f t="shared" si="36"/>
        <v>2007</v>
      </c>
      <c r="P321" s="2">
        <v>80</v>
      </c>
      <c r="Q321" s="2">
        <v>1.2</v>
      </c>
    </row>
    <row r="322" spans="1:25" x14ac:dyDescent="0.35">
      <c r="A322" s="3">
        <v>2017</v>
      </c>
      <c r="B322" s="3">
        <v>11</v>
      </c>
      <c r="C322" s="3">
        <v>9</v>
      </c>
      <c r="D322" s="2">
        <v>80</v>
      </c>
      <c r="E322" s="14" t="s">
        <v>525</v>
      </c>
      <c r="F322" s="15">
        <v>4</v>
      </c>
      <c r="G322" s="3" t="s">
        <v>45</v>
      </c>
      <c r="H322" s="3" t="str">
        <f t="shared" si="37"/>
        <v>2011</v>
      </c>
      <c r="I322" s="3">
        <v>6</v>
      </c>
      <c r="J322" s="69"/>
      <c r="K322" s="3" t="s">
        <v>317</v>
      </c>
      <c r="L322" s="3" t="s">
        <v>317</v>
      </c>
      <c r="M322" s="3">
        <v>37.9</v>
      </c>
      <c r="N322" s="3">
        <v>358</v>
      </c>
      <c r="O322" s="3" t="str">
        <f t="shared" ref="O322:O385" si="38">IF(G322="PHD", "2007", IF(G322="TSL", "2011", IF(G322 = "SRS", "2018", IF(G322="WCA 3B", "2017", IF(G322="WCA 3A", "2021")))))</f>
        <v>2007</v>
      </c>
      <c r="P322" s="2">
        <v>80</v>
      </c>
      <c r="Q322" s="2">
        <v>1.72</v>
      </c>
    </row>
    <row r="323" spans="1:25" x14ac:dyDescent="0.35">
      <c r="A323" s="3">
        <v>2017</v>
      </c>
      <c r="B323" s="3">
        <v>11</v>
      </c>
      <c r="C323" s="3">
        <v>9</v>
      </c>
      <c r="D323" s="2">
        <v>80</v>
      </c>
      <c r="E323" s="14" t="s">
        <v>525</v>
      </c>
      <c r="F323" s="15">
        <v>4</v>
      </c>
      <c r="G323" s="3" t="s">
        <v>45</v>
      </c>
      <c r="H323" s="3" t="str">
        <f t="shared" si="37"/>
        <v>2011</v>
      </c>
      <c r="I323" s="3">
        <v>6</v>
      </c>
      <c r="J323" s="69"/>
      <c r="K323" s="3" t="s">
        <v>317</v>
      </c>
      <c r="L323" s="3" t="s">
        <v>317</v>
      </c>
      <c r="M323" s="3">
        <v>37.9</v>
      </c>
      <c r="N323" s="3">
        <v>358</v>
      </c>
      <c r="O323" s="3" t="str">
        <f t="shared" si="38"/>
        <v>2007</v>
      </c>
      <c r="P323" s="2">
        <v>80</v>
      </c>
      <c r="Q323" s="2">
        <v>1.81</v>
      </c>
    </row>
    <row r="324" spans="1:25" x14ac:dyDescent="0.35">
      <c r="A324" s="3">
        <v>2017</v>
      </c>
      <c r="B324" s="3">
        <v>11</v>
      </c>
      <c r="C324" s="3">
        <v>9</v>
      </c>
      <c r="D324" s="2">
        <v>80</v>
      </c>
      <c r="E324" s="14" t="s">
        <v>525</v>
      </c>
      <c r="F324" s="15">
        <v>4</v>
      </c>
      <c r="G324" s="3" t="s">
        <v>45</v>
      </c>
      <c r="H324" s="3" t="str">
        <f t="shared" si="37"/>
        <v>2011</v>
      </c>
      <c r="I324" s="3">
        <v>6</v>
      </c>
      <c r="J324" s="69"/>
      <c r="K324" s="3" t="s">
        <v>317</v>
      </c>
      <c r="L324" s="3" t="s">
        <v>317</v>
      </c>
      <c r="M324" s="3">
        <v>37.9</v>
      </c>
      <c r="N324" s="3">
        <v>358</v>
      </c>
      <c r="O324" s="3" t="str">
        <f t="shared" si="38"/>
        <v>2007</v>
      </c>
      <c r="P324" s="2">
        <v>80</v>
      </c>
      <c r="Q324" s="2">
        <v>1.44</v>
      </c>
    </row>
    <row r="325" spans="1:25" x14ac:dyDescent="0.35">
      <c r="A325" s="3">
        <v>2017</v>
      </c>
      <c r="B325" s="3">
        <v>11</v>
      </c>
      <c r="C325" s="3">
        <v>9</v>
      </c>
      <c r="D325" s="2">
        <v>80</v>
      </c>
      <c r="E325" s="14" t="s">
        <v>525</v>
      </c>
      <c r="F325" s="15">
        <v>4</v>
      </c>
      <c r="G325" s="3" t="s">
        <v>45</v>
      </c>
      <c r="H325" s="3" t="str">
        <f t="shared" si="37"/>
        <v>2011</v>
      </c>
      <c r="I325" s="3">
        <v>6</v>
      </c>
      <c r="J325" s="69"/>
      <c r="K325" s="3" t="s">
        <v>317</v>
      </c>
      <c r="L325" s="3" t="s">
        <v>317</v>
      </c>
      <c r="M325" s="3">
        <v>37.9</v>
      </c>
      <c r="N325" s="3">
        <v>358</v>
      </c>
      <c r="O325" s="3" t="str">
        <f t="shared" si="38"/>
        <v>2007</v>
      </c>
      <c r="P325" s="2">
        <v>80</v>
      </c>
      <c r="Q325" s="2">
        <v>1.85</v>
      </c>
    </row>
    <row r="326" spans="1:25" x14ac:dyDescent="0.35">
      <c r="A326" s="3">
        <v>2019</v>
      </c>
      <c r="B326" s="3">
        <v>8</v>
      </c>
      <c r="C326" s="3">
        <v>6</v>
      </c>
      <c r="D326" s="2">
        <v>316</v>
      </c>
      <c r="E326" s="3" t="s">
        <v>37</v>
      </c>
      <c r="F326" s="3">
        <v>3</v>
      </c>
      <c r="G326" s="3" t="s">
        <v>226</v>
      </c>
      <c r="H326" s="3" t="str">
        <f t="shared" si="37"/>
        <v>2017</v>
      </c>
      <c r="I326" s="3">
        <v>2</v>
      </c>
      <c r="J326" s="69"/>
      <c r="K326" s="3" t="s">
        <v>783</v>
      </c>
      <c r="L326" s="3">
        <v>7</v>
      </c>
      <c r="M326" s="3">
        <v>37.299999999999997</v>
      </c>
      <c r="N326" s="3">
        <v>360</v>
      </c>
      <c r="O326" s="3" t="str">
        <f t="shared" si="38"/>
        <v>2017</v>
      </c>
      <c r="P326" s="2">
        <v>316</v>
      </c>
    </row>
    <row r="327" spans="1:25" x14ac:dyDescent="0.35">
      <c r="A327" s="3">
        <v>2024</v>
      </c>
      <c r="B327" s="3">
        <v>8</v>
      </c>
      <c r="C327" s="3">
        <v>13</v>
      </c>
      <c r="D327" s="2">
        <v>716</v>
      </c>
      <c r="E327" s="3" t="s">
        <v>1132</v>
      </c>
      <c r="F327" s="3">
        <v>3</v>
      </c>
      <c r="G327" s="3" t="s">
        <v>225</v>
      </c>
      <c r="H327" s="3" t="str">
        <f t="shared" ref="H327:H390" si="39">IF(L327="A55","2009",IF(L327="A59","2009",IF(L327="A60","2010",IF(L327="A62","2011",IF(L327="CP","2013",IF(L327="MD","2012",IF(L327="TS","2013",IF(L327="DL","2018",IF(L327="SCU","2018",IF(L327="NCU","2018",IF(L327="C1C","2018",IF(L327="C1E","2018",IF(L327="RS1S","2018",IF(L327="C2B","2018",IF(L327="DB3","2018",IF(AND(L327=6,G327="SRS"),"2018",IF(AND(L327=7,G327="SRS"),"2020",IF(AND(L327=8,G327="SRS"),"2020",IF(L327=23,"2019",IF(AND(L327=7,G327="WCA 3B"),"2017",IF(AND(L327=8,G327="WCA 3B"),"2019",IF(L327=1,"2021",IF(L327=2,"2022",IF(L327=3,"2021",IF(L327=4,"2021",IF(L327=5,"2022",IF(AND(L327=6,G327="WCA 3A"),"2022",IF(L327=9,"2023",IF(L327=10,"2023",IF(L327=37,"2020"))))))))))))))))))))))))))))))</f>
        <v>2022</v>
      </c>
      <c r="I327" s="3">
        <v>2</v>
      </c>
      <c r="J327" s="69"/>
      <c r="K327" t="s">
        <v>67</v>
      </c>
      <c r="L327">
        <v>2</v>
      </c>
      <c r="M327">
        <v>43.8</v>
      </c>
      <c r="N327" s="3">
        <v>360</v>
      </c>
      <c r="O327" s="3" t="str">
        <f t="shared" si="38"/>
        <v>2021</v>
      </c>
      <c r="P327" s="2">
        <v>716</v>
      </c>
    </row>
    <row r="328" spans="1:25" x14ac:dyDescent="0.35">
      <c r="A328" s="3">
        <v>2016</v>
      </c>
      <c r="B328" s="3">
        <v>9</v>
      </c>
      <c r="C328" s="3">
        <v>1</v>
      </c>
      <c r="D328" s="2">
        <v>238</v>
      </c>
      <c r="E328" s="3" t="s">
        <v>696</v>
      </c>
      <c r="F328" s="3">
        <v>3</v>
      </c>
      <c r="G328" s="3" t="s">
        <v>45</v>
      </c>
      <c r="H328" s="3" t="str">
        <f t="shared" si="39"/>
        <v>2011</v>
      </c>
      <c r="I328" s="3">
        <v>5</v>
      </c>
      <c r="J328" s="69"/>
      <c r="K328" s="3" t="s">
        <v>647</v>
      </c>
      <c r="L328" s="3" t="s">
        <v>317</v>
      </c>
      <c r="M328" s="3">
        <v>42.3</v>
      </c>
      <c r="N328" s="3">
        <v>361</v>
      </c>
      <c r="O328" s="3" t="str">
        <f t="shared" si="38"/>
        <v>2007</v>
      </c>
      <c r="P328" s="2">
        <v>238</v>
      </c>
      <c r="Q328" s="2">
        <v>2.73</v>
      </c>
    </row>
    <row r="329" spans="1:25" x14ac:dyDescent="0.35">
      <c r="A329" s="3">
        <v>2024</v>
      </c>
      <c r="B329" s="3">
        <v>8</v>
      </c>
      <c r="C329" s="3">
        <v>8</v>
      </c>
      <c r="D329" s="2">
        <v>707</v>
      </c>
      <c r="E329" s="3" t="s">
        <v>1124</v>
      </c>
      <c r="F329" s="3">
        <v>3</v>
      </c>
      <c r="G329" s="3" t="s">
        <v>45</v>
      </c>
      <c r="H329" s="3" t="str">
        <f t="shared" si="39"/>
        <v>2011</v>
      </c>
      <c r="I329" s="3">
        <v>13</v>
      </c>
      <c r="J329" s="69"/>
      <c r="K329" t="s">
        <v>632</v>
      </c>
      <c r="L329" t="s">
        <v>317</v>
      </c>
      <c r="M329">
        <v>42.8</v>
      </c>
      <c r="N329" s="3">
        <v>362</v>
      </c>
      <c r="O329" s="3" t="str">
        <f t="shared" si="38"/>
        <v>2007</v>
      </c>
      <c r="P329" s="2">
        <v>707</v>
      </c>
    </row>
    <row r="330" spans="1:25" x14ac:dyDescent="0.35">
      <c r="A330" s="3">
        <v>2023</v>
      </c>
      <c r="B330" s="3">
        <v>11</v>
      </c>
      <c r="C330" s="3">
        <v>2</v>
      </c>
      <c r="D330" s="2">
        <v>524</v>
      </c>
      <c r="E330" s="3" t="s">
        <v>976</v>
      </c>
      <c r="F330" s="3">
        <v>4</v>
      </c>
      <c r="G330" s="3" t="s">
        <v>45</v>
      </c>
      <c r="H330" s="3" t="str">
        <f t="shared" si="39"/>
        <v>2011</v>
      </c>
      <c r="I330" s="3">
        <v>12</v>
      </c>
      <c r="J330" s="69"/>
      <c r="K330" s="3" t="s">
        <v>977</v>
      </c>
      <c r="L330" s="3" t="s">
        <v>317</v>
      </c>
      <c r="M330" s="3">
        <v>37.9</v>
      </c>
      <c r="N330" s="3">
        <v>363</v>
      </c>
      <c r="O330" s="3" t="str">
        <f t="shared" si="38"/>
        <v>2007</v>
      </c>
      <c r="P330" s="2">
        <v>524</v>
      </c>
      <c r="Y330">
        <v>3.68</v>
      </c>
    </row>
    <row r="331" spans="1:25" x14ac:dyDescent="0.35">
      <c r="A331" s="3">
        <v>2023</v>
      </c>
      <c r="B331" s="3">
        <v>7</v>
      </c>
      <c r="C331" s="3">
        <v>17</v>
      </c>
      <c r="D331" s="2">
        <v>384</v>
      </c>
      <c r="E331" s="3" t="s">
        <v>849</v>
      </c>
      <c r="F331" s="3">
        <v>3</v>
      </c>
      <c r="G331" s="3" t="s">
        <v>45</v>
      </c>
      <c r="H331" s="3" t="str">
        <f t="shared" si="39"/>
        <v>2011</v>
      </c>
      <c r="I331" s="3">
        <v>12</v>
      </c>
      <c r="J331" s="69"/>
      <c r="K331" s="3" t="s">
        <v>46</v>
      </c>
      <c r="L331" s="3" t="s">
        <v>317</v>
      </c>
      <c r="M331" s="3">
        <v>32.1</v>
      </c>
      <c r="N331" s="3">
        <v>363</v>
      </c>
      <c r="O331" s="3" t="str">
        <f t="shared" si="38"/>
        <v>2007</v>
      </c>
      <c r="P331" s="2">
        <v>384</v>
      </c>
    </row>
    <row r="332" spans="1:25" x14ac:dyDescent="0.35">
      <c r="A332" s="3">
        <v>2024</v>
      </c>
      <c r="B332" s="3">
        <v>1</v>
      </c>
      <c r="C332" s="3">
        <v>18</v>
      </c>
      <c r="D332" s="2">
        <v>560</v>
      </c>
      <c r="E332" s="3" t="s">
        <v>1005</v>
      </c>
      <c r="F332" s="3">
        <v>1</v>
      </c>
      <c r="G332" s="3" t="s">
        <v>41</v>
      </c>
      <c r="H332" s="3" t="str">
        <f t="shared" si="39"/>
        <v>2012</v>
      </c>
      <c r="I332" s="3">
        <v>12</v>
      </c>
      <c r="J332" s="69"/>
      <c r="K332" t="s">
        <v>541</v>
      </c>
      <c r="L332" s="3" t="s">
        <v>461</v>
      </c>
      <c r="M332">
        <v>35.299999999999997</v>
      </c>
      <c r="N332" s="3">
        <v>363</v>
      </c>
      <c r="O332" s="3" t="str">
        <f t="shared" si="38"/>
        <v>2011</v>
      </c>
      <c r="P332" s="2">
        <v>560</v>
      </c>
    </row>
    <row r="333" spans="1:25" x14ac:dyDescent="0.35">
      <c r="A333" s="3">
        <v>2024</v>
      </c>
      <c r="B333" s="3">
        <v>8</v>
      </c>
      <c r="C333" s="3">
        <v>20</v>
      </c>
      <c r="D333" s="2">
        <v>724</v>
      </c>
      <c r="E333" s="3" t="s">
        <v>1140</v>
      </c>
      <c r="F333" s="3">
        <v>3</v>
      </c>
      <c r="G333" s="3" t="s">
        <v>226</v>
      </c>
      <c r="H333" s="3" t="str">
        <f t="shared" si="39"/>
        <v>2017</v>
      </c>
      <c r="I333" s="3">
        <v>7</v>
      </c>
      <c r="J333" s="69"/>
      <c r="K333" t="s">
        <v>783</v>
      </c>
      <c r="L333">
        <v>7</v>
      </c>
      <c r="M333">
        <v>40.700000000000003</v>
      </c>
      <c r="N333" s="3">
        <v>363</v>
      </c>
      <c r="O333" s="3" t="str">
        <f t="shared" si="38"/>
        <v>2017</v>
      </c>
      <c r="P333" s="2">
        <v>724</v>
      </c>
    </row>
    <row r="334" spans="1:25" x14ac:dyDescent="0.35">
      <c r="A334" s="3">
        <v>2023</v>
      </c>
      <c r="B334" s="3">
        <v>8</v>
      </c>
      <c r="C334" s="3">
        <v>2</v>
      </c>
      <c r="D334" s="2">
        <v>423</v>
      </c>
      <c r="E334" s="3" t="s">
        <v>884</v>
      </c>
      <c r="F334" s="3">
        <v>3</v>
      </c>
      <c r="G334" s="3" t="s">
        <v>226</v>
      </c>
      <c r="H334" s="3" t="str">
        <f t="shared" si="39"/>
        <v>2017</v>
      </c>
      <c r="I334" s="3">
        <v>6</v>
      </c>
      <c r="J334" s="69"/>
      <c r="K334" s="3" t="s">
        <v>64</v>
      </c>
      <c r="L334" s="3">
        <v>7</v>
      </c>
      <c r="M334" s="3">
        <v>36.4</v>
      </c>
      <c r="N334" s="3">
        <v>363.2</v>
      </c>
      <c r="O334" s="3" t="str">
        <f t="shared" si="38"/>
        <v>2017</v>
      </c>
      <c r="P334" s="2">
        <v>423</v>
      </c>
    </row>
    <row r="335" spans="1:25" x14ac:dyDescent="0.35">
      <c r="A335" s="3">
        <v>2022</v>
      </c>
      <c r="B335" s="3">
        <v>1</v>
      </c>
      <c r="C335" s="3" t="s">
        <v>28</v>
      </c>
      <c r="D335" s="2">
        <v>24</v>
      </c>
      <c r="E335" s="3" t="s">
        <v>466</v>
      </c>
      <c r="F335" s="3">
        <v>1</v>
      </c>
      <c r="G335" s="3" t="s">
        <v>20</v>
      </c>
      <c r="H335" s="3" t="str">
        <f t="shared" si="39"/>
        <v>2019</v>
      </c>
      <c r="I335" s="3">
        <v>3</v>
      </c>
      <c r="J335" s="69"/>
      <c r="K335" s="3">
        <v>23</v>
      </c>
      <c r="L335" s="3">
        <v>23</v>
      </c>
      <c r="M335" s="3">
        <v>44.1</v>
      </c>
      <c r="N335" s="3">
        <v>364</v>
      </c>
      <c r="O335" s="3" t="str">
        <f t="shared" si="38"/>
        <v>2018</v>
      </c>
      <c r="P335" s="2">
        <v>24</v>
      </c>
      <c r="Y335">
        <v>4.0199999999999996</v>
      </c>
    </row>
    <row r="336" spans="1:25" x14ac:dyDescent="0.35">
      <c r="A336" s="3">
        <v>2023</v>
      </c>
      <c r="B336" s="3">
        <v>7</v>
      </c>
      <c r="C336" s="3">
        <v>28</v>
      </c>
      <c r="D336" s="2">
        <v>438</v>
      </c>
      <c r="E336" s="3" t="s">
        <v>900</v>
      </c>
      <c r="F336" s="3">
        <v>3</v>
      </c>
      <c r="G336" s="3" t="s">
        <v>225</v>
      </c>
      <c r="H336" s="3" t="str">
        <f t="shared" si="39"/>
        <v>2021</v>
      </c>
      <c r="I336" s="3">
        <v>2</v>
      </c>
      <c r="J336" s="69"/>
      <c r="K336" s="3" t="s">
        <v>898</v>
      </c>
      <c r="L336" s="3">
        <v>4</v>
      </c>
      <c r="M336" s="3">
        <v>51.1</v>
      </c>
      <c r="N336" s="3">
        <v>364</v>
      </c>
      <c r="O336" s="3" t="str">
        <f t="shared" si="38"/>
        <v>2021</v>
      </c>
      <c r="P336" s="2">
        <v>438</v>
      </c>
    </row>
    <row r="337" spans="1:24" x14ac:dyDescent="0.35">
      <c r="A337" s="3">
        <v>2024</v>
      </c>
      <c r="B337" s="3">
        <v>8</v>
      </c>
      <c r="C337" s="3">
        <v>7</v>
      </c>
      <c r="D337" s="2">
        <v>806</v>
      </c>
      <c r="E337" s="3" t="s">
        <v>293</v>
      </c>
      <c r="F337" s="3">
        <v>3</v>
      </c>
      <c r="G337" s="3" t="s">
        <v>20</v>
      </c>
      <c r="H337" s="3" t="str">
        <f t="shared" si="39"/>
        <v>2018</v>
      </c>
      <c r="I337" s="3">
        <v>6</v>
      </c>
      <c r="J337" s="69"/>
      <c r="K337" t="s">
        <v>234</v>
      </c>
      <c r="L337">
        <v>6</v>
      </c>
      <c r="M337">
        <v>40.200000000000003</v>
      </c>
      <c r="N337" s="3">
        <v>364</v>
      </c>
      <c r="O337" s="3" t="str">
        <f t="shared" si="38"/>
        <v>2018</v>
      </c>
      <c r="P337" s="2">
        <v>806</v>
      </c>
    </row>
    <row r="338" spans="1:24" x14ac:dyDescent="0.35">
      <c r="A338" s="3">
        <v>2024</v>
      </c>
      <c r="B338">
        <v>8</v>
      </c>
      <c r="C338" s="3">
        <v>19</v>
      </c>
      <c r="D338" s="2">
        <v>813</v>
      </c>
      <c r="E338" s="3" t="s">
        <v>299</v>
      </c>
      <c r="F338" s="3">
        <v>3</v>
      </c>
      <c r="G338" s="3" t="s">
        <v>225</v>
      </c>
      <c r="H338" s="3" t="str">
        <f t="shared" si="39"/>
        <v>2021</v>
      </c>
      <c r="I338" s="3">
        <v>3</v>
      </c>
      <c r="J338" s="69"/>
      <c r="K338">
        <v>3</v>
      </c>
      <c r="L338">
        <v>3</v>
      </c>
      <c r="M338">
        <v>58.9</v>
      </c>
      <c r="N338" s="3">
        <v>364</v>
      </c>
      <c r="O338" s="3" t="str">
        <f t="shared" si="38"/>
        <v>2021</v>
      </c>
      <c r="P338" s="2">
        <v>813</v>
      </c>
    </row>
    <row r="339" spans="1:24" x14ac:dyDescent="0.35">
      <c r="A339" s="3">
        <v>2021</v>
      </c>
      <c r="B339" s="3">
        <v>10</v>
      </c>
      <c r="C339" s="3" t="s">
        <v>28</v>
      </c>
      <c r="D339" s="2">
        <v>35</v>
      </c>
      <c r="E339" s="3" t="s">
        <v>477</v>
      </c>
      <c r="F339" s="3">
        <v>4</v>
      </c>
      <c r="G339" s="3" t="s">
        <v>41</v>
      </c>
      <c r="H339" s="3" t="str">
        <f t="shared" si="39"/>
        <v>2012</v>
      </c>
      <c r="I339" s="3">
        <v>9</v>
      </c>
      <c r="J339" s="69"/>
      <c r="K339" s="3" t="s">
        <v>461</v>
      </c>
      <c r="L339" s="3" t="s">
        <v>461</v>
      </c>
      <c r="M339" s="3">
        <v>56.2</v>
      </c>
      <c r="N339" s="3">
        <v>365</v>
      </c>
      <c r="O339" s="3" t="str">
        <f t="shared" si="38"/>
        <v>2011</v>
      </c>
      <c r="P339" s="2">
        <v>35</v>
      </c>
      <c r="X339">
        <v>2.89</v>
      </c>
    </row>
    <row r="340" spans="1:24" x14ac:dyDescent="0.35">
      <c r="A340" s="3">
        <v>2024</v>
      </c>
      <c r="B340" s="3">
        <v>4</v>
      </c>
      <c r="C340" s="3">
        <v>8</v>
      </c>
      <c r="D340" s="2">
        <v>677</v>
      </c>
      <c r="E340" s="3" t="s">
        <v>155</v>
      </c>
      <c r="F340" s="3">
        <v>2</v>
      </c>
      <c r="G340" s="3" t="s">
        <v>225</v>
      </c>
      <c r="H340" s="3" t="str">
        <f t="shared" si="39"/>
        <v>2021</v>
      </c>
      <c r="I340" s="3">
        <v>3</v>
      </c>
      <c r="J340" s="69"/>
      <c r="K340" t="s">
        <v>237</v>
      </c>
      <c r="L340">
        <v>3</v>
      </c>
      <c r="M340">
        <v>45.8</v>
      </c>
      <c r="N340" s="3">
        <v>365</v>
      </c>
      <c r="O340" s="3" t="str">
        <f t="shared" si="38"/>
        <v>2021</v>
      </c>
      <c r="P340" s="2">
        <v>677</v>
      </c>
    </row>
    <row r="341" spans="1:24" x14ac:dyDescent="0.35">
      <c r="A341" s="3">
        <v>2023</v>
      </c>
      <c r="B341" s="3">
        <v>7</v>
      </c>
      <c r="C341" s="3">
        <v>18</v>
      </c>
      <c r="D341" s="2">
        <v>343</v>
      </c>
      <c r="E341" s="3" t="s">
        <v>809</v>
      </c>
      <c r="F341" s="3">
        <v>3</v>
      </c>
      <c r="G341" s="3" t="s">
        <v>45</v>
      </c>
      <c r="H341" s="3" t="str">
        <f t="shared" si="39"/>
        <v>2009</v>
      </c>
      <c r="I341" s="3">
        <v>14</v>
      </c>
      <c r="J341" s="69"/>
      <c r="K341" s="3" t="s">
        <v>742</v>
      </c>
      <c r="L341" s="3" t="s">
        <v>488</v>
      </c>
      <c r="M341" s="3">
        <v>34.1</v>
      </c>
      <c r="N341" s="3">
        <v>366</v>
      </c>
      <c r="O341" s="3" t="str">
        <f t="shared" si="38"/>
        <v>2007</v>
      </c>
      <c r="P341" s="2">
        <v>343</v>
      </c>
      <c r="X341">
        <v>3.84</v>
      </c>
    </row>
    <row r="342" spans="1:24" x14ac:dyDescent="0.35">
      <c r="A342" s="3">
        <v>2021</v>
      </c>
      <c r="B342" s="3">
        <v>4</v>
      </c>
      <c r="C342" s="3">
        <v>13</v>
      </c>
      <c r="D342" s="2">
        <v>493</v>
      </c>
      <c r="E342" s="3" t="s">
        <v>947</v>
      </c>
      <c r="F342" s="3">
        <v>2</v>
      </c>
      <c r="G342" s="3" t="s">
        <v>226</v>
      </c>
      <c r="H342" s="3" t="str">
        <f t="shared" si="39"/>
        <v>2018</v>
      </c>
      <c r="I342" s="3">
        <v>3</v>
      </c>
      <c r="J342" s="69"/>
      <c r="K342" s="3" t="s">
        <v>51</v>
      </c>
      <c r="L342" s="3" t="s">
        <v>942</v>
      </c>
      <c r="M342" s="16">
        <v>50</v>
      </c>
      <c r="N342" s="3">
        <v>367</v>
      </c>
      <c r="O342" s="3" t="str">
        <f t="shared" si="38"/>
        <v>2017</v>
      </c>
      <c r="P342" s="2">
        <v>493</v>
      </c>
    </row>
    <row r="343" spans="1:24" x14ac:dyDescent="0.35">
      <c r="A343" s="3">
        <v>2024</v>
      </c>
      <c r="B343" s="3">
        <v>4</v>
      </c>
      <c r="C343" s="3">
        <v>8</v>
      </c>
      <c r="D343" s="2">
        <v>678</v>
      </c>
      <c r="E343" s="3" t="s">
        <v>1099</v>
      </c>
      <c r="F343" s="3">
        <v>2</v>
      </c>
      <c r="G343" s="3" t="s">
        <v>225</v>
      </c>
      <c r="H343" s="3" t="str">
        <f t="shared" si="39"/>
        <v>2021</v>
      </c>
      <c r="I343" s="3">
        <v>3</v>
      </c>
      <c r="J343" s="69"/>
      <c r="K343" t="s">
        <v>237</v>
      </c>
      <c r="L343">
        <v>3</v>
      </c>
      <c r="M343">
        <v>46.9</v>
      </c>
      <c r="N343" s="3">
        <v>367</v>
      </c>
      <c r="O343" s="3" t="str">
        <f t="shared" si="38"/>
        <v>2021</v>
      </c>
      <c r="P343" s="2">
        <v>678</v>
      </c>
    </row>
    <row r="344" spans="1:24" x14ac:dyDescent="0.35">
      <c r="A344" s="3">
        <v>2010</v>
      </c>
      <c r="B344" s="3">
        <v>10</v>
      </c>
      <c r="C344" s="3">
        <v>5</v>
      </c>
      <c r="D344" s="2">
        <v>623</v>
      </c>
      <c r="E344" s="3" t="s">
        <v>1061</v>
      </c>
      <c r="F344" s="3">
        <v>4</v>
      </c>
      <c r="G344" s="3" t="s">
        <v>45</v>
      </c>
      <c r="H344" s="3" t="str">
        <f t="shared" si="39"/>
        <v>2009</v>
      </c>
      <c r="I344" s="3">
        <v>1</v>
      </c>
      <c r="J344" s="69"/>
      <c r="K344" t="s">
        <v>1062</v>
      </c>
      <c r="L344" s="3" t="s">
        <v>512</v>
      </c>
      <c r="M344">
        <v>37.799999999999997</v>
      </c>
      <c r="N344" s="3">
        <v>368</v>
      </c>
      <c r="O344" s="3" t="str">
        <f t="shared" si="38"/>
        <v>2007</v>
      </c>
      <c r="P344" s="2">
        <v>623</v>
      </c>
      <c r="X344">
        <v>3.78</v>
      </c>
    </row>
    <row r="345" spans="1:24" x14ac:dyDescent="0.35">
      <c r="A345" s="3">
        <v>2019</v>
      </c>
      <c r="B345" s="3">
        <v>2</v>
      </c>
      <c r="C345" s="3">
        <v>21</v>
      </c>
      <c r="D345" s="2">
        <v>166</v>
      </c>
      <c r="E345" s="3" t="s">
        <v>614</v>
      </c>
      <c r="F345" s="3">
        <v>1</v>
      </c>
      <c r="G345" s="3" t="s">
        <v>45</v>
      </c>
      <c r="H345" s="3" t="str">
        <f t="shared" si="39"/>
        <v>2011</v>
      </c>
      <c r="I345" s="3">
        <v>8</v>
      </c>
      <c r="J345" s="69"/>
      <c r="K345" s="3" t="s">
        <v>615</v>
      </c>
      <c r="L345" s="3" t="s">
        <v>317</v>
      </c>
      <c r="M345" s="3">
        <v>38.6</v>
      </c>
      <c r="N345" s="3">
        <v>368</v>
      </c>
      <c r="O345" s="3" t="str">
        <f t="shared" si="38"/>
        <v>2007</v>
      </c>
      <c r="P345" s="2">
        <v>166</v>
      </c>
      <c r="Q345" s="2">
        <v>1.33</v>
      </c>
    </row>
    <row r="346" spans="1:24" x14ac:dyDescent="0.35">
      <c r="A346" s="3">
        <v>2019</v>
      </c>
      <c r="B346" s="3">
        <v>10</v>
      </c>
      <c r="C346" s="3">
        <v>29</v>
      </c>
      <c r="D346" s="2">
        <v>407</v>
      </c>
      <c r="E346" s="3" t="s">
        <v>871</v>
      </c>
      <c r="F346" s="3">
        <v>4</v>
      </c>
      <c r="G346" s="3" t="s">
        <v>226</v>
      </c>
      <c r="H346" s="3" t="str">
        <f t="shared" si="39"/>
        <v>2017</v>
      </c>
      <c r="I346" s="3">
        <v>2</v>
      </c>
      <c r="J346" s="69"/>
      <c r="K346" s="3">
        <v>7</v>
      </c>
      <c r="L346" s="3">
        <v>7</v>
      </c>
      <c r="M346" s="3">
        <v>25.4</v>
      </c>
      <c r="N346" s="3">
        <v>368</v>
      </c>
      <c r="O346" s="3" t="str">
        <f t="shared" si="38"/>
        <v>2017</v>
      </c>
      <c r="P346" s="2">
        <v>407</v>
      </c>
    </row>
    <row r="347" spans="1:24" x14ac:dyDescent="0.35">
      <c r="A347" s="3">
        <v>2023</v>
      </c>
      <c r="B347" s="3">
        <v>11</v>
      </c>
      <c r="C347" s="3">
        <v>3</v>
      </c>
      <c r="D347" s="2">
        <v>531</v>
      </c>
      <c r="E347" s="3" t="s">
        <v>983</v>
      </c>
      <c r="F347" s="3">
        <v>4</v>
      </c>
      <c r="G347" s="3" t="s">
        <v>225</v>
      </c>
      <c r="H347" s="3" t="str">
        <f t="shared" si="39"/>
        <v>2022</v>
      </c>
      <c r="I347" s="3">
        <v>1</v>
      </c>
      <c r="J347" s="69"/>
      <c r="K347" s="3">
        <v>2</v>
      </c>
      <c r="L347" s="3">
        <v>2</v>
      </c>
      <c r="M347" s="3">
        <v>43.8</v>
      </c>
      <c r="N347" s="3">
        <v>369</v>
      </c>
      <c r="O347" s="3" t="str">
        <f t="shared" si="38"/>
        <v>2021</v>
      </c>
      <c r="P347" s="2">
        <v>531</v>
      </c>
    </row>
    <row r="348" spans="1:24" x14ac:dyDescent="0.35">
      <c r="A348" s="3">
        <v>2024</v>
      </c>
      <c r="B348" s="3">
        <v>1</v>
      </c>
      <c r="C348" s="3">
        <v>25</v>
      </c>
      <c r="D348" s="2">
        <v>601</v>
      </c>
      <c r="E348" s="3" t="s">
        <v>1045</v>
      </c>
      <c r="F348" s="3">
        <v>1</v>
      </c>
      <c r="G348" s="3" t="s">
        <v>226</v>
      </c>
      <c r="H348" s="3" t="str">
        <f t="shared" si="39"/>
        <v>2017</v>
      </c>
      <c r="I348" s="3">
        <v>7</v>
      </c>
      <c r="J348" s="69"/>
      <c r="K348" t="s">
        <v>228</v>
      </c>
      <c r="L348">
        <v>7</v>
      </c>
      <c r="M348">
        <v>44</v>
      </c>
      <c r="N348" s="3">
        <v>370</v>
      </c>
      <c r="O348" s="3" t="str">
        <f t="shared" si="38"/>
        <v>2017</v>
      </c>
      <c r="P348" s="2">
        <v>601</v>
      </c>
      <c r="S348">
        <v>4.71</v>
      </c>
    </row>
    <row r="349" spans="1:24" x14ac:dyDescent="0.35">
      <c r="A349" s="3">
        <v>2024</v>
      </c>
      <c r="B349" s="3">
        <v>1</v>
      </c>
      <c r="C349" s="3">
        <v>25</v>
      </c>
      <c r="D349" s="2">
        <v>601</v>
      </c>
      <c r="E349" s="3" t="s">
        <v>1045</v>
      </c>
      <c r="F349" s="3">
        <v>1</v>
      </c>
      <c r="G349" s="3" t="s">
        <v>226</v>
      </c>
      <c r="H349" s="3" t="str">
        <f t="shared" si="39"/>
        <v>2017</v>
      </c>
      <c r="I349" s="3">
        <v>7</v>
      </c>
      <c r="J349" s="69"/>
      <c r="K349" t="s">
        <v>228</v>
      </c>
      <c r="L349">
        <v>7</v>
      </c>
      <c r="M349">
        <v>44</v>
      </c>
      <c r="N349" s="3">
        <v>370</v>
      </c>
      <c r="O349" s="3" t="str">
        <f t="shared" si="38"/>
        <v>2017</v>
      </c>
      <c r="P349" s="2">
        <v>601</v>
      </c>
      <c r="S349">
        <v>3.55</v>
      </c>
    </row>
    <row r="350" spans="1:24" x14ac:dyDescent="0.35">
      <c r="A350" s="3">
        <v>2022</v>
      </c>
      <c r="B350" s="3">
        <v>11</v>
      </c>
      <c r="C350" s="3">
        <v>1</v>
      </c>
      <c r="D350" s="2">
        <v>369</v>
      </c>
      <c r="E350" s="3" t="s">
        <v>835</v>
      </c>
      <c r="F350" s="3">
        <v>4</v>
      </c>
      <c r="G350" s="3" t="s">
        <v>41</v>
      </c>
      <c r="H350" s="3" t="str">
        <f t="shared" si="39"/>
        <v>2013</v>
      </c>
      <c r="I350" s="3">
        <v>9</v>
      </c>
      <c r="J350" s="69"/>
      <c r="K350" s="3" t="s">
        <v>49</v>
      </c>
      <c r="L350" s="3" t="s">
        <v>318</v>
      </c>
      <c r="M350" s="3">
        <v>3.5</v>
      </c>
      <c r="N350" s="3">
        <v>370</v>
      </c>
      <c r="O350" s="3" t="str">
        <f t="shared" si="38"/>
        <v>2011</v>
      </c>
      <c r="P350" s="2">
        <v>369</v>
      </c>
    </row>
    <row r="351" spans="1:24" x14ac:dyDescent="0.35">
      <c r="A351" s="3">
        <v>2024</v>
      </c>
      <c r="B351" s="3">
        <v>8</v>
      </c>
      <c r="C351" s="3">
        <v>19</v>
      </c>
      <c r="D351" s="2">
        <v>789</v>
      </c>
      <c r="E351" s="3" t="s">
        <v>1169</v>
      </c>
      <c r="F351" s="3">
        <v>3</v>
      </c>
      <c r="G351" s="3" t="s">
        <v>225</v>
      </c>
      <c r="H351" s="3" t="str">
        <f t="shared" si="39"/>
        <v>2021</v>
      </c>
      <c r="I351" s="3">
        <v>3</v>
      </c>
      <c r="J351" s="69"/>
      <c r="K351">
        <v>3</v>
      </c>
      <c r="L351">
        <v>3</v>
      </c>
      <c r="M351">
        <v>57.3</v>
      </c>
      <c r="N351" s="3">
        <v>370</v>
      </c>
      <c r="O351" s="3" t="str">
        <f t="shared" si="38"/>
        <v>2021</v>
      </c>
      <c r="P351" s="2">
        <v>789</v>
      </c>
    </row>
    <row r="352" spans="1:24" x14ac:dyDescent="0.35">
      <c r="A352" s="3">
        <v>2024</v>
      </c>
      <c r="B352" s="3">
        <v>2</v>
      </c>
      <c r="C352" s="3">
        <v>23</v>
      </c>
      <c r="D352" s="2">
        <v>645</v>
      </c>
      <c r="E352" s="3" t="s">
        <v>142</v>
      </c>
      <c r="F352" s="3">
        <v>1</v>
      </c>
      <c r="G352" s="3" t="s">
        <v>225</v>
      </c>
      <c r="H352" s="3" t="str">
        <f t="shared" si="39"/>
        <v>2022</v>
      </c>
      <c r="I352" s="3">
        <v>2</v>
      </c>
      <c r="J352" s="69"/>
      <c r="K352" t="s">
        <v>21</v>
      </c>
      <c r="L352" s="3">
        <v>2</v>
      </c>
      <c r="M352">
        <v>46.1</v>
      </c>
      <c r="N352" s="3">
        <v>371</v>
      </c>
      <c r="O352" s="3" t="str">
        <f t="shared" si="38"/>
        <v>2021</v>
      </c>
      <c r="P352" s="2">
        <v>645</v>
      </c>
      <c r="S352">
        <v>5.9</v>
      </c>
    </row>
    <row r="353" spans="1:24" x14ac:dyDescent="0.35">
      <c r="A353" s="3">
        <v>2017</v>
      </c>
      <c r="B353" s="3">
        <v>8</v>
      </c>
      <c r="C353" s="3">
        <v>14</v>
      </c>
      <c r="D353" s="2">
        <v>90</v>
      </c>
      <c r="E353" s="14" t="s">
        <v>535</v>
      </c>
      <c r="F353" s="15">
        <v>3</v>
      </c>
      <c r="G353" s="3" t="s">
        <v>45</v>
      </c>
      <c r="H353" s="3" t="str">
        <f t="shared" si="39"/>
        <v>2011</v>
      </c>
      <c r="I353" s="3">
        <v>6</v>
      </c>
      <c r="J353" s="69"/>
      <c r="K353" s="3" t="s">
        <v>317</v>
      </c>
      <c r="L353" s="3" t="s">
        <v>317</v>
      </c>
      <c r="M353" s="3">
        <v>42.2</v>
      </c>
      <c r="N353" s="3">
        <v>371</v>
      </c>
      <c r="O353" s="3" t="str">
        <f t="shared" si="38"/>
        <v>2007</v>
      </c>
      <c r="P353" s="2">
        <v>90</v>
      </c>
    </row>
    <row r="354" spans="1:24" x14ac:dyDescent="0.35">
      <c r="A354" s="3">
        <v>2024</v>
      </c>
      <c r="B354" s="3">
        <v>8</v>
      </c>
      <c r="C354" s="3">
        <v>8</v>
      </c>
      <c r="D354" s="2">
        <v>702</v>
      </c>
      <c r="E354" s="3" t="s">
        <v>1121</v>
      </c>
      <c r="F354" s="3">
        <v>3</v>
      </c>
      <c r="G354" s="3" t="s">
        <v>45</v>
      </c>
      <c r="H354" s="3" t="str">
        <f t="shared" si="39"/>
        <v>2011</v>
      </c>
      <c r="I354" s="3">
        <v>13</v>
      </c>
      <c r="J354" s="69"/>
      <c r="K354" t="s">
        <v>46</v>
      </c>
      <c r="L354" t="s">
        <v>317</v>
      </c>
      <c r="M354">
        <v>41.5</v>
      </c>
      <c r="N354" s="3">
        <v>371</v>
      </c>
      <c r="O354" s="3" t="str">
        <f t="shared" si="38"/>
        <v>2007</v>
      </c>
      <c r="P354" s="2">
        <v>702</v>
      </c>
    </row>
    <row r="355" spans="1:24" x14ac:dyDescent="0.35">
      <c r="A355" s="3">
        <v>2024</v>
      </c>
      <c r="B355" s="3">
        <v>8</v>
      </c>
      <c r="C355" s="3">
        <v>19</v>
      </c>
      <c r="D355" s="2">
        <v>746</v>
      </c>
      <c r="E355" s="3" t="s">
        <v>258</v>
      </c>
      <c r="F355" s="3">
        <v>3</v>
      </c>
      <c r="G355" s="3" t="s">
        <v>225</v>
      </c>
      <c r="H355" s="3" t="str">
        <f t="shared" si="39"/>
        <v>2021</v>
      </c>
      <c r="I355" s="3">
        <v>3</v>
      </c>
      <c r="J355" s="69"/>
      <c r="K355">
        <v>3</v>
      </c>
      <c r="L355">
        <v>3</v>
      </c>
      <c r="M355">
        <v>49.9</v>
      </c>
      <c r="N355" s="3">
        <v>371</v>
      </c>
      <c r="O355" s="3" t="str">
        <f t="shared" si="38"/>
        <v>2021</v>
      </c>
      <c r="P355" s="2">
        <v>746</v>
      </c>
    </row>
    <row r="356" spans="1:24" x14ac:dyDescent="0.35">
      <c r="A356" s="3">
        <v>2024</v>
      </c>
      <c r="B356">
        <v>8</v>
      </c>
      <c r="C356" s="3">
        <v>19</v>
      </c>
      <c r="D356" s="2">
        <v>816</v>
      </c>
      <c r="E356" s="3" t="s">
        <v>1178</v>
      </c>
      <c r="F356" s="3">
        <v>3</v>
      </c>
      <c r="G356" s="3" t="s">
        <v>225</v>
      </c>
      <c r="H356" s="3" t="str">
        <f t="shared" si="39"/>
        <v>2021</v>
      </c>
      <c r="I356" s="3">
        <v>3</v>
      </c>
      <c r="J356" s="69"/>
      <c r="K356">
        <v>3</v>
      </c>
      <c r="L356">
        <v>3</v>
      </c>
      <c r="M356">
        <v>53.4</v>
      </c>
      <c r="N356" s="3">
        <v>371</v>
      </c>
      <c r="O356" s="3" t="str">
        <f t="shared" si="38"/>
        <v>2021</v>
      </c>
      <c r="P356" s="2">
        <v>816</v>
      </c>
    </row>
    <row r="357" spans="1:24" x14ac:dyDescent="0.35">
      <c r="A357" s="3">
        <v>2024</v>
      </c>
      <c r="B357" s="3">
        <v>8</v>
      </c>
      <c r="C357" s="3">
        <v>19</v>
      </c>
      <c r="D357" s="2">
        <v>784</v>
      </c>
      <c r="E357" s="3" t="s">
        <v>280</v>
      </c>
      <c r="F357" s="3">
        <v>3</v>
      </c>
      <c r="G357" s="3" t="s">
        <v>225</v>
      </c>
      <c r="H357" s="3" t="str">
        <f t="shared" si="39"/>
        <v>2021</v>
      </c>
      <c r="I357" s="3">
        <v>3</v>
      </c>
      <c r="J357" s="69"/>
      <c r="K357">
        <v>3</v>
      </c>
      <c r="L357">
        <v>3</v>
      </c>
      <c r="M357">
        <v>52.1</v>
      </c>
      <c r="N357" s="3">
        <v>372</v>
      </c>
      <c r="O357" s="3" t="str">
        <f t="shared" si="38"/>
        <v>2021</v>
      </c>
      <c r="P357" s="2">
        <v>784</v>
      </c>
    </row>
    <row r="358" spans="1:24" x14ac:dyDescent="0.35">
      <c r="A358" s="3">
        <v>2023</v>
      </c>
      <c r="B358" s="3">
        <v>7</v>
      </c>
      <c r="C358" s="3">
        <v>21</v>
      </c>
      <c r="D358" s="2">
        <v>446</v>
      </c>
      <c r="E358" s="3" t="s">
        <v>906</v>
      </c>
      <c r="F358" s="3">
        <v>3</v>
      </c>
      <c r="G358" s="3" t="s">
        <v>20</v>
      </c>
      <c r="H358" s="3" t="str">
        <f t="shared" si="39"/>
        <v>2020</v>
      </c>
      <c r="I358" s="3">
        <v>3</v>
      </c>
      <c r="J358" s="69"/>
      <c r="K358" s="3" t="s">
        <v>70</v>
      </c>
      <c r="L358" s="3">
        <v>37</v>
      </c>
      <c r="M358" s="3">
        <v>4.2</v>
      </c>
      <c r="N358" s="3">
        <v>373</v>
      </c>
      <c r="O358" s="3" t="str">
        <f t="shared" si="38"/>
        <v>2018</v>
      </c>
      <c r="P358" s="2">
        <v>446</v>
      </c>
      <c r="S358">
        <v>3.81</v>
      </c>
      <c r="T358">
        <v>2.6</v>
      </c>
      <c r="X358">
        <v>3.95</v>
      </c>
    </row>
    <row r="359" spans="1:24" x14ac:dyDescent="0.35">
      <c r="A359" s="3">
        <v>2021</v>
      </c>
      <c r="B359" s="3">
        <v>10</v>
      </c>
      <c r="C359" s="3" t="s">
        <v>28</v>
      </c>
      <c r="D359" s="2">
        <v>29</v>
      </c>
      <c r="E359" s="3" t="s">
        <v>471</v>
      </c>
      <c r="F359" s="3">
        <v>4</v>
      </c>
      <c r="G359" s="3" t="s">
        <v>41</v>
      </c>
      <c r="H359" s="3" t="str">
        <f t="shared" si="39"/>
        <v>2013</v>
      </c>
      <c r="I359" s="3">
        <v>8</v>
      </c>
      <c r="J359" s="69"/>
      <c r="K359" s="3" t="s">
        <v>318</v>
      </c>
      <c r="L359" s="3" t="s">
        <v>318</v>
      </c>
      <c r="M359" s="3">
        <v>41.3</v>
      </c>
      <c r="N359" s="3">
        <v>373</v>
      </c>
      <c r="O359" s="3" t="str">
        <f t="shared" si="38"/>
        <v>2011</v>
      </c>
      <c r="P359" s="2">
        <v>29</v>
      </c>
    </row>
    <row r="360" spans="1:24" x14ac:dyDescent="0.35">
      <c r="A360" s="3">
        <v>2023</v>
      </c>
      <c r="B360" s="3">
        <v>10</v>
      </c>
      <c r="C360" s="3">
        <v>31</v>
      </c>
      <c r="D360" s="2">
        <v>504</v>
      </c>
      <c r="E360" s="3" t="s">
        <v>114</v>
      </c>
      <c r="F360" s="3">
        <v>4</v>
      </c>
      <c r="G360" s="3" t="s">
        <v>225</v>
      </c>
      <c r="H360" s="3" t="str">
        <f t="shared" si="39"/>
        <v>2022</v>
      </c>
      <c r="I360" s="3">
        <v>1</v>
      </c>
      <c r="J360" s="69"/>
      <c r="K360" s="3">
        <v>2</v>
      </c>
      <c r="L360" s="3">
        <v>2</v>
      </c>
      <c r="M360" s="3">
        <v>44</v>
      </c>
      <c r="N360" s="3">
        <v>373</v>
      </c>
      <c r="O360" s="3" t="str">
        <f t="shared" si="38"/>
        <v>2021</v>
      </c>
      <c r="P360" s="2">
        <v>504</v>
      </c>
    </row>
    <row r="361" spans="1:24" x14ac:dyDescent="0.35">
      <c r="A361" s="3">
        <v>2024</v>
      </c>
      <c r="B361" s="3">
        <v>8</v>
      </c>
      <c r="C361" s="3">
        <v>15</v>
      </c>
      <c r="D361" s="2">
        <v>735</v>
      </c>
      <c r="E361" s="3" t="s">
        <v>1146</v>
      </c>
      <c r="F361" s="3">
        <v>3</v>
      </c>
      <c r="G361" s="3" t="s">
        <v>225</v>
      </c>
      <c r="H361" s="3" t="str">
        <f t="shared" si="39"/>
        <v>2021</v>
      </c>
      <c r="I361" s="3">
        <v>3</v>
      </c>
      <c r="J361" s="69"/>
      <c r="K361">
        <v>3</v>
      </c>
      <c r="L361">
        <v>3</v>
      </c>
      <c r="M361">
        <v>50.7</v>
      </c>
      <c r="N361" s="3">
        <v>373</v>
      </c>
      <c r="O361" s="3" t="str">
        <f t="shared" si="38"/>
        <v>2021</v>
      </c>
      <c r="P361" s="2">
        <v>735</v>
      </c>
    </row>
    <row r="362" spans="1:24" x14ac:dyDescent="0.35">
      <c r="A362" s="3">
        <v>2024</v>
      </c>
      <c r="B362">
        <v>8</v>
      </c>
      <c r="C362" s="3">
        <v>9</v>
      </c>
      <c r="D362" s="2">
        <v>861</v>
      </c>
      <c r="E362" s="3" t="s">
        <v>1188</v>
      </c>
      <c r="F362" s="3">
        <v>3</v>
      </c>
      <c r="G362" t="s">
        <v>41</v>
      </c>
      <c r="H362" s="3" t="str">
        <f t="shared" si="39"/>
        <v>2013</v>
      </c>
      <c r="I362" s="3">
        <v>11</v>
      </c>
      <c r="J362" s="69"/>
      <c r="K362" t="s">
        <v>42</v>
      </c>
      <c r="L362" t="s">
        <v>318</v>
      </c>
      <c r="M362">
        <v>39.799999999999997</v>
      </c>
      <c r="N362" s="3">
        <v>373</v>
      </c>
      <c r="O362" s="3" t="str">
        <f t="shared" si="38"/>
        <v>2011</v>
      </c>
      <c r="P362" s="2">
        <v>861</v>
      </c>
    </row>
    <row r="363" spans="1:24" x14ac:dyDescent="0.35">
      <c r="A363" s="3">
        <v>2023</v>
      </c>
      <c r="B363" s="3">
        <v>7</v>
      </c>
      <c r="C363" s="3">
        <v>17</v>
      </c>
      <c r="D363" s="2">
        <v>394</v>
      </c>
      <c r="E363" s="3" t="s">
        <v>859</v>
      </c>
      <c r="F363" s="3">
        <v>3</v>
      </c>
      <c r="G363" s="3" t="s">
        <v>45</v>
      </c>
      <c r="H363" s="3" t="str">
        <f t="shared" si="39"/>
        <v>2011</v>
      </c>
      <c r="I363" s="3">
        <v>12</v>
      </c>
      <c r="J363" s="69"/>
      <c r="K363" s="3" t="s">
        <v>632</v>
      </c>
      <c r="L363" s="3" t="s">
        <v>317</v>
      </c>
      <c r="M363" s="3">
        <v>35.799999999999997</v>
      </c>
      <c r="N363" s="3">
        <v>374</v>
      </c>
      <c r="O363" s="3" t="str">
        <f t="shared" si="38"/>
        <v>2007</v>
      </c>
      <c r="P363" s="2">
        <v>394</v>
      </c>
    </row>
    <row r="364" spans="1:24" x14ac:dyDescent="0.35">
      <c r="A364" s="3">
        <v>2019</v>
      </c>
      <c r="B364" s="3">
        <v>2</v>
      </c>
      <c r="C364" s="3">
        <v>19</v>
      </c>
      <c r="D364" s="2">
        <v>150</v>
      </c>
      <c r="E364" s="3" t="s">
        <v>595</v>
      </c>
      <c r="F364" s="3">
        <v>1</v>
      </c>
      <c r="G364" s="3" t="s">
        <v>41</v>
      </c>
      <c r="H364" s="3" t="str">
        <f t="shared" si="39"/>
        <v>2012</v>
      </c>
      <c r="I364" s="3">
        <v>7</v>
      </c>
      <c r="J364" s="69"/>
      <c r="K364" s="3" t="s">
        <v>541</v>
      </c>
      <c r="L364" s="3" t="s">
        <v>461</v>
      </c>
      <c r="M364" s="3">
        <v>43.7</v>
      </c>
      <c r="N364" s="3">
        <v>376</v>
      </c>
      <c r="O364" s="3" t="str">
        <f t="shared" si="38"/>
        <v>2011</v>
      </c>
      <c r="P364" s="2">
        <v>150</v>
      </c>
      <c r="S364">
        <v>3.38</v>
      </c>
    </row>
    <row r="365" spans="1:24" x14ac:dyDescent="0.35">
      <c r="A365" s="3">
        <v>2019</v>
      </c>
      <c r="B365" s="3">
        <v>2</v>
      </c>
      <c r="C365" s="3">
        <v>19</v>
      </c>
      <c r="D365" s="2">
        <v>150</v>
      </c>
      <c r="E365" s="3" t="s">
        <v>595</v>
      </c>
      <c r="F365" s="3">
        <v>1</v>
      </c>
      <c r="G365" s="3" t="s">
        <v>41</v>
      </c>
      <c r="H365" s="3" t="str">
        <f t="shared" si="39"/>
        <v>2012</v>
      </c>
      <c r="I365" s="3">
        <v>7</v>
      </c>
      <c r="J365" s="69"/>
      <c r="K365" s="3" t="s">
        <v>541</v>
      </c>
      <c r="L365" s="3" t="s">
        <v>461</v>
      </c>
      <c r="M365" s="3">
        <v>43.7</v>
      </c>
      <c r="N365" s="3">
        <v>376</v>
      </c>
      <c r="O365" s="3" t="str">
        <f t="shared" si="38"/>
        <v>2011</v>
      </c>
      <c r="P365" s="2">
        <v>150</v>
      </c>
      <c r="S365">
        <v>3.2</v>
      </c>
    </row>
    <row r="366" spans="1:24" x14ac:dyDescent="0.35">
      <c r="A366" s="3">
        <v>2019</v>
      </c>
      <c r="B366" s="3">
        <v>8</v>
      </c>
      <c r="C366" s="3">
        <v>9</v>
      </c>
      <c r="D366" s="2">
        <v>315</v>
      </c>
      <c r="E366" s="3" t="s">
        <v>782</v>
      </c>
      <c r="F366" s="3">
        <v>3</v>
      </c>
      <c r="G366" s="3" t="s">
        <v>45</v>
      </c>
      <c r="H366" s="3" t="str">
        <f t="shared" si="39"/>
        <v>2011</v>
      </c>
      <c r="I366" s="3">
        <v>8</v>
      </c>
      <c r="J366" s="69"/>
      <c r="K366" s="3" t="s">
        <v>317</v>
      </c>
      <c r="L366" s="3" t="s">
        <v>317</v>
      </c>
      <c r="M366" s="3">
        <v>31.7</v>
      </c>
      <c r="N366" s="3">
        <v>376</v>
      </c>
      <c r="O366" s="3" t="str">
        <f t="shared" si="38"/>
        <v>2007</v>
      </c>
      <c r="P366" s="2">
        <v>315</v>
      </c>
    </row>
    <row r="367" spans="1:24" x14ac:dyDescent="0.35">
      <c r="A367" s="3">
        <v>2024</v>
      </c>
      <c r="B367" s="3">
        <v>8</v>
      </c>
      <c r="C367" s="3">
        <v>15</v>
      </c>
      <c r="D367" s="2">
        <v>731</v>
      </c>
      <c r="E367" s="3" t="s">
        <v>247</v>
      </c>
      <c r="F367" s="3">
        <v>3</v>
      </c>
      <c r="G367" s="3" t="s">
        <v>225</v>
      </c>
      <c r="H367" s="3" t="str">
        <f t="shared" si="39"/>
        <v>2021</v>
      </c>
      <c r="I367" s="3">
        <v>3</v>
      </c>
      <c r="J367" s="69"/>
      <c r="K367">
        <v>3</v>
      </c>
      <c r="L367">
        <v>3</v>
      </c>
      <c r="M367">
        <v>68.7</v>
      </c>
      <c r="N367" s="3">
        <v>376</v>
      </c>
      <c r="O367" s="3" t="str">
        <f t="shared" si="38"/>
        <v>2021</v>
      </c>
      <c r="P367" s="2">
        <v>731</v>
      </c>
    </row>
    <row r="368" spans="1:24" x14ac:dyDescent="0.35">
      <c r="A368" s="3">
        <v>2023</v>
      </c>
      <c r="B368" s="3">
        <v>7</v>
      </c>
      <c r="C368" s="3">
        <v>17</v>
      </c>
      <c r="D368" s="2">
        <v>383</v>
      </c>
      <c r="E368" s="3" t="s">
        <v>848</v>
      </c>
      <c r="F368" s="3">
        <v>3</v>
      </c>
      <c r="G368" s="3" t="s">
        <v>45</v>
      </c>
      <c r="H368" s="3" t="str">
        <f t="shared" si="39"/>
        <v>2011</v>
      </c>
      <c r="I368" s="3">
        <v>12</v>
      </c>
      <c r="J368" s="69"/>
      <c r="K368" s="3" t="s">
        <v>46</v>
      </c>
      <c r="L368" s="3" t="s">
        <v>317</v>
      </c>
      <c r="M368" s="3">
        <v>40.1</v>
      </c>
      <c r="N368" s="3">
        <v>377</v>
      </c>
      <c r="O368" s="3" t="str">
        <f t="shared" si="38"/>
        <v>2007</v>
      </c>
      <c r="P368" s="2">
        <v>383</v>
      </c>
    </row>
    <row r="369" spans="1:24" x14ac:dyDescent="0.35">
      <c r="A369" s="3">
        <v>2024</v>
      </c>
      <c r="B369" s="3">
        <v>3</v>
      </c>
      <c r="C369" s="3">
        <v>28</v>
      </c>
      <c r="D369" s="2">
        <v>660</v>
      </c>
      <c r="E369" s="3" t="s">
        <v>150</v>
      </c>
      <c r="F369" s="3">
        <v>2</v>
      </c>
      <c r="G369" s="3" t="s">
        <v>41</v>
      </c>
      <c r="H369" s="3" t="str">
        <f t="shared" si="39"/>
        <v>2013</v>
      </c>
      <c r="I369" s="3">
        <v>11</v>
      </c>
      <c r="J369" s="69"/>
      <c r="K369" t="s">
        <v>42</v>
      </c>
      <c r="L369" t="s">
        <v>318</v>
      </c>
      <c r="M369">
        <v>49.2</v>
      </c>
      <c r="N369" s="3">
        <v>377</v>
      </c>
      <c r="O369" s="3" t="str">
        <f t="shared" si="38"/>
        <v>2011</v>
      </c>
      <c r="P369" s="2">
        <v>660</v>
      </c>
    </row>
    <row r="370" spans="1:24" x14ac:dyDescent="0.35">
      <c r="A370" s="3">
        <v>2023</v>
      </c>
      <c r="B370" s="3">
        <v>2</v>
      </c>
      <c r="C370" s="3">
        <v>12</v>
      </c>
      <c r="D370" s="2">
        <v>114</v>
      </c>
      <c r="E370" s="14" t="s">
        <v>88</v>
      </c>
      <c r="F370" s="15">
        <v>1</v>
      </c>
      <c r="G370" s="3" t="s">
        <v>20</v>
      </c>
      <c r="H370" s="3" t="str">
        <f t="shared" si="39"/>
        <v>2020</v>
      </c>
      <c r="I370" s="3">
        <v>3</v>
      </c>
      <c r="J370" s="69"/>
      <c r="K370" s="3">
        <v>7</v>
      </c>
      <c r="L370" s="3">
        <v>7</v>
      </c>
      <c r="M370" s="3">
        <v>99.8</v>
      </c>
      <c r="N370" s="3">
        <v>378</v>
      </c>
      <c r="O370" s="3" t="str">
        <f t="shared" si="38"/>
        <v>2018</v>
      </c>
      <c r="P370" s="2">
        <v>114</v>
      </c>
      <c r="W370">
        <v>4.47</v>
      </c>
    </row>
    <row r="371" spans="1:24" x14ac:dyDescent="0.35">
      <c r="A371" s="3">
        <v>2024</v>
      </c>
      <c r="B371" s="3">
        <v>3</v>
      </c>
      <c r="C371" s="3">
        <v>13</v>
      </c>
      <c r="D371" s="2">
        <v>673</v>
      </c>
      <c r="E371" s="3" t="s">
        <v>1095</v>
      </c>
      <c r="F371" s="3">
        <v>2</v>
      </c>
      <c r="G371" s="3" t="s">
        <v>226</v>
      </c>
      <c r="H371" s="3" t="str">
        <f t="shared" si="39"/>
        <v>2017</v>
      </c>
      <c r="I371" s="3">
        <v>7</v>
      </c>
      <c r="J371" s="69"/>
      <c r="K371" t="s">
        <v>783</v>
      </c>
      <c r="L371">
        <v>7</v>
      </c>
      <c r="M371">
        <v>45.2</v>
      </c>
      <c r="N371" s="3">
        <v>378</v>
      </c>
      <c r="O371" s="3" t="str">
        <f t="shared" si="38"/>
        <v>2017</v>
      </c>
      <c r="P371" s="2">
        <v>673</v>
      </c>
    </row>
    <row r="372" spans="1:24" x14ac:dyDescent="0.35">
      <c r="A372" s="3">
        <v>2024</v>
      </c>
      <c r="B372">
        <v>8</v>
      </c>
      <c r="C372" s="3">
        <v>19</v>
      </c>
      <c r="D372" s="2">
        <v>826</v>
      </c>
      <c r="E372" s="3" t="s">
        <v>308</v>
      </c>
      <c r="F372" s="3">
        <v>3</v>
      </c>
      <c r="G372" s="3" t="s">
        <v>225</v>
      </c>
      <c r="H372" s="3" t="str">
        <f t="shared" si="39"/>
        <v>2021</v>
      </c>
      <c r="I372" s="3">
        <v>3</v>
      </c>
      <c r="J372" s="69"/>
      <c r="K372">
        <v>3</v>
      </c>
      <c r="L372">
        <v>3</v>
      </c>
      <c r="M372">
        <v>57.4</v>
      </c>
      <c r="N372" s="3">
        <v>378</v>
      </c>
      <c r="O372" s="3" t="str">
        <f t="shared" si="38"/>
        <v>2021</v>
      </c>
      <c r="P372" s="2">
        <v>826</v>
      </c>
    </row>
    <row r="373" spans="1:24" x14ac:dyDescent="0.35">
      <c r="A373" s="3">
        <v>2024</v>
      </c>
      <c r="B373" s="3">
        <v>3</v>
      </c>
      <c r="C373" s="3">
        <v>12</v>
      </c>
      <c r="D373" s="2">
        <v>691</v>
      </c>
      <c r="E373" s="3" t="s">
        <v>1111</v>
      </c>
      <c r="F373" s="3">
        <v>2</v>
      </c>
      <c r="G373" s="3" t="s">
        <v>45</v>
      </c>
      <c r="H373" s="3" t="str">
        <f t="shared" si="39"/>
        <v>2011</v>
      </c>
      <c r="I373" s="3">
        <v>13</v>
      </c>
      <c r="J373" s="69"/>
      <c r="K373" t="s">
        <v>1110</v>
      </c>
      <c r="L373" t="s">
        <v>317</v>
      </c>
      <c r="M373">
        <v>51.1</v>
      </c>
      <c r="N373" s="3">
        <v>379</v>
      </c>
      <c r="O373" s="3" t="str">
        <f t="shared" si="38"/>
        <v>2007</v>
      </c>
      <c r="P373" s="2">
        <v>691</v>
      </c>
      <c r="Q373" s="2">
        <v>3.25</v>
      </c>
      <c r="S373">
        <v>5.39</v>
      </c>
    </row>
    <row r="374" spans="1:24" x14ac:dyDescent="0.35">
      <c r="A374" s="3">
        <v>2016</v>
      </c>
      <c r="B374" s="3">
        <v>8</v>
      </c>
      <c r="C374" s="3">
        <v>31</v>
      </c>
      <c r="D374" s="2">
        <v>247</v>
      </c>
      <c r="E374" s="3" t="s">
        <v>705</v>
      </c>
      <c r="F374" s="3">
        <v>3</v>
      </c>
      <c r="G374" s="3" t="s">
        <v>45</v>
      </c>
      <c r="H374" s="3" t="str">
        <f t="shared" si="39"/>
        <v>2009</v>
      </c>
      <c r="I374" s="3">
        <v>7</v>
      </c>
      <c r="J374" s="69"/>
      <c r="K374" s="3" t="s">
        <v>657</v>
      </c>
      <c r="L374" s="3" t="s">
        <v>488</v>
      </c>
      <c r="M374" s="3">
        <v>45.5</v>
      </c>
      <c r="N374" s="3">
        <v>379</v>
      </c>
      <c r="O374" s="3" t="str">
        <f t="shared" si="38"/>
        <v>2007</v>
      </c>
      <c r="P374" s="2">
        <v>247</v>
      </c>
    </row>
    <row r="375" spans="1:24" x14ac:dyDescent="0.35">
      <c r="A375" s="3">
        <v>2023</v>
      </c>
      <c r="B375" s="3">
        <v>7</v>
      </c>
      <c r="C375" s="3">
        <v>19</v>
      </c>
      <c r="D375" s="2">
        <v>358</v>
      </c>
      <c r="E375" s="3" t="s">
        <v>824</v>
      </c>
      <c r="F375" s="3">
        <v>3</v>
      </c>
      <c r="G375" s="3" t="s">
        <v>41</v>
      </c>
      <c r="H375" s="3" t="str">
        <f t="shared" si="39"/>
        <v>2013</v>
      </c>
      <c r="I375" s="3">
        <v>10</v>
      </c>
      <c r="J375" s="69"/>
      <c r="K375" s="3" t="s">
        <v>42</v>
      </c>
      <c r="L375" s="3" t="s">
        <v>318</v>
      </c>
      <c r="M375" s="3">
        <v>44.7</v>
      </c>
      <c r="N375" s="3">
        <v>379</v>
      </c>
      <c r="O375" s="3" t="str">
        <f t="shared" si="38"/>
        <v>2011</v>
      </c>
      <c r="P375" s="2">
        <v>358</v>
      </c>
    </row>
    <row r="376" spans="1:24" x14ac:dyDescent="0.35">
      <c r="A376" s="3">
        <v>2024</v>
      </c>
      <c r="B376" s="3">
        <v>8</v>
      </c>
      <c r="C376" s="3">
        <v>19</v>
      </c>
      <c r="D376" s="2">
        <v>783</v>
      </c>
      <c r="E376" s="3" t="s">
        <v>1166</v>
      </c>
      <c r="F376" s="3">
        <v>3</v>
      </c>
      <c r="G376" s="3" t="s">
        <v>225</v>
      </c>
      <c r="H376" s="3" t="str">
        <f t="shared" si="39"/>
        <v>2021</v>
      </c>
      <c r="I376" s="3">
        <v>3</v>
      </c>
      <c r="J376" s="69"/>
      <c r="K376">
        <v>3</v>
      </c>
      <c r="L376">
        <v>3</v>
      </c>
      <c r="M376">
        <v>51.2</v>
      </c>
      <c r="N376" s="3">
        <v>380</v>
      </c>
      <c r="O376" s="3" t="str">
        <f t="shared" si="38"/>
        <v>2021</v>
      </c>
      <c r="P376" s="2">
        <v>783</v>
      </c>
      <c r="S376">
        <v>5.04</v>
      </c>
    </row>
    <row r="377" spans="1:24" x14ac:dyDescent="0.35">
      <c r="A377" s="3">
        <v>2023</v>
      </c>
      <c r="B377" s="3">
        <v>7</v>
      </c>
      <c r="C377" s="3">
        <v>19</v>
      </c>
      <c r="D377" s="2">
        <v>359</v>
      </c>
      <c r="E377" s="3" t="s">
        <v>825</v>
      </c>
      <c r="F377" s="3">
        <v>3</v>
      </c>
      <c r="G377" s="3" t="s">
        <v>41</v>
      </c>
      <c r="H377" s="3" t="str">
        <f t="shared" si="39"/>
        <v>2013</v>
      </c>
      <c r="I377" s="3">
        <v>10</v>
      </c>
      <c r="J377" s="69"/>
      <c r="K377" s="3" t="s">
        <v>42</v>
      </c>
      <c r="L377" s="3" t="s">
        <v>318</v>
      </c>
      <c r="M377" s="3">
        <v>43.9</v>
      </c>
      <c r="N377" s="3">
        <v>380</v>
      </c>
      <c r="O377" s="3" t="str">
        <f t="shared" si="38"/>
        <v>2011</v>
      </c>
      <c r="P377" s="2">
        <v>359</v>
      </c>
      <c r="T377">
        <v>3.84</v>
      </c>
    </row>
    <row r="378" spans="1:24" x14ac:dyDescent="0.35">
      <c r="A378" s="3">
        <v>2023</v>
      </c>
      <c r="B378" s="3">
        <v>7</v>
      </c>
      <c r="C378" s="3">
        <v>19</v>
      </c>
      <c r="D378" s="2">
        <v>359</v>
      </c>
      <c r="E378" s="3" t="s">
        <v>825</v>
      </c>
      <c r="F378" s="3">
        <v>3</v>
      </c>
      <c r="G378" s="3" t="s">
        <v>41</v>
      </c>
      <c r="H378" s="3" t="str">
        <f t="shared" si="39"/>
        <v>2013</v>
      </c>
      <c r="I378" s="3">
        <v>10</v>
      </c>
      <c r="J378" s="69"/>
      <c r="K378" s="3" t="s">
        <v>42</v>
      </c>
      <c r="L378" s="3" t="s">
        <v>318</v>
      </c>
      <c r="M378" s="3">
        <v>43.9</v>
      </c>
      <c r="N378" s="3">
        <v>380</v>
      </c>
      <c r="O378" s="3" t="str">
        <f t="shared" si="38"/>
        <v>2011</v>
      </c>
      <c r="P378" s="2">
        <v>359</v>
      </c>
      <c r="T378">
        <v>2.89</v>
      </c>
    </row>
    <row r="379" spans="1:24" x14ac:dyDescent="0.35">
      <c r="A379" s="3">
        <v>2024</v>
      </c>
      <c r="B379" s="3">
        <v>3</v>
      </c>
      <c r="C379" s="3">
        <v>12</v>
      </c>
      <c r="D379" s="2">
        <v>679</v>
      </c>
      <c r="E379" s="3" t="s">
        <v>156</v>
      </c>
      <c r="F379" s="3">
        <v>2</v>
      </c>
      <c r="G379" s="3" t="s">
        <v>45</v>
      </c>
      <c r="H379" s="3" t="str">
        <f t="shared" si="39"/>
        <v>2009</v>
      </c>
      <c r="I379" s="3">
        <v>15</v>
      </c>
      <c r="J379" s="69"/>
      <c r="K379" t="s">
        <v>1100</v>
      </c>
      <c r="L379" t="s">
        <v>488</v>
      </c>
      <c r="M379">
        <v>47.5</v>
      </c>
      <c r="N379" s="3">
        <v>380</v>
      </c>
      <c r="O379" s="3" t="str">
        <f t="shared" si="38"/>
        <v>2007</v>
      </c>
      <c r="P379" s="2">
        <v>679</v>
      </c>
      <c r="X379">
        <v>4.4800000000000004</v>
      </c>
    </row>
    <row r="380" spans="1:24" x14ac:dyDescent="0.35">
      <c r="A380" s="3">
        <v>2024</v>
      </c>
      <c r="B380" s="3">
        <v>2</v>
      </c>
      <c r="C380" s="3">
        <v>23</v>
      </c>
      <c r="D380" s="2">
        <v>642</v>
      </c>
      <c r="E380" s="3" t="s">
        <v>141</v>
      </c>
      <c r="F380" s="3">
        <v>1</v>
      </c>
      <c r="G380" s="3" t="s">
        <v>225</v>
      </c>
      <c r="H380" s="3" t="str">
        <f t="shared" si="39"/>
        <v>2022</v>
      </c>
      <c r="I380" s="3">
        <v>2</v>
      </c>
      <c r="J380" s="69"/>
      <c r="K380" t="s">
        <v>21</v>
      </c>
      <c r="L380" s="3">
        <v>2</v>
      </c>
      <c r="M380">
        <v>55.2</v>
      </c>
      <c r="N380" s="3">
        <v>380</v>
      </c>
      <c r="O380" s="3" t="str">
        <f t="shared" si="38"/>
        <v>2021</v>
      </c>
      <c r="P380" s="2">
        <v>642</v>
      </c>
    </row>
    <row r="381" spans="1:24" x14ac:dyDescent="0.35">
      <c r="A381" s="3">
        <v>2024</v>
      </c>
      <c r="B381" s="3">
        <v>8</v>
      </c>
      <c r="C381" s="3">
        <v>8</v>
      </c>
      <c r="D381" s="2">
        <v>700</v>
      </c>
      <c r="E381" s="3" t="s">
        <v>1120</v>
      </c>
      <c r="F381" s="3">
        <v>3</v>
      </c>
      <c r="G381" s="3" t="s">
        <v>45</v>
      </c>
      <c r="H381" s="3" t="str">
        <f t="shared" si="39"/>
        <v>2011</v>
      </c>
      <c r="I381" s="3">
        <v>13</v>
      </c>
      <c r="J381" s="69"/>
      <c r="K381" t="s">
        <v>46</v>
      </c>
      <c r="L381" t="s">
        <v>317</v>
      </c>
      <c r="M381">
        <v>42.9</v>
      </c>
      <c r="N381" s="3">
        <v>380</v>
      </c>
      <c r="O381" s="3" t="str">
        <f t="shared" si="38"/>
        <v>2007</v>
      </c>
      <c r="P381" s="2">
        <v>700</v>
      </c>
    </row>
    <row r="382" spans="1:24" x14ac:dyDescent="0.35">
      <c r="A382" s="3">
        <v>2024</v>
      </c>
      <c r="B382" s="3">
        <v>6</v>
      </c>
      <c r="C382" s="3">
        <v>19</v>
      </c>
      <c r="D382" s="2">
        <v>757</v>
      </c>
      <c r="E382" s="3" t="s">
        <v>1151</v>
      </c>
      <c r="F382" s="3">
        <v>3</v>
      </c>
      <c r="G382" s="3" t="s">
        <v>225</v>
      </c>
      <c r="H382" s="3" t="str">
        <f t="shared" si="39"/>
        <v>2021</v>
      </c>
      <c r="I382" s="3">
        <v>3</v>
      </c>
      <c r="J382" s="69"/>
      <c r="K382" s="6" t="s">
        <v>1076</v>
      </c>
      <c r="L382">
        <v>3</v>
      </c>
      <c r="M382">
        <v>52.4</v>
      </c>
      <c r="N382" s="3">
        <v>380</v>
      </c>
      <c r="O382" s="3" t="str">
        <f t="shared" si="38"/>
        <v>2021</v>
      </c>
      <c r="P382" s="2">
        <v>757</v>
      </c>
    </row>
    <row r="383" spans="1:24" x14ac:dyDescent="0.35">
      <c r="A383" s="3">
        <v>2024</v>
      </c>
      <c r="B383" s="3">
        <v>8</v>
      </c>
      <c r="C383" s="3">
        <v>19</v>
      </c>
      <c r="D383" s="2">
        <v>779</v>
      </c>
      <c r="E383" s="3" t="s">
        <v>279</v>
      </c>
      <c r="F383" s="3">
        <v>3</v>
      </c>
      <c r="G383" s="3" t="s">
        <v>225</v>
      </c>
      <c r="H383" s="3" t="str">
        <f t="shared" si="39"/>
        <v>2021</v>
      </c>
      <c r="I383" s="3">
        <v>3</v>
      </c>
      <c r="J383" s="69"/>
      <c r="K383">
        <v>3</v>
      </c>
      <c r="L383">
        <v>3</v>
      </c>
      <c r="M383">
        <v>57.6</v>
      </c>
      <c r="N383" s="3">
        <v>380</v>
      </c>
      <c r="O383" s="3" t="str">
        <f t="shared" si="38"/>
        <v>2021</v>
      </c>
      <c r="P383" s="2">
        <v>779</v>
      </c>
    </row>
    <row r="384" spans="1:24" x14ac:dyDescent="0.35">
      <c r="A384" s="3">
        <v>2023</v>
      </c>
      <c r="B384" s="3">
        <v>8</v>
      </c>
      <c r="C384" s="3">
        <v>2</v>
      </c>
      <c r="D384" s="2">
        <v>415</v>
      </c>
      <c r="E384" s="3" t="s">
        <v>879</v>
      </c>
      <c r="F384" s="3">
        <v>3</v>
      </c>
      <c r="G384" s="3" t="s">
        <v>226</v>
      </c>
      <c r="H384" s="3" t="str">
        <f t="shared" si="39"/>
        <v>2017</v>
      </c>
      <c r="I384" s="3">
        <v>6</v>
      </c>
      <c r="J384" s="69"/>
      <c r="K384" s="3" t="s">
        <v>878</v>
      </c>
      <c r="L384" s="3">
        <v>7</v>
      </c>
      <c r="M384" s="3">
        <v>51.9</v>
      </c>
      <c r="N384" s="3">
        <v>381</v>
      </c>
      <c r="O384" s="3" t="str">
        <f t="shared" si="38"/>
        <v>2017</v>
      </c>
      <c r="P384" s="2">
        <v>415</v>
      </c>
    </row>
    <row r="385" spans="1:23" x14ac:dyDescent="0.35">
      <c r="A385" s="3">
        <v>2024</v>
      </c>
      <c r="B385" s="3">
        <v>8</v>
      </c>
      <c r="C385" s="3">
        <v>19</v>
      </c>
      <c r="D385" s="2">
        <v>795</v>
      </c>
      <c r="E385" s="3" t="s">
        <v>286</v>
      </c>
      <c r="F385" s="3">
        <v>3</v>
      </c>
      <c r="G385" s="3" t="s">
        <v>225</v>
      </c>
      <c r="H385" s="3" t="str">
        <f t="shared" si="39"/>
        <v>2021</v>
      </c>
      <c r="I385" s="3">
        <v>3</v>
      </c>
      <c r="J385" s="69"/>
      <c r="K385">
        <v>3</v>
      </c>
      <c r="L385">
        <v>3</v>
      </c>
      <c r="M385">
        <v>49.8</v>
      </c>
      <c r="N385" s="3">
        <v>381</v>
      </c>
      <c r="O385" s="3" t="str">
        <f t="shared" si="38"/>
        <v>2021</v>
      </c>
      <c r="P385" s="2">
        <v>795</v>
      </c>
    </row>
    <row r="386" spans="1:23" x14ac:dyDescent="0.35">
      <c r="A386" s="3">
        <v>2024</v>
      </c>
      <c r="B386" s="3">
        <v>3</v>
      </c>
      <c r="C386" s="3">
        <v>12</v>
      </c>
      <c r="D386" s="2">
        <v>690</v>
      </c>
      <c r="E386" s="3" t="s">
        <v>1109</v>
      </c>
      <c r="F386" s="3">
        <v>2</v>
      </c>
      <c r="G386" s="3" t="s">
        <v>45</v>
      </c>
      <c r="H386" s="3" t="str">
        <f t="shared" si="39"/>
        <v>2011</v>
      </c>
      <c r="I386" s="3">
        <v>13</v>
      </c>
      <c r="J386" s="69"/>
      <c r="K386" t="s">
        <v>1110</v>
      </c>
      <c r="L386" t="s">
        <v>317</v>
      </c>
      <c r="M386">
        <v>54.3</v>
      </c>
      <c r="N386" s="3">
        <v>382</v>
      </c>
      <c r="O386" s="3" t="str">
        <f t="shared" ref="O386:O449" si="40">IF(G386="PHD", "2007", IF(G386="TSL", "2011", IF(G386 = "SRS", "2018", IF(G386="WCA 3B", "2017", IF(G386="WCA 3A", "2021")))))</f>
        <v>2007</v>
      </c>
      <c r="P386" s="2">
        <v>690</v>
      </c>
      <c r="R386" s="2">
        <v>7.8</v>
      </c>
    </row>
    <row r="387" spans="1:23" x14ac:dyDescent="0.35">
      <c r="A387" s="3">
        <v>2017</v>
      </c>
      <c r="B387" s="3">
        <v>8</v>
      </c>
      <c r="C387" s="3">
        <v>14</v>
      </c>
      <c r="D387" s="2">
        <v>132</v>
      </c>
      <c r="E387" s="14" t="s">
        <v>577</v>
      </c>
      <c r="F387" s="15">
        <v>3</v>
      </c>
      <c r="G387" s="3" t="s">
        <v>45</v>
      </c>
      <c r="H387" s="3" t="str">
        <f t="shared" si="39"/>
        <v>2011</v>
      </c>
      <c r="I387" s="3">
        <v>6</v>
      </c>
      <c r="J387" s="69"/>
      <c r="K387" s="3" t="s">
        <v>317</v>
      </c>
      <c r="L387" s="3" t="s">
        <v>317</v>
      </c>
      <c r="M387" s="3">
        <v>44.4</v>
      </c>
      <c r="N387" s="3">
        <v>382</v>
      </c>
      <c r="O387" s="3" t="str">
        <f t="shared" si="40"/>
        <v>2007</v>
      </c>
      <c r="P387" s="2">
        <v>132</v>
      </c>
    </row>
    <row r="388" spans="1:23" x14ac:dyDescent="0.35">
      <c r="A388" s="3">
        <v>2023</v>
      </c>
      <c r="B388" s="3">
        <v>7</v>
      </c>
      <c r="C388" s="3">
        <v>18</v>
      </c>
      <c r="D388" s="2">
        <v>340</v>
      </c>
      <c r="E388" s="3" t="s">
        <v>806</v>
      </c>
      <c r="F388" s="3">
        <v>3</v>
      </c>
      <c r="G388" s="3" t="s">
        <v>41</v>
      </c>
      <c r="H388" s="3" t="str">
        <f t="shared" si="39"/>
        <v>2012</v>
      </c>
      <c r="I388" s="3">
        <v>11</v>
      </c>
      <c r="J388" s="69"/>
      <c r="K388" s="3" t="s">
        <v>551</v>
      </c>
      <c r="L388" s="3" t="s">
        <v>461</v>
      </c>
      <c r="M388" s="3">
        <v>47.1</v>
      </c>
      <c r="N388" s="3">
        <v>382</v>
      </c>
      <c r="O388" s="3" t="str">
        <f t="shared" si="40"/>
        <v>2011</v>
      </c>
      <c r="P388" s="2">
        <v>340</v>
      </c>
    </row>
    <row r="389" spans="1:23" x14ac:dyDescent="0.35">
      <c r="A389" s="3">
        <v>2017</v>
      </c>
      <c r="B389" s="3">
        <v>7</v>
      </c>
      <c r="C389" s="3">
        <v>8</v>
      </c>
      <c r="D389" s="2">
        <v>94</v>
      </c>
      <c r="E389" s="14" t="s">
        <v>539</v>
      </c>
      <c r="F389" s="15">
        <v>3</v>
      </c>
      <c r="G389" s="3" t="s">
        <v>41</v>
      </c>
      <c r="H389" s="3" t="str">
        <f t="shared" si="39"/>
        <v>2013</v>
      </c>
      <c r="I389" s="3">
        <v>4</v>
      </c>
      <c r="J389" s="69"/>
      <c r="K389" s="3" t="s">
        <v>318</v>
      </c>
      <c r="L389" s="3" t="s">
        <v>318</v>
      </c>
      <c r="M389" s="3"/>
      <c r="N389" s="3">
        <v>383</v>
      </c>
      <c r="O389" s="3" t="str">
        <f t="shared" si="40"/>
        <v>2011</v>
      </c>
      <c r="P389" s="2">
        <v>94</v>
      </c>
    </row>
    <row r="390" spans="1:23" x14ac:dyDescent="0.35">
      <c r="A390" s="3">
        <v>2023</v>
      </c>
      <c r="B390" s="3">
        <v>7</v>
      </c>
      <c r="C390" s="3">
        <v>17</v>
      </c>
      <c r="D390" s="2">
        <v>382</v>
      </c>
      <c r="E390" s="3" t="s">
        <v>847</v>
      </c>
      <c r="F390" s="3">
        <v>3</v>
      </c>
      <c r="G390" s="3" t="s">
        <v>45</v>
      </c>
      <c r="H390" s="3" t="str">
        <f t="shared" si="39"/>
        <v>2011</v>
      </c>
      <c r="I390" s="3">
        <v>12</v>
      </c>
      <c r="J390" s="69"/>
      <c r="K390" s="3" t="s">
        <v>46</v>
      </c>
      <c r="L390" s="3" t="s">
        <v>317</v>
      </c>
      <c r="M390" s="3">
        <v>39.4</v>
      </c>
      <c r="N390" s="3">
        <v>383</v>
      </c>
      <c r="O390" s="3" t="str">
        <f t="shared" si="40"/>
        <v>2007</v>
      </c>
      <c r="P390" s="2">
        <v>382</v>
      </c>
    </row>
    <row r="391" spans="1:23" x14ac:dyDescent="0.35">
      <c r="A391" s="3">
        <v>2021</v>
      </c>
      <c r="B391" s="3">
        <v>4</v>
      </c>
      <c r="C391" s="3">
        <v>13</v>
      </c>
      <c r="D391" s="2">
        <v>495</v>
      </c>
      <c r="E391" s="3" t="s">
        <v>949</v>
      </c>
      <c r="F391" s="3">
        <v>2</v>
      </c>
      <c r="G391" s="3" t="s">
        <v>226</v>
      </c>
      <c r="H391" s="3" t="str">
        <f t="shared" ref="H391:H454" si="41">IF(L391="A55","2009",IF(L391="A59","2009",IF(L391="A60","2010",IF(L391="A62","2011",IF(L391="CP","2013",IF(L391="MD","2012",IF(L391="TS","2013",IF(L391="DL","2018",IF(L391="SCU","2018",IF(L391="NCU","2018",IF(L391="C1C","2018",IF(L391="C1E","2018",IF(L391="RS1S","2018",IF(L391="C2B","2018",IF(L391="DB3","2018",IF(AND(L391=6,G391="SRS"),"2018",IF(AND(L391=7,G391="SRS"),"2020",IF(AND(L391=8,G391="SRS"),"2020",IF(L391=23,"2019",IF(AND(L391=7,G391="WCA 3B"),"2017",IF(AND(L391=8,G391="WCA 3B"),"2019",IF(L391=1,"2021",IF(L391=2,"2022",IF(L391=3,"2021",IF(L391=4,"2021",IF(L391=5,"2022",IF(AND(L391=6,G391="WCA 3A"),"2022",IF(L391=9,"2023",IF(L391=10,"2023",IF(L391=37,"2020"))))))))))))))))))))))))))))))</f>
        <v>2018</v>
      </c>
      <c r="I391" s="3">
        <v>3</v>
      </c>
      <c r="J391" s="69"/>
      <c r="K391" s="3" t="s">
        <v>51</v>
      </c>
      <c r="L391" s="3" t="s">
        <v>929</v>
      </c>
      <c r="M391" s="16">
        <v>65</v>
      </c>
      <c r="N391" s="3">
        <v>383</v>
      </c>
      <c r="O391" s="3" t="str">
        <f t="shared" si="40"/>
        <v>2017</v>
      </c>
      <c r="P391" s="2">
        <v>495</v>
      </c>
    </row>
    <row r="392" spans="1:23" x14ac:dyDescent="0.35">
      <c r="A392" s="3">
        <v>2024</v>
      </c>
      <c r="B392" s="3">
        <v>1</v>
      </c>
      <c r="C392" s="3">
        <v>16</v>
      </c>
      <c r="D392" s="2">
        <v>569</v>
      </c>
      <c r="E392" s="3" t="s">
        <v>1013</v>
      </c>
      <c r="F392" s="3">
        <v>1</v>
      </c>
      <c r="G392" s="3" t="s">
        <v>45</v>
      </c>
      <c r="H392" s="3" t="str">
        <f t="shared" si="41"/>
        <v>2011</v>
      </c>
      <c r="I392" s="3">
        <v>13</v>
      </c>
      <c r="J392" s="69"/>
      <c r="K392" t="s">
        <v>615</v>
      </c>
      <c r="L392" s="3" t="s">
        <v>317</v>
      </c>
      <c r="M392">
        <v>53.3</v>
      </c>
      <c r="N392" s="3">
        <v>384</v>
      </c>
      <c r="O392" s="3" t="str">
        <f t="shared" si="40"/>
        <v>2007</v>
      </c>
      <c r="P392" s="2">
        <v>569</v>
      </c>
      <c r="S392">
        <v>4.38</v>
      </c>
    </row>
    <row r="393" spans="1:23" x14ac:dyDescent="0.35">
      <c r="A393" s="3">
        <v>2021</v>
      </c>
      <c r="B393" s="3" t="s">
        <v>28</v>
      </c>
      <c r="C393" s="3" t="s">
        <v>28</v>
      </c>
      <c r="D393" s="2">
        <v>494</v>
      </c>
      <c r="E393" s="3" t="s">
        <v>948</v>
      </c>
      <c r="F393" s="3" t="s">
        <v>28</v>
      </c>
      <c r="G393" s="3" t="s">
        <v>226</v>
      </c>
      <c r="H393" s="3" t="str">
        <f t="shared" si="41"/>
        <v>2018</v>
      </c>
      <c r="I393" s="3">
        <v>3</v>
      </c>
      <c r="J393" s="69"/>
      <c r="K393" s="3" t="s">
        <v>51</v>
      </c>
      <c r="L393" s="3" t="s">
        <v>929</v>
      </c>
      <c r="M393" s="16">
        <v>50</v>
      </c>
      <c r="N393" s="3">
        <v>384</v>
      </c>
      <c r="O393" s="3" t="str">
        <f t="shared" si="40"/>
        <v>2017</v>
      </c>
      <c r="P393" s="2">
        <v>494</v>
      </c>
    </row>
    <row r="394" spans="1:23" x14ac:dyDescent="0.35">
      <c r="A394" s="3">
        <v>2024</v>
      </c>
      <c r="B394" s="3">
        <v>8</v>
      </c>
      <c r="C394" s="3">
        <v>19</v>
      </c>
      <c r="D394" s="2">
        <v>742</v>
      </c>
      <c r="E394" s="3" t="s">
        <v>1149</v>
      </c>
      <c r="F394" s="3">
        <v>3</v>
      </c>
      <c r="G394" s="3" t="s">
        <v>225</v>
      </c>
      <c r="H394" s="3" t="str">
        <f t="shared" si="41"/>
        <v>2021</v>
      </c>
      <c r="I394" s="3">
        <v>3</v>
      </c>
      <c r="J394" s="69"/>
      <c r="K394">
        <v>3</v>
      </c>
      <c r="L394">
        <v>3</v>
      </c>
      <c r="M394">
        <v>48.6</v>
      </c>
      <c r="N394" s="3">
        <v>384</v>
      </c>
      <c r="O394" s="3" t="str">
        <f t="shared" si="40"/>
        <v>2021</v>
      </c>
      <c r="P394" s="2">
        <v>742</v>
      </c>
    </row>
    <row r="395" spans="1:23" x14ac:dyDescent="0.35">
      <c r="A395" s="3">
        <v>2023</v>
      </c>
      <c r="B395" s="3">
        <v>7</v>
      </c>
      <c r="C395" s="3">
        <v>19</v>
      </c>
      <c r="D395" s="2">
        <v>375</v>
      </c>
      <c r="E395" s="3" t="s">
        <v>841</v>
      </c>
      <c r="F395" s="3">
        <v>3</v>
      </c>
      <c r="G395" s="3" t="s">
        <v>41</v>
      </c>
      <c r="H395" s="3" t="str">
        <f t="shared" si="41"/>
        <v>2012</v>
      </c>
      <c r="I395" s="3">
        <v>11</v>
      </c>
      <c r="J395" s="69"/>
      <c r="K395" s="3" t="s">
        <v>544</v>
      </c>
      <c r="L395" s="3" t="s">
        <v>461</v>
      </c>
      <c r="M395" s="3">
        <v>4.9000000000000004</v>
      </c>
      <c r="N395" s="3">
        <v>385</v>
      </c>
      <c r="O395" s="3" t="str">
        <f t="shared" si="40"/>
        <v>2011</v>
      </c>
      <c r="P395" s="2">
        <v>375</v>
      </c>
    </row>
    <row r="396" spans="1:23" x14ac:dyDescent="0.35">
      <c r="A396" s="3">
        <v>2024</v>
      </c>
      <c r="B396" s="3">
        <v>3</v>
      </c>
      <c r="C396" s="3">
        <v>28</v>
      </c>
      <c r="D396" s="2">
        <v>654</v>
      </c>
      <c r="E396" s="3" t="s">
        <v>1081</v>
      </c>
      <c r="F396" s="3">
        <v>2</v>
      </c>
      <c r="G396" s="3" t="s">
        <v>41</v>
      </c>
      <c r="H396" s="3" t="str">
        <f t="shared" si="41"/>
        <v>2013</v>
      </c>
      <c r="I396" s="3">
        <v>11</v>
      </c>
      <c r="J396" s="69"/>
      <c r="K396" t="s">
        <v>49</v>
      </c>
      <c r="L396" t="s">
        <v>318</v>
      </c>
      <c r="M396">
        <v>49.6</v>
      </c>
      <c r="N396" s="3">
        <v>385</v>
      </c>
      <c r="O396" s="3" t="str">
        <f t="shared" si="40"/>
        <v>2011</v>
      </c>
      <c r="P396" s="2">
        <v>654</v>
      </c>
    </row>
    <row r="397" spans="1:23" x14ac:dyDescent="0.35">
      <c r="A397" s="3">
        <v>2024</v>
      </c>
      <c r="B397" s="3">
        <v>1</v>
      </c>
      <c r="C397" s="3">
        <v>16</v>
      </c>
      <c r="D397" s="2">
        <v>570</v>
      </c>
      <c r="E397" s="3" t="s">
        <v>1014</v>
      </c>
      <c r="F397" s="3">
        <v>1</v>
      </c>
      <c r="G397" s="3" t="s">
        <v>45</v>
      </c>
      <c r="H397" s="3" t="str">
        <f t="shared" si="41"/>
        <v>2011</v>
      </c>
      <c r="I397" s="3">
        <v>13</v>
      </c>
      <c r="J397" s="69"/>
      <c r="K397" t="s">
        <v>615</v>
      </c>
      <c r="L397" s="3" t="s">
        <v>317</v>
      </c>
      <c r="M397">
        <v>51.6</v>
      </c>
      <c r="N397" s="3">
        <v>386</v>
      </c>
      <c r="O397" s="3" t="str">
        <f t="shared" si="40"/>
        <v>2007</v>
      </c>
      <c r="P397" s="2">
        <v>570</v>
      </c>
      <c r="S397">
        <v>5.4</v>
      </c>
      <c r="V397">
        <v>4.9000000000000004</v>
      </c>
      <c r="W397">
        <v>4.37</v>
      </c>
    </row>
    <row r="398" spans="1:23" x14ac:dyDescent="0.35">
      <c r="A398" s="3">
        <v>2024</v>
      </c>
      <c r="B398" s="3">
        <v>1</v>
      </c>
      <c r="C398" s="3">
        <v>16</v>
      </c>
      <c r="D398" s="2">
        <v>570</v>
      </c>
      <c r="E398" s="3" t="s">
        <v>1014</v>
      </c>
      <c r="F398" s="3">
        <v>1</v>
      </c>
      <c r="G398" s="3" t="s">
        <v>45</v>
      </c>
      <c r="H398" s="3" t="str">
        <f t="shared" si="41"/>
        <v>2011</v>
      </c>
      <c r="I398" s="3">
        <v>13</v>
      </c>
      <c r="J398" s="69"/>
      <c r="K398" t="s">
        <v>615</v>
      </c>
      <c r="L398" s="3" t="s">
        <v>317</v>
      </c>
      <c r="M398">
        <v>51.6</v>
      </c>
      <c r="N398" s="3">
        <v>386</v>
      </c>
      <c r="O398" s="3" t="str">
        <f t="shared" si="40"/>
        <v>2007</v>
      </c>
      <c r="P398" s="2">
        <v>570</v>
      </c>
      <c r="S398">
        <v>3.57</v>
      </c>
    </row>
    <row r="399" spans="1:23" x14ac:dyDescent="0.35">
      <c r="A399" s="3">
        <v>2023</v>
      </c>
      <c r="B399" s="3">
        <v>7</v>
      </c>
      <c r="C399" s="3">
        <v>17</v>
      </c>
      <c r="D399" s="2">
        <v>388</v>
      </c>
      <c r="E399" s="3" t="s">
        <v>853</v>
      </c>
      <c r="F399" s="3">
        <v>3</v>
      </c>
      <c r="G399" s="3" t="s">
        <v>45</v>
      </c>
      <c r="H399" s="3" t="str">
        <f t="shared" si="41"/>
        <v>2011</v>
      </c>
      <c r="I399" s="3">
        <v>12</v>
      </c>
      <c r="J399" s="69"/>
      <c r="K399" s="3" t="s">
        <v>632</v>
      </c>
      <c r="L399" s="3" t="s">
        <v>317</v>
      </c>
      <c r="M399" s="3">
        <v>42.6</v>
      </c>
      <c r="N399" s="3">
        <v>387</v>
      </c>
      <c r="O399" s="3" t="str">
        <f t="shared" si="40"/>
        <v>2007</v>
      </c>
      <c r="P399" s="2">
        <v>388</v>
      </c>
      <c r="T399">
        <v>4.29</v>
      </c>
    </row>
    <row r="400" spans="1:23" x14ac:dyDescent="0.35">
      <c r="A400" s="3">
        <v>2023</v>
      </c>
      <c r="B400" s="3">
        <v>7</v>
      </c>
      <c r="C400" s="3">
        <v>17</v>
      </c>
      <c r="D400" s="2">
        <v>388</v>
      </c>
      <c r="E400" s="3" t="s">
        <v>853</v>
      </c>
      <c r="F400" s="3">
        <v>3</v>
      </c>
      <c r="G400" s="3" t="s">
        <v>45</v>
      </c>
      <c r="H400" s="3" t="str">
        <f t="shared" si="41"/>
        <v>2011</v>
      </c>
      <c r="I400" s="3">
        <v>12</v>
      </c>
      <c r="J400" s="69"/>
      <c r="K400" s="3" t="s">
        <v>632</v>
      </c>
      <c r="L400" s="3" t="s">
        <v>317</v>
      </c>
      <c r="M400" s="3">
        <v>42.6</v>
      </c>
      <c r="N400" s="3">
        <v>387</v>
      </c>
      <c r="O400" s="3" t="str">
        <f t="shared" si="40"/>
        <v>2007</v>
      </c>
      <c r="P400" s="2">
        <v>388</v>
      </c>
      <c r="T400">
        <v>3.14</v>
      </c>
    </row>
    <row r="401" spans="1:25" x14ac:dyDescent="0.35">
      <c r="A401" s="3">
        <v>2016</v>
      </c>
      <c r="B401" s="3">
        <v>11</v>
      </c>
      <c r="C401" s="3">
        <v>7</v>
      </c>
      <c r="D401" s="2">
        <v>227</v>
      </c>
      <c r="E401" s="3" t="s">
        <v>685</v>
      </c>
      <c r="F401" s="3">
        <v>4</v>
      </c>
      <c r="G401" s="3" t="s">
        <v>45</v>
      </c>
      <c r="H401" s="3" t="str">
        <f t="shared" si="41"/>
        <v>2009</v>
      </c>
      <c r="I401" s="3">
        <v>7</v>
      </c>
      <c r="J401" s="69"/>
      <c r="K401" s="3" t="s">
        <v>671</v>
      </c>
      <c r="L401" s="3" t="s">
        <v>512</v>
      </c>
      <c r="M401" s="3">
        <v>51.8</v>
      </c>
      <c r="N401" s="3">
        <v>387</v>
      </c>
      <c r="O401" s="3" t="str">
        <f t="shared" si="40"/>
        <v>2007</v>
      </c>
      <c r="P401" s="2">
        <v>227</v>
      </c>
    </row>
    <row r="402" spans="1:25" x14ac:dyDescent="0.35">
      <c r="A402" s="3">
        <v>2023</v>
      </c>
      <c r="B402" s="3">
        <v>7</v>
      </c>
      <c r="C402" s="3">
        <v>21</v>
      </c>
      <c r="D402" s="2">
        <v>412</v>
      </c>
      <c r="E402" s="3" t="s">
        <v>875</v>
      </c>
      <c r="F402" s="3">
        <v>3</v>
      </c>
      <c r="G402" s="3" t="s">
        <v>20</v>
      </c>
      <c r="H402" s="3" t="str">
        <f t="shared" si="41"/>
        <v>2020</v>
      </c>
      <c r="I402" s="3">
        <v>3</v>
      </c>
      <c r="J402" s="69"/>
      <c r="K402" s="3" t="s">
        <v>55</v>
      </c>
      <c r="L402" s="3">
        <v>8</v>
      </c>
      <c r="M402" s="3">
        <v>52.7</v>
      </c>
      <c r="N402" s="3">
        <v>387</v>
      </c>
      <c r="O402" s="3" t="str">
        <f t="shared" si="40"/>
        <v>2018</v>
      </c>
      <c r="P402" s="2">
        <v>412</v>
      </c>
    </row>
    <row r="403" spans="1:25" x14ac:dyDescent="0.35">
      <c r="A403" s="3">
        <v>2024</v>
      </c>
      <c r="B403" s="3">
        <v>8</v>
      </c>
      <c r="C403" s="3">
        <v>12</v>
      </c>
      <c r="D403" s="2">
        <v>699</v>
      </c>
      <c r="E403" s="3" t="s">
        <v>1118</v>
      </c>
      <c r="F403" s="3">
        <v>3</v>
      </c>
      <c r="G403" s="3" t="s">
        <v>41</v>
      </c>
      <c r="H403" s="3" t="str">
        <f t="shared" si="41"/>
        <v>2012</v>
      </c>
      <c r="I403" s="3">
        <v>12</v>
      </c>
      <c r="J403" s="69"/>
      <c r="K403" t="s">
        <v>1119</v>
      </c>
      <c r="L403" t="s">
        <v>461</v>
      </c>
      <c r="M403">
        <v>43</v>
      </c>
      <c r="N403" s="3">
        <v>387</v>
      </c>
      <c r="O403" s="3" t="str">
        <f t="shared" si="40"/>
        <v>2011</v>
      </c>
      <c r="P403" s="2">
        <v>699</v>
      </c>
    </row>
    <row r="404" spans="1:25" x14ac:dyDescent="0.35">
      <c r="A404" s="3">
        <v>2024</v>
      </c>
      <c r="B404">
        <v>8</v>
      </c>
      <c r="C404" s="3">
        <v>15</v>
      </c>
      <c r="D404" s="2">
        <v>830</v>
      </c>
      <c r="E404" s="3" t="s">
        <v>310</v>
      </c>
      <c r="F404" s="3">
        <v>3</v>
      </c>
      <c r="G404" s="3" t="s">
        <v>225</v>
      </c>
      <c r="H404" s="3" t="str">
        <f t="shared" si="41"/>
        <v>2021</v>
      </c>
      <c r="I404" s="3">
        <v>3</v>
      </c>
      <c r="J404" s="69"/>
      <c r="K404" t="s">
        <v>237</v>
      </c>
      <c r="L404">
        <v>3</v>
      </c>
      <c r="M404">
        <v>60.2</v>
      </c>
      <c r="N404" s="3">
        <v>387</v>
      </c>
      <c r="O404" s="3" t="str">
        <f t="shared" si="40"/>
        <v>2021</v>
      </c>
      <c r="P404" s="2">
        <v>830</v>
      </c>
    </row>
    <row r="405" spans="1:25" x14ac:dyDescent="0.35">
      <c r="A405" s="3">
        <v>2022</v>
      </c>
      <c r="B405" s="3">
        <v>1</v>
      </c>
      <c r="C405" s="3" t="s">
        <v>28</v>
      </c>
      <c r="D405" s="2">
        <v>59</v>
      </c>
      <c r="E405" s="3" t="s">
        <v>502</v>
      </c>
      <c r="F405" s="3">
        <v>1</v>
      </c>
      <c r="G405" s="3" t="s">
        <v>41</v>
      </c>
      <c r="H405" s="3" t="str">
        <f t="shared" si="41"/>
        <v>2012</v>
      </c>
      <c r="I405" s="3">
        <v>10</v>
      </c>
      <c r="J405" s="69"/>
      <c r="K405" s="3" t="s">
        <v>461</v>
      </c>
      <c r="L405" s="3" t="s">
        <v>461</v>
      </c>
      <c r="M405" s="3">
        <v>51.1</v>
      </c>
      <c r="N405" s="3">
        <v>388</v>
      </c>
      <c r="O405" s="3" t="str">
        <f t="shared" si="40"/>
        <v>2011</v>
      </c>
      <c r="P405" s="2">
        <v>59</v>
      </c>
      <c r="Q405" s="2">
        <v>1.65</v>
      </c>
    </row>
    <row r="406" spans="1:25" x14ac:dyDescent="0.35">
      <c r="A406" s="3">
        <v>2022</v>
      </c>
      <c r="B406" s="3">
        <v>1</v>
      </c>
      <c r="C406" s="3" t="s">
        <v>28</v>
      </c>
      <c r="D406" s="2">
        <v>59</v>
      </c>
      <c r="E406" s="3" t="s">
        <v>502</v>
      </c>
      <c r="F406" s="3">
        <v>1</v>
      </c>
      <c r="G406" s="3" t="s">
        <v>41</v>
      </c>
      <c r="H406" s="3" t="str">
        <f t="shared" si="41"/>
        <v>2012</v>
      </c>
      <c r="I406" s="3">
        <v>10</v>
      </c>
      <c r="J406" s="69"/>
      <c r="K406" s="3" t="s">
        <v>461</v>
      </c>
      <c r="L406" s="3" t="s">
        <v>461</v>
      </c>
      <c r="M406" s="3">
        <v>51.1</v>
      </c>
      <c r="N406" s="3">
        <v>388</v>
      </c>
      <c r="O406" s="3" t="str">
        <f t="shared" si="40"/>
        <v>2011</v>
      </c>
      <c r="P406" s="2">
        <v>59</v>
      </c>
      <c r="Q406" s="2">
        <v>1.55</v>
      </c>
    </row>
    <row r="407" spans="1:25" x14ac:dyDescent="0.35">
      <c r="A407" s="3">
        <v>2024</v>
      </c>
      <c r="B407" s="3">
        <v>1</v>
      </c>
      <c r="C407" s="3">
        <v>17</v>
      </c>
      <c r="D407" s="2">
        <v>562</v>
      </c>
      <c r="E407" s="3" t="s">
        <v>1007</v>
      </c>
      <c r="F407" s="3">
        <v>1</v>
      </c>
      <c r="G407" s="3" t="s">
        <v>41</v>
      </c>
      <c r="H407" s="3" t="str">
        <f t="shared" si="41"/>
        <v>2013</v>
      </c>
      <c r="I407" s="3">
        <v>11</v>
      </c>
      <c r="J407" s="69"/>
      <c r="K407" t="s">
        <v>42</v>
      </c>
      <c r="L407" s="3" t="s">
        <v>318</v>
      </c>
      <c r="M407">
        <v>51.4</v>
      </c>
      <c r="N407" s="3">
        <v>388</v>
      </c>
      <c r="O407" s="3" t="str">
        <f t="shared" si="40"/>
        <v>2011</v>
      </c>
      <c r="P407" s="2">
        <v>562</v>
      </c>
    </row>
    <row r="408" spans="1:25" x14ac:dyDescent="0.35">
      <c r="A408" s="3">
        <v>2019</v>
      </c>
      <c r="B408" s="3">
        <v>11</v>
      </c>
      <c r="C408" s="3">
        <v>27</v>
      </c>
      <c r="D408" s="2">
        <v>50</v>
      </c>
      <c r="E408" s="3" t="s">
        <v>493</v>
      </c>
      <c r="F408" s="3">
        <v>4</v>
      </c>
      <c r="G408" s="3" t="s">
        <v>45</v>
      </c>
      <c r="H408" s="3" t="str">
        <f t="shared" si="41"/>
        <v>2009</v>
      </c>
      <c r="I408" s="3">
        <v>10</v>
      </c>
      <c r="J408" s="69"/>
      <c r="K408" s="3" t="s">
        <v>488</v>
      </c>
      <c r="L408" s="3" t="s">
        <v>488</v>
      </c>
      <c r="M408" s="3">
        <v>57.7</v>
      </c>
      <c r="N408" s="3">
        <v>389</v>
      </c>
      <c r="O408" s="3" t="str">
        <f t="shared" si="40"/>
        <v>2007</v>
      </c>
      <c r="P408" s="2">
        <v>50</v>
      </c>
    </row>
    <row r="409" spans="1:25" x14ac:dyDescent="0.35">
      <c r="A409" s="3">
        <v>2023</v>
      </c>
      <c r="B409" s="3">
        <v>11</v>
      </c>
      <c r="C409" s="3">
        <v>2</v>
      </c>
      <c r="D409" s="2">
        <v>536</v>
      </c>
      <c r="E409" s="3" t="s">
        <v>989</v>
      </c>
      <c r="F409" s="3">
        <v>4</v>
      </c>
      <c r="G409" s="3" t="s">
        <v>45</v>
      </c>
      <c r="H409" s="3" t="str">
        <f t="shared" si="41"/>
        <v>2011</v>
      </c>
      <c r="I409" s="3">
        <v>12</v>
      </c>
      <c r="J409" s="69"/>
      <c r="K409" t="s">
        <v>990</v>
      </c>
      <c r="L409" s="3" t="s">
        <v>317</v>
      </c>
      <c r="M409" s="3">
        <v>50.8</v>
      </c>
      <c r="N409" s="3">
        <v>389</v>
      </c>
      <c r="O409" s="3" t="str">
        <f t="shared" si="40"/>
        <v>2007</v>
      </c>
      <c r="P409" s="2">
        <v>536</v>
      </c>
    </row>
    <row r="410" spans="1:25" x14ac:dyDescent="0.35">
      <c r="A410" s="3">
        <v>2011</v>
      </c>
      <c r="B410" s="3">
        <v>9</v>
      </c>
      <c r="C410" s="3">
        <v>11</v>
      </c>
      <c r="D410" s="2">
        <v>621</v>
      </c>
      <c r="E410" s="3" t="s">
        <v>1059</v>
      </c>
      <c r="F410" s="3">
        <v>3</v>
      </c>
      <c r="G410" s="3" t="s">
        <v>45</v>
      </c>
      <c r="H410" s="3" t="str">
        <f t="shared" si="41"/>
        <v>2011</v>
      </c>
      <c r="I410" s="3">
        <v>0</v>
      </c>
      <c r="J410" s="69"/>
      <c r="K410" t="s">
        <v>602</v>
      </c>
      <c r="L410" s="3" t="s">
        <v>317</v>
      </c>
      <c r="M410">
        <v>47.6</v>
      </c>
      <c r="N410" s="3">
        <v>389</v>
      </c>
      <c r="O410" s="3" t="str">
        <f t="shared" si="40"/>
        <v>2007</v>
      </c>
      <c r="P410" s="2">
        <v>621</v>
      </c>
    </row>
    <row r="411" spans="1:25" x14ac:dyDescent="0.35">
      <c r="A411" s="3">
        <v>2023</v>
      </c>
      <c r="B411" s="3">
        <v>2</v>
      </c>
      <c r="C411" s="3">
        <v>18</v>
      </c>
      <c r="D411" s="2">
        <v>145</v>
      </c>
      <c r="E411" s="14" t="s">
        <v>590</v>
      </c>
      <c r="F411" s="15">
        <v>1</v>
      </c>
      <c r="G411" s="3" t="s">
        <v>41</v>
      </c>
      <c r="H411" s="3" t="str">
        <f t="shared" si="41"/>
        <v>2013</v>
      </c>
      <c r="I411" s="3">
        <v>10</v>
      </c>
      <c r="J411" s="69"/>
      <c r="K411" s="3" t="s">
        <v>91</v>
      </c>
      <c r="L411" s="3" t="s">
        <v>318</v>
      </c>
      <c r="M411" s="3">
        <v>51.8</v>
      </c>
      <c r="N411" s="3">
        <v>390</v>
      </c>
      <c r="O411" s="3" t="str">
        <f t="shared" si="40"/>
        <v>2011</v>
      </c>
      <c r="P411" s="2">
        <v>145</v>
      </c>
      <c r="T411">
        <v>2.13</v>
      </c>
      <c r="W411">
        <v>5.21</v>
      </c>
      <c r="X411">
        <v>2.87</v>
      </c>
    </row>
    <row r="412" spans="1:25" x14ac:dyDescent="0.35">
      <c r="A412" s="3">
        <v>2017</v>
      </c>
      <c r="B412" s="3">
        <v>11</v>
      </c>
      <c r="C412" s="3">
        <v>9</v>
      </c>
      <c r="D412" s="2">
        <v>76</v>
      </c>
      <c r="E412" s="14" t="s">
        <v>521</v>
      </c>
      <c r="F412" s="15">
        <v>4</v>
      </c>
      <c r="G412" s="3" t="s">
        <v>45</v>
      </c>
      <c r="H412" s="3" t="str">
        <f t="shared" si="41"/>
        <v>2011</v>
      </c>
      <c r="I412" s="3">
        <v>6</v>
      </c>
      <c r="J412" s="69"/>
      <c r="K412" s="3" t="s">
        <v>317</v>
      </c>
      <c r="L412" s="3" t="s">
        <v>317</v>
      </c>
      <c r="M412" s="3">
        <v>49.7</v>
      </c>
      <c r="N412" s="3">
        <v>390</v>
      </c>
      <c r="O412" s="3" t="str">
        <f t="shared" si="40"/>
        <v>2007</v>
      </c>
      <c r="P412" s="2">
        <v>76</v>
      </c>
      <c r="Q412" s="2">
        <v>1.83</v>
      </c>
      <c r="Y412">
        <v>4.22</v>
      </c>
    </row>
    <row r="413" spans="1:25" x14ac:dyDescent="0.35">
      <c r="A413" s="3">
        <v>2017</v>
      </c>
      <c r="B413" s="3">
        <v>11</v>
      </c>
      <c r="C413" s="3">
        <v>9</v>
      </c>
      <c r="D413" s="2">
        <v>76</v>
      </c>
      <c r="E413" s="14" t="s">
        <v>521</v>
      </c>
      <c r="F413" s="15">
        <v>4</v>
      </c>
      <c r="G413" s="3" t="s">
        <v>45</v>
      </c>
      <c r="H413" s="3" t="str">
        <f t="shared" si="41"/>
        <v>2011</v>
      </c>
      <c r="I413" s="3">
        <v>6</v>
      </c>
      <c r="J413" s="69"/>
      <c r="K413" s="3" t="s">
        <v>317</v>
      </c>
      <c r="L413" s="3" t="s">
        <v>317</v>
      </c>
      <c r="M413" s="3">
        <v>49.7</v>
      </c>
      <c r="N413" s="3">
        <v>390</v>
      </c>
      <c r="O413" s="3" t="str">
        <f t="shared" si="40"/>
        <v>2007</v>
      </c>
      <c r="P413" s="2">
        <v>76</v>
      </c>
      <c r="Q413" s="2">
        <v>1.87</v>
      </c>
    </row>
    <row r="414" spans="1:25" x14ac:dyDescent="0.35">
      <c r="A414" s="3">
        <v>2024</v>
      </c>
      <c r="B414" s="3">
        <v>8</v>
      </c>
      <c r="C414" s="3">
        <v>19</v>
      </c>
      <c r="D414" s="2">
        <v>810</v>
      </c>
      <c r="E414" s="3" t="s">
        <v>1176</v>
      </c>
      <c r="F414" s="3">
        <v>3</v>
      </c>
      <c r="G414" s="3" t="s">
        <v>225</v>
      </c>
      <c r="H414" s="3" t="str">
        <f t="shared" si="41"/>
        <v>2021</v>
      </c>
      <c r="I414" s="3">
        <v>3</v>
      </c>
      <c r="J414" s="69"/>
      <c r="K414">
        <v>3</v>
      </c>
      <c r="L414">
        <v>3</v>
      </c>
      <c r="M414">
        <v>61.7</v>
      </c>
      <c r="N414" s="3">
        <v>390</v>
      </c>
      <c r="O414" s="3" t="str">
        <f t="shared" si="40"/>
        <v>2021</v>
      </c>
      <c r="P414" s="2">
        <v>810</v>
      </c>
    </row>
    <row r="415" spans="1:25" x14ac:dyDescent="0.35">
      <c r="A415" s="3">
        <v>2024</v>
      </c>
      <c r="B415" s="3">
        <v>3</v>
      </c>
      <c r="C415" s="3">
        <v>12</v>
      </c>
      <c r="D415" s="2">
        <v>687</v>
      </c>
      <c r="E415" s="3" t="s">
        <v>1108</v>
      </c>
      <c r="F415" s="3">
        <v>2</v>
      </c>
      <c r="G415" s="3" t="s">
        <v>45</v>
      </c>
      <c r="H415" s="3" t="str">
        <f t="shared" si="41"/>
        <v>2011</v>
      </c>
      <c r="I415" s="3">
        <v>13</v>
      </c>
      <c r="J415" s="69"/>
      <c r="K415" t="s">
        <v>1105</v>
      </c>
      <c r="L415" t="s">
        <v>317</v>
      </c>
      <c r="M415">
        <v>60.6</v>
      </c>
      <c r="N415" s="3">
        <v>391</v>
      </c>
      <c r="O415" s="3" t="str">
        <f t="shared" si="40"/>
        <v>2007</v>
      </c>
      <c r="P415" s="2">
        <v>687</v>
      </c>
      <c r="S415">
        <v>5.62</v>
      </c>
    </row>
    <row r="416" spans="1:25" x14ac:dyDescent="0.35">
      <c r="A416" s="3">
        <v>2019</v>
      </c>
      <c r="B416" s="3">
        <v>1</v>
      </c>
      <c r="C416" s="3" t="s">
        <v>28</v>
      </c>
      <c r="D416" s="2">
        <v>64</v>
      </c>
      <c r="E416" s="3" t="s">
        <v>507</v>
      </c>
      <c r="F416" s="3">
        <v>1</v>
      </c>
      <c r="G416" s="3" t="s">
        <v>41</v>
      </c>
      <c r="H416" s="3" t="str">
        <f t="shared" si="41"/>
        <v>2012</v>
      </c>
      <c r="I416" s="3">
        <v>7</v>
      </c>
      <c r="J416" s="69"/>
      <c r="K416" s="3" t="s">
        <v>461</v>
      </c>
      <c r="L416" s="3" t="s">
        <v>461</v>
      </c>
      <c r="M416" s="3">
        <v>43.7</v>
      </c>
      <c r="N416" s="3">
        <v>391</v>
      </c>
      <c r="O416" s="3" t="str">
        <f t="shared" si="40"/>
        <v>2011</v>
      </c>
      <c r="P416" s="2">
        <v>64</v>
      </c>
    </row>
    <row r="417" spans="1:25" x14ac:dyDescent="0.35">
      <c r="A417" s="3">
        <v>2023</v>
      </c>
      <c r="B417" s="3">
        <v>8</v>
      </c>
      <c r="C417" s="3">
        <v>2</v>
      </c>
      <c r="D417" s="2">
        <v>442</v>
      </c>
      <c r="E417" s="3" t="s">
        <v>903</v>
      </c>
      <c r="F417" s="3">
        <v>3</v>
      </c>
      <c r="G417" s="3" t="s">
        <v>226</v>
      </c>
      <c r="H417" s="3" t="str">
        <f t="shared" si="41"/>
        <v>2019</v>
      </c>
      <c r="I417" s="3">
        <v>4</v>
      </c>
      <c r="J417" s="69"/>
      <c r="K417" s="3" t="s">
        <v>231</v>
      </c>
      <c r="L417" s="3">
        <v>8</v>
      </c>
      <c r="M417" s="3">
        <v>46.6</v>
      </c>
      <c r="N417" s="3">
        <v>391</v>
      </c>
      <c r="O417" s="3" t="str">
        <f t="shared" si="40"/>
        <v>2017</v>
      </c>
      <c r="P417" s="2">
        <v>442</v>
      </c>
    </row>
    <row r="418" spans="1:25" x14ac:dyDescent="0.35">
      <c r="A418" s="3">
        <v>2024</v>
      </c>
      <c r="B418">
        <v>8</v>
      </c>
      <c r="C418" s="3">
        <v>15</v>
      </c>
      <c r="D418" s="2">
        <v>829</v>
      </c>
      <c r="E418" s="3" t="s">
        <v>309</v>
      </c>
      <c r="F418" s="3">
        <v>3</v>
      </c>
      <c r="G418" s="3" t="s">
        <v>225</v>
      </c>
      <c r="H418" s="3" t="str">
        <f t="shared" si="41"/>
        <v>2021</v>
      </c>
      <c r="I418" s="3">
        <v>3</v>
      </c>
      <c r="J418" s="69"/>
      <c r="K418" t="s">
        <v>237</v>
      </c>
      <c r="L418">
        <v>3</v>
      </c>
      <c r="M418">
        <v>54.4</v>
      </c>
      <c r="N418" s="3">
        <v>391</v>
      </c>
      <c r="O418" s="3" t="str">
        <f t="shared" si="40"/>
        <v>2021</v>
      </c>
      <c r="P418" s="2">
        <v>829</v>
      </c>
    </row>
    <row r="419" spans="1:25" x14ac:dyDescent="0.35">
      <c r="A419" s="3">
        <v>2016</v>
      </c>
      <c r="B419" s="3">
        <v>8</v>
      </c>
      <c r="C419" s="3">
        <v>31</v>
      </c>
      <c r="D419" s="2">
        <v>287</v>
      </c>
      <c r="E419" s="3" t="s">
        <v>752</v>
      </c>
      <c r="F419" s="3">
        <v>3</v>
      </c>
      <c r="G419" s="3" t="s">
        <v>45</v>
      </c>
      <c r="H419" s="3" t="str">
        <f t="shared" si="41"/>
        <v>2011</v>
      </c>
      <c r="I419" s="3">
        <v>5</v>
      </c>
      <c r="J419" s="69"/>
      <c r="K419" s="3" t="s">
        <v>749</v>
      </c>
      <c r="L419" s="3" t="s">
        <v>317</v>
      </c>
      <c r="M419" s="3">
        <v>47.6</v>
      </c>
      <c r="N419" s="3">
        <v>392</v>
      </c>
      <c r="O419" s="3" t="str">
        <f t="shared" si="40"/>
        <v>2007</v>
      </c>
      <c r="P419" s="2">
        <v>287</v>
      </c>
      <c r="Y419">
        <v>3.69</v>
      </c>
    </row>
    <row r="420" spans="1:25" x14ac:dyDescent="0.35">
      <c r="A420" s="3">
        <v>2023</v>
      </c>
      <c r="B420" s="3">
        <v>2</v>
      </c>
      <c r="C420" s="3">
        <v>10</v>
      </c>
      <c r="D420" s="2">
        <v>141</v>
      </c>
      <c r="E420" s="14" t="s">
        <v>587</v>
      </c>
      <c r="F420" s="15">
        <v>1</v>
      </c>
      <c r="G420" s="3" t="s">
        <v>41</v>
      </c>
      <c r="H420" s="3" t="str">
        <f t="shared" si="41"/>
        <v>2013</v>
      </c>
      <c r="I420" s="3">
        <v>10</v>
      </c>
      <c r="J420" s="69"/>
      <c r="K420" s="3" t="s">
        <v>91</v>
      </c>
      <c r="L420" s="3" t="s">
        <v>318</v>
      </c>
      <c r="M420" s="3">
        <v>138.80000000000001</v>
      </c>
      <c r="N420" s="3">
        <v>392</v>
      </c>
      <c r="O420" s="3" t="str">
        <f t="shared" si="40"/>
        <v>2011</v>
      </c>
      <c r="P420" s="2">
        <v>141</v>
      </c>
    </row>
    <row r="421" spans="1:25" x14ac:dyDescent="0.35">
      <c r="A421" s="3">
        <v>2023</v>
      </c>
      <c r="B421" s="3">
        <v>11</v>
      </c>
      <c r="C421" s="3">
        <v>17</v>
      </c>
      <c r="D421" s="2">
        <v>500</v>
      </c>
      <c r="E421" s="3" t="s">
        <v>954</v>
      </c>
      <c r="F421" s="3">
        <v>4</v>
      </c>
      <c r="G421" s="3" t="s">
        <v>225</v>
      </c>
      <c r="H421" s="3" t="str">
        <f t="shared" si="41"/>
        <v>2022</v>
      </c>
      <c r="I421" s="3">
        <v>1</v>
      </c>
      <c r="J421" s="69"/>
      <c r="K421" s="3" t="s">
        <v>235</v>
      </c>
      <c r="L421" s="3">
        <v>5</v>
      </c>
      <c r="M421" s="3">
        <v>50.4</v>
      </c>
      <c r="N421" s="3">
        <v>392</v>
      </c>
      <c r="O421" s="3" t="str">
        <f t="shared" si="40"/>
        <v>2021</v>
      </c>
      <c r="P421" s="2">
        <v>500</v>
      </c>
    </row>
    <row r="422" spans="1:25" x14ac:dyDescent="0.35">
      <c r="A422" s="3">
        <v>2017</v>
      </c>
      <c r="B422" s="3">
        <v>8</v>
      </c>
      <c r="C422" s="3">
        <v>14</v>
      </c>
      <c r="D422" s="2">
        <v>89</v>
      </c>
      <c r="E422" s="14" t="s">
        <v>534</v>
      </c>
      <c r="F422" s="15">
        <v>3</v>
      </c>
      <c r="G422" s="3" t="s">
        <v>45</v>
      </c>
      <c r="H422" s="3" t="str">
        <f t="shared" si="41"/>
        <v>2011</v>
      </c>
      <c r="I422" s="3">
        <v>6</v>
      </c>
      <c r="J422" s="69"/>
      <c r="K422" s="3" t="s">
        <v>317</v>
      </c>
      <c r="L422" s="3" t="s">
        <v>317</v>
      </c>
      <c r="M422" s="3">
        <v>52.2</v>
      </c>
      <c r="N422" s="3">
        <v>393</v>
      </c>
      <c r="O422" s="3" t="str">
        <f t="shared" si="40"/>
        <v>2007</v>
      </c>
      <c r="P422" s="2">
        <v>89</v>
      </c>
    </row>
    <row r="423" spans="1:25" x14ac:dyDescent="0.35">
      <c r="A423" s="3">
        <v>2023</v>
      </c>
      <c r="B423" s="3">
        <v>7</v>
      </c>
      <c r="C423" s="3">
        <v>17</v>
      </c>
      <c r="D423" s="2">
        <v>396</v>
      </c>
      <c r="E423" s="3" t="s">
        <v>861</v>
      </c>
      <c r="F423" s="3">
        <v>3</v>
      </c>
      <c r="G423" s="3" t="s">
        <v>45</v>
      </c>
      <c r="H423" s="3" t="str">
        <f t="shared" si="41"/>
        <v>2011</v>
      </c>
      <c r="I423" s="3">
        <v>12</v>
      </c>
      <c r="J423" s="69"/>
      <c r="K423" s="3" t="s">
        <v>632</v>
      </c>
      <c r="L423" s="3" t="s">
        <v>317</v>
      </c>
      <c r="M423" s="3">
        <v>34.799999999999997</v>
      </c>
      <c r="N423" s="3">
        <v>393</v>
      </c>
      <c r="O423" s="3" t="str">
        <f t="shared" si="40"/>
        <v>2007</v>
      </c>
      <c r="P423" s="2">
        <v>396</v>
      </c>
    </row>
    <row r="424" spans="1:25" x14ac:dyDescent="0.35">
      <c r="A424" s="3">
        <v>2024</v>
      </c>
      <c r="B424" s="3">
        <v>8</v>
      </c>
      <c r="C424" s="3">
        <v>13</v>
      </c>
      <c r="D424" s="2">
        <v>711</v>
      </c>
      <c r="E424" s="3" t="s">
        <v>1127</v>
      </c>
      <c r="F424" s="3">
        <v>3</v>
      </c>
      <c r="G424" s="3" t="s">
        <v>225</v>
      </c>
      <c r="H424" s="3" t="str">
        <f t="shared" si="41"/>
        <v>2022</v>
      </c>
      <c r="I424" s="3">
        <v>2</v>
      </c>
      <c r="J424" s="69"/>
      <c r="K424" t="s">
        <v>1126</v>
      </c>
      <c r="L424">
        <v>2</v>
      </c>
      <c r="M424">
        <v>55.7</v>
      </c>
      <c r="N424" s="3">
        <v>393</v>
      </c>
      <c r="O424" s="3" t="str">
        <f t="shared" si="40"/>
        <v>2021</v>
      </c>
      <c r="P424" s="2">
        <v>711</v>
      </c>
    </row>
    <row r="425" spans="1:25" x14ac:dyDescent="0.35">
      <c r="A425" s="3">
        <v>2022</v>
      </c>
      <c r="B425" s="3">
        <v>3</v>
      </c>
      <c r="C425" s="3" t="s">
        <v>28</v>
      </c>
      <c r="D425" s="2">
        <v>7</v>
      </c>
      <c r="E425" s="3" t="s">
        <v>450</v>
      </c>
      <c r="F425" s="3">
        <v>2</v>
      </c>
      <c r="G425" s="3" t="s">
        <v>20</v>
      </c>
      <c r="H425" s="3" t="str">
        <f t="shared" si="41"/>
        <v>2019</v>
      </c>
      <c r="I425" s="3">
        <v>3</v>
      </c>
      <c r="J425" s="69"/>
      <c r="K425" s="3">
        <v>23</v>
      </c>
      <c r="L425" s="3">
        <v>23</v>
      </c>
      <c r="M425" s="3">
        <v>53.5</v>
      </c>
      <c r="N425" s="3">
        <v>394</v>
      </c>
      <c r="O425" s="3" t="str">
        <f t="shared" si="40"/>
        <v>2018</v>
      </c>
      <c r="P425" s="2">
        <v>7</v>
      </c>
      <c r="S425">
        <v>3.39</v>
      </c>
    </row>
    <row r="426" spans="1:25" x14ac:dyDescent="0.35">
      <c r="A426" s="3">
        <v>2022</v>
      </c>
      <c r="B426" s="3">
        <v>11</v>
      </c>
      <c r="C426" s="3">
        <v>7</v>
      </c>
      <c r="D426" s="2">
        <v>103</v>
      </c>
      <c r="E426" s="14" t="s">
        <v>550</v>
      </c>
      <c r="F426" s="15">
        <v>4</v>
      </c>
      <c r="G426" s="3" t="s">
        <v>41</v>
      </c>
      <c r="H426" s="3" t="str">
        <f t="shared" si="41"/>
        <v>2012</v>
      </c>
      <c r="I426" s="3">
        <v>10</v>
      </c>
      <c r="J426" s="69"/>
      <c r="K426" s="3" t="s">
        <v>551</v>
      </c>
      <c r="L426" s="3" t="s">
        <v>461</v>
      </c>
      <c r="M426" s="3">
        <v>53.7</v>
      </c>
      <c r="N426" s="3">
        <v>394</v>
      </c>
      <c r="O426" s="3" t="str">
        <f t="shared" si="40"/>
        <v>2011</v>
      </c>
      <c r="P426" s="2">
        <v>103</v>
      </c>
    </row>
    <row r="427" spans="1:25" x14ac:dyDescent="0.35">
      <c r="A427" s="3">
        <v>2022</v>
      </c>
      <c r="B427" s="3">
        <v>11</v>
      </c>
      <c r="C427" s="3">
        <v>22</v>
      </c>
      <c r="D427" s="2">
        <v>115</v>
      </c>
      <c r="E427" s="14" t="s">
        <v>561</v>
      </c>
      <c r="F427" s="15">
        <v>4</v>
      </c>
      <c r="G427" s="3" t="s">
        <v>41</v>
      </c>
      <c r="H427" s="3" t="str">
        <f t="shared" si="41"/>
        <v>2012</v>
      </c>
      <c r="I427" s="3">
        <v>10</v>
      </c>
      <c r="J427" s="69"/>
      <c r="K427" s="3" t="s">
        <v>461</v>
      </c>
      <c r="L427" s="3" t="s">
        <v>461</v>
      </c>
      <c r="M427" s="3">
        <v>48.5</v>
      </c>
      <c r="N427" s="3">
        <v>394</v>
      </c>
      <c r="O427" s="3" t="str">
        <f t="shared" si="40"/>
        <v>2011</v>
      </c>
      <c r="P427" s="2">
        <v>115</v>
      </c>
    </row>
    <row r="428" spans="1:25" x14ac:dyDescent="0.35">
      <c r="A428" s="3">
        <v>2022</v>
      </c>
      <c r="B428" s="3">
        <v>1</v>
      </c>
      <c r="C428" s="3" t="s">
        <v>28</v>
      </c>
      <c r="D428" s="2">
        <v>26</v>
      </c>
      <c r="E428" s="3" t="s">
        <v>468</v>
      </c>
      <c r="F428" s="3">
        <v>1</v>
      </c>
      <c r="G428" s="3" t="s">
        <v>20</v>
      </c>
      <c r="H428" s="3" t="str">
        <f t="shared" si="41"/>
        <v>2020</v>
      </c>
      <c r="I428" s="3">
        <v>2</v>
      </c>
      <c r="J428" s="69"/>
      <c r="K428" s="3">
        <v>7</v>
      </c>
      <c r="L428" s="3">
        <v>7</v>
      </c>
      <c r="M428" s="3">
        <v>67.8</v>
      </c>
      <c r="N428" s="3">
        <v>395</v>
      </c>
      <c r="O428" s="3" t="str">
        <f t="shared" si="40"/>
        <v>2018</v>
      </c>
      <c r="P428" s="2">
        <v>26</v>
      </c>
      <c r="S428">
        <v>4.83</v>
      </c>
    </row>
    <row r="429" spans="1:25" x14ac:dyDescent="0.35">
      <c r="A429" s="3">
        <v>2019</v>
      </c>
      <c r="B429" s="3">
        <v>1</v>
      </c>
      <c r="C429" s="3" t="s">
        <v>28</v>
      </c>
      <c r="D429" s="2">
        <v>63</v>
      </c>
      <c r="E429" s="3" t="s">
        <v>506</v>
      </c>
      <c r="F429" s="3">
        <v>1</v>
      </c>
      <c r="G429" s="3" t="s">
        <v>41</v>
      </c>
      <c r="H429" s="3" t="str">
        <f t="shared" si="41"/>
        <v>2012</v>
      </c>
      <c r="I429" s="3">
        <v>7</v>
      </c>
      <c r="J429" s="69"/>
      <c r="K429" s="3" t="s">
        <v>461</v>
      </c>
      <c r="L429" s="3" t="s">
        <v>461</v>
      </c>
      <c r="M429" s="3">
        <v>49.3</v>
      </c>
      <c r="N429" s="3">
        <v>395</v>
      </c>
      <c r="O429" s="3" t="str">
        <f t="shared" si="40"/>
        <v>2011</v>
      </c>
      <c r="P429" s="2">
        <v>63</v>
      </c>
    </row>
    <row r="430" spans="1:25" x14ac:dyDescent="0.35">
      <c r="A430" s="3">
        <v>2023</v>
      </c>
      <c r="B430" s="3">
        <v>7</v>
      </c>
      <c r="C430" s="3">
        <v>17</v>
      </c>
      <c r="D430" s="2">
        <v>398</v>
      </c>
      <c r="E430" s="3" t="s">
        <v>863</v>
      </c>
      <c r="F430" s="3">
        <v>3</v>
      </c>
      <c r="G430" s="3" t="s">
        <v>45</v>
      </c>
      <c r="H430" s="3" t="str">
        <f t="shared" si="41"/>
        <v>2011</v>
      </c>
      <c r="I430" s="3">
        <v>12</v>
      </c>
      <c r="J430" s="69"/>
      <c r="K430" s="3" t="s">
        <v>632</v>
      </c>
      <c r="L430" s="3" t="s">
        <v>317</v>
      </c>
      <c r="M430" s="3">
        <v>4.0999999999999996</v>
      </c>
      <c r="N430" s="3">
        <v>395</v>
      </c>
      <c r="O430" s="3" t="str">
        <f t="shared" si="40"/>
        <v>2007</v>
      </c>
      <c r="P430" s="2">
        <v>398</v>
      </c>
    </row>
    <row r="431" spans="1:25" x14ac:dyDescent="0.35">
      <c r="A431" s="3">
        <v>2023</v>
      </c>
      <c r="B431" s="3">
        <v>10</v>
      </c>
      <c r="C431" s="3">
        <v>31</v>
      </c>
      <c r="D431" s="2">
        <v>542</v>
      </c>
      <c r="E431" s="3" t="s">
        <v>97</v>
      </c>
      <c r="F431" s="3">
        <v>4</v>
      </c>
      <c r="G431" s="3" t="s">
        <v>225</v>
      </c>
      <c r="H431" s="3" t="str">
        <f t="shared" si="41"/>
        <v>2022</v>
      </c>
      <c r="I431" s="3">
        <v>1</v>
      </c>
      <c r="J431" s="69"/>
      <c r="K431" t="s">
        <v>67</v>
      </c>
      <c r="L431" s="3">
        <v>2</v>
      </c>
      <c r="M431" s="3">
        <v>64.8</v>
      </c>
      <c r="N431" s="3">
        <v>395</v>
      </c>
      <c r="O431" s="3" t="str">
        <f t="shared" si="40"/>
        <v>2021</v>
      </c>
      <c r="P431" s="2">
        <v>542</v>
      </c>
    </row>
    <row r="432" spans="1:25" x14ac:dyDescent="0.35">
      <c r="A432" s="3">
        <v>2024</v>
      </c>
      <c r="B432" s="3">
        <v>8</v>
      </c>
      <c r="C432" s="3">
        <v>19</v>
      </c>
      <c r="D432" s="2">
        <v>727</v>
      </c>
      <c r="E432" s="3" t="s">
        <v>1143</v>
      </c>
      <c r="F432" s="3">
        <v>3</v>
      </c>
      <c r="G432" s="3" t="s">
        <v>225</v>
      </c>
      <c r="H432" s="3" t="str">
        <f t="shared" si="41"/>
        <v>2021</v>
      </c>
      <c r="I432" s="3">
        <v>3</v>
      </c>
      <c r="J432" s="69"/>
      <c r="K432">
        <v>3</v>
      </c>
      <c r="L432">
        <v>3</v>
      </c>
      <c r="M432">
        <v>85.3</v>
      </c>
      <c r="N432" s="3">
        <v>395</v>
      </c>
      <c r="O432" s="3" t="str">
        <f t="shared" si="40"/>
        <v>2021</v>
      </c>
      <c r="P432" s="2">
        <v>727</v>
      </c>
    </row>
    <row r="433" spans="1:25" x14ac:dyDescent="0.35">
      <c r="A433" s="3">
        <v>2016</v>
      </c>
      <c r="B433" s="3">
        <v>8</v>
      </c>
      <c r="C433" s="3">
        <v>31</v>
      </c>
      <c r="D433" s="2">
        <v>278</v>
      </c>
      <c r="E433" s="3" t="s">
        <v>741</v>
      </c>
      <c r="F433" s="3">
        <v>3</v>
      </c>
      <c r="G433" s="3" t="s">
        <v>45</v>
      </c>
      <c r="H433" s="3" t="str">
        <f t="shared" si="41"/>
        <v>2009</v>
      </c>
      <c r="I433" s="3">
        <v>7</v>
      </c>
      <c r="J433" s="69"/>
      <c r="K433" s="3" t="s">
        <v>742</v>
      </c>
      <c r="L433" s="3" t="s">
        <v>488</v>
      </c>
      <c r="M433" s="3">
        <v>53.3</v>
      </c>
      <c r="N433" s="3">
        <v>396</v>
      </c>
      <c r="O433" s="3" t="str">
        <f t="shared" si="40"/>
        <v>2007</v>
      </c>
      <c r="P433" s="2">
        <v>278</v>
      </c>
    </row>
    <row r="434" spans="1:25" x14ac:dyDescent="0.35">
      <c r="A434" s="3">
        <v>2024</v>
      </c>
      <c r="B434" s="3">
        <v>8</v>
      </c>
      <c r="C434" s="3">
        <v>19</v>
      </c>
      <c r="D434" s="2">
        <v>787</v>
      </c>
      <c r="E434" s="3" t="s">
        <v>282</v>
      </c>
      <c r="F434" s="3">
        <v>3</v>
      </c>
      <c r="G434" s="3" t="s">
        <v>225</v>
      </c>
      <c r="H434" s="3" t="str">
        <f t="shared" si="41"/>
        <v>2021</v>
      </c>
      <c r="I434" s="3">
        <v>3</v>
      </c>
      <c r="J434" s="69"/>
      <c r="K434">
        <v>3</v>
      </c>
      <c r="L434">
        <v>3</v>
      </c>
      <c r="M434">
        <v>71.2</v>
      </c>
      <c r="N434" s="3">
        <v>396</v>
      </c>
      <c r="O434" s="3" t="str">
        <f t="shared" si="40"/>
        <v>2021</v>
      </c>
      <c r="P434" s="2">
        <v>787</v>
      </c>
    </row>
    <row r="435" spans="1:25" x14ac:dyDescent="0.35">
      <c r="A435" s="3">
        <v>2023</v>
      </c>
      <c r="B435" s="3">
        <v>7</v>
      </c>
      <c r="C435" s="3">
        <v>17</v>
      </c>
      <c r="D435" s="2">
        <v>380</v>
      </c>
      <c r="E435" s="3" t="s">
        <v>846</v>
      </c>
      <c r="F435" s="3">
        <v>3</v>
      </c>
      <c r="G435" s="3" t="s">
        <v>45</v>
      </c>
      <c r="H435" s="3" t="str">
        <f t="shared" si="41"/>
        <v>2011</v>
      </c>
      <c r="I435" s="3">
        <v>12</v>
      </c>
      <c r="J435" s="69"/>
      <c r="K435" s="3" t="s">
        <v>46</v>
      </c>
      <c r="L435" s="3" t="s">
        <v>317</v>
      </c>
      <c r="M435" s="3">
        <v>49.9</v>
      </c>
      <c r="N435" s="3">
        <v>397</v>
      </c>
      <c r="O435" s="3" t="str">
        <f t="shared" si="40"/>
        <v>2007</v>
      </c>
      <c r="P435" s="2">
        <v>380</v>
      </c>
      <c r="T435">
        <v>4.71</v>
      </c>
      <c r="Y435">
        <v>2.89</v>
      </c>
    </row>
    <row r="436" spans="1:25" x14ac:dyDescent="0.35">
      <c r="A436" s="3">
        <v>2022</v>
      </c>
      <c r="B436" s="3">
        <v>11</v>
      </c>
      <c r="C436" s="3">
        <v>18</v>
      </c>
      <c r="D436" s="2">
        <v>111</v>
      </c>
      <c r="E436" s="14" t="s">
        <v>559</v>
      </c>
      <c r="F436" s="15">
        <v>4</v>
      </c>
      <c r="G436" s="3" t="s">
        <v>225</v>
      </c>
      <c r="H436" s="3" t="str">
        <f t="shared" si="41"/>
        <v>2021</v>
      </c>
      <c r="I436" s="3">
        <v>1</v>
      </c>
      <c r="J436" s="69"/>
      <c r="K436" s="3">
        <v>1</v>
      </c>
      <c r="L436" s="3">
        <v>1</v>
      </c>
      <c r="M436" s="3">
        <v>55.1</v>
      </c>
      <c r="N436" s="3">
        <v>397</v>
      </c>
      <c r="O436" s="3" t="str">
        <f t="shared" si="40"/>
        <v>2021</v>
      </c>
      <c r="P436" s="2">
        <v>111</v>
      </c>
    </row>
    <row r="437" spans="1:25" x14ac:dyDescent="0.35">
      <c r="A437" s="3">
        <v>2024</v>
      </c>
      <c r="B437" s="3">
        <v>8</v>
      </c>
      <c r="C437" s="3">
        <v>15</v>
      </c>
      <c r="D437" s="2">
        <v>772</v>
      </c>
      <c r="E437" s="3" t="s">
        <v>273</v>
      </c>
      <c r="F437" s="3">
        <v>3</v>
      </c>
      <c r="G437" s="3" t="s">
        <v>225</v>
      </c>
      <c r="H437" s="3" t="str">
        <f t="shared" si="41"/>
        <v>2021</v>
      </c>
      <c r="I437" s="3">
        <v>3</v>
      </c>
      <c r="J437" s="69"/>
      <c r="K437">
        <v>3</v>
      </c>
      <c r="L437">
        <v>3</v>
      </c>
      <c r="M437">
        <v>61.8</v>
      </c>
      <c r="N437" s="3">
        <v>397</v>
      </c>
      <c r="O437" s="3" t="str">
        <f t="shared" si="40"/>
        <v>2021</v>
      </c>
      <c r="P437" s="2">
        <v>772</v>
      </c>
    </row>
    <row r="438" spans="1:25" x14ac:dyDescent="0.35">
      <c r="A438" s="3">
        <v>2024</v>
      </c>
      <c r="B438" s="3">
        <v>8</v>
      </c>
      <c r="C438" s="3">
        <v>15</v>
      </c>
      <c r="D438" s="2">
        <v>733</v>
      </c>
      <c r="E438" s="3" t="s">
        <v>249</v>
      </c>
      <c r="F438" s="3">
        <v>3</v>
      </c>
      <c r="G438" s="3" t="s">
        <v>225</v>
      </c>
      <c r="H438" s="3" t="str">
        <f t="shared" si="41"/>
        <v>2021</v>
      </c>
      <c r="I438" s="3">
        <v>3</v>
      </c>
      <c r="J438" s="69"/>
      <c r="K438">
        <v>3</v>
      </c>
      <c r="L438">
        <v>3</v>
      </c>
      <c r="M438">
        <v>80.2</v>
      </c>
      <c r="N438" s="3">
        <v>398</v>
      </c>
      <c r="O438" s="3" t="str">
        <f t="shared" si="40"/>
        <v>2021</v>
      </c>
      <c r="P438" s="2">
        <v>733</v>
      </c>
    </row>
    <row r="439" spans="1:25" x14ac:dyDescent="0.35">
      <c r="A439" s="3">
        <v>2023</v>
      </c>
      <c r="B439" s="3">
        <v>2</v>
      </c>
      <c r="C439" s="3">
        <v>10</v>
      </c>
      <c r="D439" s="2">
        <v>144</v>
      </c>
      <c r="E439" s="14" t="s">
        <v>589</v>
      </c>
      <c r="F439" s="15">
        <v>1</v>
      </c>
      <c r="G439" s="3" t="s">
        <v>41</v>
      </c>
      <c r="H439" s="3" t="str">
        <f t="shared" si="41"/>
        <v>2013</v>
      </c>
      <c r="I439" s="3">
        <v>10</v>
      </c>
      <c r="J439" s="69"/>
      <c r="K439" s="3" t="s">
        <v>91</v>
      </c>
      <c r="L439" s="3" t="s">
        <v>318</v>
      </c>
      <c r="M439" s="3">
        <v>147.19999999999999</v>
      </c>
      <c r="N439" s="3">
        <v>400</v>
      </c>
      <c r="O439" s="3" t="str">
        <f t="shared" si="40"/>
        <v>2011</v>
      </c>
      <c r="P439" s="2">
        <v>144</v>
      </c>
      <c r="S439">
        <v>3.36</v>
      </c>
      <c r="X439">
        <v>4.97</v>
      </c>
    </row>
    <row r="440" spans="1:25" x14ac:dyDescent="0.35">
      <c r="A440" s="3">
        <v>2024</v>
      </c>
      <c r="B440" s="3">
        <v>1</v>
      </c>
      <c r="C440" s="3">
        <v>26</v>
      </c>
      <c r="D440" s="2">
        <v>553</v>
      </c>
      <c r="E440" s="3" t="s">
        <v>999</v>
      </c>
      <c r="F440" s="3">
        <v>1</v>
      </c>
      <c r="G440" s="3" t="s">
        <v>225</v>
      </c>
      <c r="H440" s="3" t="str">
        <f t="shared" si="41"/>
        <v>2021</v>
      </c>
      <c r="I440" s="3">
        <v>3</v>
      </c>
      <c r="J440" s="69"/>
      <c r="K440" t="s">
        <v>76</v>
      </c>
      <c r="L440">
        <v>1</v>
      </c>
      <c r="M440">
        <v>61.3</v>
      </c>
      <c r="N440" s="3">
        <v>400</v>
      </c>
      <c r="O440" s="3" t="str">
        <f t="shared" si="40"/>
        <v>2021</v>
      </c>
      <c r="P440" s="2">
        <v>553</v>
      </c>
    </row>
    <row r="441" spans="1:25" x14ac:dyDescent="0.35">
      <c r="A441" s="3">
        <v>2011</v>
      </c>
      <c r="B441" s="3">
        <v>9</v>
      </c>
      <c r="C441" s="3">
        <v>11</v>
      </c>
      <c r="D441" s="2">
        <v>622</v>
      </c>
      <c r="E441" s="3" t="s">
        <v>1060</v>
      </c>
      <c r="F441" s="3">
        <v>3</v>
      </c>
      <c r="G441" s="3" t="s">
        <v>45</v>
      </c>
      <c r="H441" s="3" t="str">
        <f t="shared" si="41"/>
        <v>2011</v>
      </c>
      <c r="I441" s="3">
        <v>0</v>
      </c>
      <c r="J441" s="69"/>
      <c r="K441" t="s">
        <v>602</v>
      </c>
      <c r="L441" s="3" t="s">
        <v>317</v>
      </c>
      <c r="M441">
        <v>61.9</v>
      </c>
      <c r="N441" s="3">
        <v>400</v>
      </c>
      <c r="O441" s="3" t="str">
        <f t="shared" si="40"/>
        <v>2007</v>
      </c>
      <c r="P441" s="2">
        <v>622</v>
      </c>
    </row>
    <row r="442" spans="1:25" x14ac:dyDescent="0.35">
      <c r="A442" s="3">
        <v>2024</v>
      </c>
      <c r="B442" s="3">
        <v>1</v>
      </c>
      <c r="C442" s="3">
        <v>30</v>
      </c>
      <c r="D442" s="2">
        <v>629</v>
      </c>
      <c r="E442" s="3" t="s">
        <v>1067</v>
      </c>
      <c r="F442" s="3">
        <v>1</v>
      </c>
      <c r="G442" s="3" t="s">
        <v>225</v>
      </c>
      <c r="H442" s="3" t="str">
        <f t="shared" si="41"/>
        <v>2022</v>
      </c>
      <c r="I442" s="3">
        <v>2</v>
      </c>
      <c r="J442" s="69"/>
      <c r="K442" t="s">
        <v>21</v>
      </c>
      <c r="L442" s="3">
        <v>2</v>
      </c>
      <c r="M442">
        <v>66.3</v>
      </c>
      <c r="N442" s="3">
        <v>400</v>
      </c>
      <c r="O442" s="3" t="str">
        <f t="shared" si="40"/>
        <v>2021</v>
      </c>
      <c r="P442" s="2">
        <v>629</v>
      </c>
    </row>
    <row r="443" spans="1:25" x14ac:dyDescent="0.35">
      <c r="A443" s="3">
        <v>2019</v>
      </c>
      <c r="B443" s="3">
        <v>8</v>
      </c>
      <c r="C443" s="3">
        <v>6</v>
      </c>
      <c r="D443" s="2">
        <v>268</v>
      </c>
      <c r="E443" s="3" t="s">
        <v>729</v>
      </c>
      <c r="F443" s="3">
        <v>3</v>
      </c>
      <c r="G443" s="3" t="s">
        <v>226</v>
      </c>
      <c r="H443" s="3" t="str">
        <f t="shared" si="41"/>
        <v>2017</v>
      </c>
      <c r="I443" s="3">
        <v>2</v>
      </c>
      <c r="J443" s="69"/>
      <c r="K443" s="3" t="s">
        <v>228</v>
      </c>
      <c r="L443" s="3">
        <v>7</v>
      </c>
      <c r="M443" s="3">
        <v>50.8</v>
      </c>
      <c r="N443" s="3">
        <v>401</v>
      </c>
      <c r="O443" s="3" t="str">
        <f t="shared" si="40"/>
        <v>2017</v>
      </c>
      <c r="P443" s="2">
        <v>268</v>
      </c>
    </row>
    <row r="444" spans="1:25" x14ac:dyDescent="0.35">
      <c r="A444" s="3">
        <v>2024</v>
      </c>
      <c r="B444" s="3">
        <v>8</v>
      </c>
      <c r="C444" s="3">
        <v>19</v>
      </c>
      <c r="D444" s="2">
        <v>781</v>
      </c>
      <c r="E444" s="3" t="s">
        <v>1164</v>
      </c>
      <c r="F444" s="3">
        <v>3</v>
      </c>
      <c r="G444" s="3" t="s">
        <v>225</v>
      </c>
      <c r="H444" s="3" t="str">
        <f t="shared" si="41"/>
        <v>2021</v>
      </c>
      <c r="I444" s="3">
        <v>3</v>
      </c>
      <c r="J444" s="69"/>
      <c r="K444">
        <v>3</v>
      </c>
      <c r="L444">
        <v>3</v>
      </c>
      <c r="M444">
        <v>57.3</v>
      </c>
      <c r="N444" s="3">
        <v>401</v>
      </c>
      <c r="O444" s="3" t="str">
        <f t="shared" si="40"/>
        <v>2021</v>
      </c>
      <c r="P444" s="2">
        <v>781</v>
      </c>
    </row>
    <row r="445" spans="1:25" x14ac:dyDescent="0.35">
      <c r="A445" s="3">
        <v>2018</v>
      </c>
      <c r="B445" s="3">
        <v>8</v>
      </c>
      <c r="C445" s="3">
        <v>16</v>
      </c>
      <c r="D445" s="2">
        <v>328</v>
      </c>
      <c r="E445" s="3" t="s">
        <v>795</v>
      </c>
      <c r="F445" s="3">
        <v>3</v>
      </c>
      <c r="G445" s="3" t="s">
        <v>45</v>
      </c>
      <c r="H445" s="3" t="str">
        <f t="shared" si="41"/>
        <v>2011</v>
      </c>
      <c r="I445" s="3">
        <v>7</v>
      </c>
      <c r="J445" s="69"/>
      <c r="K445" s="3" t="s">
        <v>632</v>
      </c>
      <c r="L445" s="3" t="s">
        <v>317</v>
      </c>
      <c r="M445" s="3">
        <v>40.9</v>
      </c>
      <c r="N445" s="3">
        <v>402</v>
      </c>
      <c r="O445" s="3" t="str">
        <f t="shared" si="40"/>
        <v>2007</v>
      </c>
      <c r="P445" s="2">
        <v>328</v>
      </c>
    </row>
    <row r="446" spans="1:25" x14ac:dyDescent="0.35">
      <c r="A446" s="3">
        <v>2024</v>
      </c>
      <c r="B446" s="3">
        <v>8</v>
      </c>
      <c r="C446" s="3">
        <v>8</v>
      </c>
      <c r="D446" s="2">
        <v>698</v>
      </c>
      <c r="E446" s="3" t="s">
        <v>1117</v>
      </c>
      <c r="F446" s="3">
        <v>3</v>
      </c>
      <c r="G446" s="3" t="s">
        <v>45</v>
      </c>
      <c r="H446" s="3" t="str">
        <f t="shared" si="41"/>
        <v>2009</v>
      </c>
      <c r="I446" s="3">
        <v>15</v>
      </c>
      <c r="J446" s="69"/>
      <c r="K446" t="s">
        <v>742</v>
      </c>
      <c r="L446" t="s">
        <v>488</v>
      </c>
      <c r="M446">
        <v>54.5</v>
      </c>
      <c r="N446" s="3">
        <v>402</v>
      </c>
      <c r="O446" s="3" t="str">
        <f t="shared" si="40"/>
        <v>2007</v>
      </c>
      <c r="P446" s="2">
        <v>698</v>
      </c>
    </row>
    <row r="447" spans="1:25" x14ac:dyDescent="0.35">
      <c r="A447" s="3">
        <v>2023</v>
      </c>
      <c r="B447" s="3">
        <v>7</v>
      </c>
      <c r="C447" s="3">
        <v>17</v>
      </c>
      <c r="D447" s="2">
        <v>392</v>
      </c>
      <c r="E447" s="3" t="s">
        <v>857</v>
      </c>
      <c r="F447" s="3">
        <v>3</v>
      </c>
      <c r="G447" s="3" t="s">
        <v>45</v>
      </c>
      <c r="H447" s="3" t="str">
        <f t="shared" si="41"/>
        <v>2011</v>
      </c>
      <c r="I447" s="3">
        <v>12</v>
      </c>
      <c r="J447" s="69"/>
      <c r="K447" s="3" t="s">
        <v>632</v>
      </c>
      <c r="L447" s="3" t="s">
        <v>317</v>
      </c>
      <c r="M447" s="3">
        <v>44.5</v>
      </c>
      <c r="N447" s="3">
        <v>403</v>
      </c>
      <c r="O447" s="3" t="str">
        <f t="shared" si="40"/>
        <v>2007</v>
      </c>
      <c r="P447" s="2">
        <v>392</v>
      </c>
      <c r="Y447">
        <v>2.56</v>
      </c>
    </row>
    <row r="448" spans="1:25" x14ac:dyDescent="0.35">
      <c r="A448" s="3">
        <v>2024</v>
      </c>
      <c r="B448" s="3">
        <v>8</v>
      </c>
      <c r="C448" s="3">
        <v>15</v>
      </c>
      <c r="D448" s="2">
        <v>732</v>
      </c>
      <c r="E448" s="3" t="s">
        <v>248</v>
      </c>
      <c r="F448" s="3">
        <v>3</v>
      </c>
      <c r="G448" s="3" t="s">
        <v>225</v>
      </c>
      <c r="H448" s="3" t="str">
        <f t="shared" si="41"/>
        <v>2021</v>
      </c>
      <c r="I448" s="3">
        <v>3</v>
      </c>
      <c r="J448" s="69"/>
      <c r="K448">
        <v>3</v>
      </c>
      <c r="L448">
        <v>3</v>
      </c>
      <c r="M448">
        <v>67.900000000000006</v>
      </c>
      <c r="N448" s="3">
        <v>403</v>
      </c>
      <c r="O448" s="3" t="str">
        <f t="shared" si="40"/>
        <v>2021</v>
      </c>
      <c r="P448" s="2">
        <v>732</v>
      </c>
    </row>
    <row r="449" spans="1:24" x14ac:dyDescent="0.35">
      <c r="A449" s="3">
        <v>2023</v>
      </c>
      <c r="B449" s="3">
        <v>7</v>
      </c>
      <c r="C449" s="3">
        <v>17</v>
      </c>
      <c r="D449" s="2">
        <v>390</v>
      </c>
      <c r="E449" s="3" t="s">
        <v>855</v>
      </c>
      <c r="F449" s="3">
        <v>3</v>
      </c>
      <c r="G449" s="3" t="s">
        <v>45</v>
      </c>
      <c r="H449" s="3" t="str">
        <f t="shared" si="41"/>
        <v>2011</v>
      </c>
      <c r="I449" s="3">
        <v>12</v>
      </c>
      <c r="J449" s="69"/>
      <c r="K449" s="3" t="s">
        <v>632</v>
      </c>
      <c r="L449" s="3" t="s">
        <v>317</v>
      </c>
      <c r="M449" s="3">
        <v>46.7</v>
      </c>
      <c r="N449" s="3">
        <v>404</v>
      </c>
      <c r="O449" s="3" t="str">
        <f t="shared" si="40"/>
        <v>2007</v>
      </c>
      <c r="P449" s="2">
        <v>390</v>
      </c>
      <c r="V449">
        <v>5.33</v>
      </c>
    </row>
    <row r="450" spans="1:24" x14ac:dyDescent="0.35">
      <c r="A450" s="3">
        <v>2023</v>
      </c>
      <c r="B450" s="3">
        <v>10</v>
      </c>
      <c r="C450" s="3">
        <v>31</v>
      </c>
      <c r="D450" s="2">
        <v>543</v>
      </c>
      <c r="E450" s="3" t="s">
        <v>122</v>
      </c>
      <c r="F450" s="3">
        <v>4</v>
      </c>
      <c r="G450" s="3" t="s">
        <v>225</v>
      </c>
      <c r="H450" s="3" t="str">
        <f t="shared" si="41"/>
        <v>2022</v>
      </c>
      <c r="I450" s="3">
        <v>1</v>
      </c>
      <c r="J450" s="69"/>
      <c r="K450" t="s">
        <v>67</v>
      </c>
      <c r="L450" s="3">
        <v>2</v>
      </c>
      <c r="M450" s="3">
        <v>73.400000000000006</v>
      </c>
      <c r="N450" s="3">
        <v>404</v>
      </c>
      <c r="O450" s="3" t="str">
        <f t="shared" ref="O450:O513" si="42">IF(G450="PHD", "2007", IF(G450="TSL", "2011", IF(G450 = "SRS", "2018", IF(G450="WCA 3B", "2017", IF(G450="WCA 3A", "2021")))))</f>
        <v>2021</v>
      </c>
      <c r="P450" s="2">
        <v>543</v>
      </c>
      <c r="X450">
        <v>2.29</v>
      </c>
    </row>
    <row r="451" spans="1:24" x14ac:dyDescent="0.35">
      <c r="A451" s="3">
        <v>2024</v>
      </c>
      <c r="B451" s="3">
        <v>8</v>
      </c>
      <c r="C451" s="3">
        <v>14</v>
      </c>
      <c r="D451" s="2">
        <v>775</v>
      </c>
      <c r="E451" s="3" t="s">
        <v>276</v>
      </c>
      <c r="F451" s="3">
        <v>3</v>
      </c>
      <c r="G451" s="3" t="s">
        <v>225</v>
      </c>
      <c r="H451" s="3" t="str">
        <f t="shared" si="41"/>
        <v>2021</v>
      </c>
      <c r="I451" s="3">
        <v>3</v>
      </c>
      <c r="J451" s="69"/>
      <c r="K451" t="s">
        <v>227</v>
      </c>
      <c r="L451">
        <v>4</v>
      </c>
      <c r="M451">
        <v>53.7</v>
      </c>
      <c r="N451" s="3">
        <v>404</v>
      </c>
      <c r="O451" s="3" t="str">
        <f t="shared" si="42"/>
        <v>2021</v>
      </c>
      <c r="P451" s="2">
        <v>775</v>
      </c>
    </row>
    <row r="452" spans="1:24" x14ac:dyDescent="0.35">
      <c r="A452" s="3">
        <v>2022</v>
      </c>
      <c r="B452" s="3">
        <v>11</v>
      </c>
      <c r="C452" s="3">
        <v>4</v>
      </c>
      <c r="D452" s="2">
        <v>106</v>
      </c>
      <c r="E452" s="14" t="s">
        <v>554</v>
      </c>
      <c r="F452" s="15">
        <v>4</v>
      </c>
      <c r="G452" s="3" t="s">
        <v>45</v>
      </c>
      <c r="H452" s="3" t="str">
        <f t="shared" si="41"/>
        <v>2011</v>
      </c>
      <c r="I452" s="3">
        <v>11</v>
      </c>
      <c r="J452" s="69"/>
      <c r="K452" s="3" t="s">
        <v>317</v>
      </c>
      <c r="L452" s="3" t="s">
        <v>317</v>
      </c>
      <c r="M452" s="3">
        <v>55.2</v>
      </c>
      <c r="N452" s="3">
        <v>405</v>
      </c>
      <c r="O452" s="3" t="str">
        <f t="shared" si="42"/>
        <v>2007</v>
      </c>
      <c r="P452" s="2">
        <v>106</v>
      </c>
      <c r="X452">
        <v>3.52</v>
      </c>
    </row>
    <row r="453" spans="1:24" x14ac:dyDescent="0.35">
      <c r="A453" s="3">
        <v>2019</v>
      </c>
      <c r="B453" s="3">
        <v>8</v>
      </c>
      <c r="C453" s="3">
        <v>9</v>
      </c>
      <c r="D453" s="2">
        <v>322</v>
      </c>
      <c r="E453" s="3" t="s">
        <v>789</v>
      </c>
      <c r="F453" s="3">
        <v>3</v>
      </c>
      <c r="G453" s="3" t="s">
        <v>45</v>
      </c>
      <c r="H453" s="3" t="str">
        <f t="shared" si="41"/>
        <v>2011</v>
      </c>
      <c r="I453" s="3">
        <v>8</v>
      </c>
      <c r="J453" s="69"/>
      <c r="K453" s="3" t="s">
        <v>46</v>
      </c>
      <c r="L453" s="3" t="s">
        <v>317</v>
      </c>
      <c r="M453" s="3">
        <v>43.6</v>
      </c>
      <c r="N453" s="3">
        <v>406</v>
      </c>
      <c r="O453" s="3" t="str">
        <f t="shared" si="42"/>
        <v>2007</v>
      </c>
      <c r="P453" s="2">
        <v>322</v>
      </c>
    </row>
    <row r="454" spans="1:24" x14ac:dyDescent="0.35">
      <c r="A454" s="3">
        <v>2023</v>
      </c>
      <c r="B454" s="3">
        <v>7</v>
      </c>
      <c r="C454" s="3">
        <v>21</v>
      </c>
      <c r="D454" s="2">
        <v>411</v>
      </c>
      <c r="E454" s="3" t="s">
        <v>54</v>
      </c>
      <c r="F454" s="3">
        <v>3</v>
      </c>
      <c r="G454" s="3" t="s">
        <v>20</v>
      </c>
      <c r="H454" s="3" t="str">
        <f t="shared" si="41"/>
        <v>2020</v>
      </c>
      <c r="I454" s="3">
        <v>3</v>
      </c>
      <c r="J454" s="69"/>
      <c r="K454" s="3" t="s">
        <v>55</v>
      </c>
      <c r="L454" s="3">
        <v>8</v>
      </c>
      <c r="M454" s="3">
        <v>72.5</v>
      </c>
      <c r="N454" s="3">
        <v>406</v>
      </c>
      <c r="O454" s="3" t="str">
        <f t="shared" si="42"/>
        <v>2018</v>
      </c>
      <c r="P454" s="2">
        <v>411</v>
      </c>
    </row>
    <row r="455" spans="1:24" x14ac:dyDescent="0.35">
      <c r="A455" s="3">
        <v>2024</v>
      </c>
      <c r="B455" s="3">
        <v>1</v>
      </c>
      <c r="C455" s="3">
        <v>17</v>
      </c>
      <c r="D455" s="2">
        <v>561</v>
      </c>
      <c r="E455" s="3" t="s">
        <v>1006</v>
      </c>
      <c r="F455" s="3">
        <v>1</v>
      </c>
      <c r="G455" s="3" t="s">
        <v>41</v>
      </c>
      <c r="H455" s="3" t="str">
        <f t="shared" ref="H455:H518" si="43">IF(L455="A55","2009",IF(L455="A59","2009",IF(L455="A60","2010",IF(L455="A62","2011",IF(L455="CP","2013",IF(L455="MD","2012",IF(L455="TS","2013",IF(L455="DL","2018",IF(L455="SCU","2018",IF(L455="NCU","2018",IF(L455="C1C","2018",IF(L455="C1E","2018",IF(L455="RS1S","2018",IF(L455="C2B","2018",IF(L455="DB3","2018",IF(AND(L455=6,G455="SRS"),"2018",IF(AND(L455=7,G455="SRS"),"2020",IF(AND(L455=8,G455="SRS"),"2020",IF(L455=23,"2019",IF(AND(L455=7,G455="WCA 3B"),"2017",IF(AND(L455=8,G455="WCA 3B"),"2019",IF(L455=1,"2021",IF(L455=2,"2022",IF(L455=3,"2021",IF(L455=4,"2021",IF(L455=5,"2022",IF(AND(L455=6,G455="WCA 3A"),"2022",IF(L455=9,"2023",IF(L455=10,"2023",IF(L455=37,"2020"))))))))))))))))))))))))))))))</f>
        <v>2013</v>
      </c>
      <c r="I455" s="3">
        <v>11</v>
      </c>
      <c r="J455" s="69"/>
      <c r="K455" t="s">
        <v>42</v>
      </c>
      <c r="L455" s="3" t="s">
        <v>318</v>
      </c>
      <c r="M455">
        <v>58.2</v>
      </c>
      <c r="N455" s="3">
        <v>406</v>
      </c>
      <c r="O455" s="3" t="str">
        <f t="shared" si="42"/>
        <v>2011</v>
      </c>
      <c r="P455" s="2">
        <v>561</v>
      </c>
    </row>
    <row r="456" spans="1:24" x14ac:dyDescent="0.35">
      <c r="A456" s="3">
        <v>2024</v>
      </c>
      <c r="B456" s="3">
        <v>8</v>
      </c>
      <c r="C456" s="3">
        <v>19</v>
      </c>
      <c r="D456" s="2">
        <v>786</v>
      </c>
      <c r="E456" s="3" t="s">
        <v>1167</v>
      </c>
      <c r="F456" s="3">
        <v>3</v>
      </c>
      <c r="G456" s="3" t="s">
        <v>225</v>
      </c>
      <c r="H456" s="3" t="str">
        <f t="shared" si="43"/>
        <v>2021</v>
      </c>
      <c r="I456" s="3">
        <v>3</v>
      </c>
      <c r="J456" s="69"/>
      <c r="K456">
        <v>3</v>
      </c>
      <c r="L456">
        <v>3</v>
      </c>
      <c r="M456">
        <v>58</v>
      </c>
      <c r="N456" s="3">
        <v>406</v>
      </c>
      <c r="O456" s="3" t="str">
        <f t="shared" si="42"/>
        <v>2021</v>
      </c>
      <c r="P456" s="2">
        <v>786</v>
      </c>
    </row>
    <row r="457" spans="1:24" x14ac:dyDescent="0.35">
      <c r="A457" s="3">
        <v>2024</v>
      </c>
      <c r="B457" s="3">
        <v>1</v>
      </c>
      <c r="C457" s="3">
        <v>19</v>
      </c>
      <c r="D457" s="2">
        <v>581</v>
      </c>
      <c r="E457" s="3" t="s">
        <v>1025</v>
      </c>
      <c r="F457" s="3">
        <v>1</v>
      </c>
      <c r="G457" s="3" t="s">
        <v>41</v>
      </c>
      <c r="H457" s="3" t="str">
        <f t="shared" si="43"/>
        <v>2013</v>
      </c>
      <c r="I457" s="3">
        <v>11</v>
      </c>
      <c r="J457" s="69"/>
      <c r="K457" t="s">
        <v>42</v>
      </c>
      <c r="L457" s="3" t="s">
        <v>318</v>
      </c>
      <c r="M457">
        <v>56</v>
      </c>
      <c r="N457" s="3">
        <v>407</v>
      </c>
      <c r="O457" s="3" t="str">
        <f t="shared" si="42"/>
        <v>2011</v>
      </c>
      <c r="P457" s="2">
        <v>581</v>
      </c>
      <c r="S457">
        <v>5.96</v>
      </c>
      <c r="W457">
        <v>4.5199999999999996</v>
      </c>
    </row>
    <row r="458" spans="1:24" x14ac:dyDescent="0.35">
      <c r="A458" s="3">
        <v>2019</v>
      </c>
      <c r="B458" s="3">
        <v>2</v>
      </c>
      <c r="C458" s="3">
        <v>21</v>
      </c>
      <c r="D458" s="2">
        <v>170</v>
      </c>
      <c r="E458" s="3" t="s">
        <v>619</v>
      </c>
      <c r="F458" s="3">
        <v>1</v>
      </c>
      <c r="G458" s="3" t="s">
        <v>45</v>
      </c>
      <c r="H458" s="3" t="str">
        <f t="shared" si="43"/>
        <v>2011</v>
      </c>
      <c r="I458" s="3">
        <v>8</v>
      </c>
      <c r="J458" s="69"/>
      <c r="K458" s="3" t="s">
        <v>615</v>
      </c>
      <c r="L458" s="3" t="s">
        <v>317</v>
      </c>
      <c r="M458" s="3">
        <v>70.599999999999994</v>
      </c>
      <c r="N458" s="3">
        <v>407</v>
      </c>
      <c r="O458" s="3" t="str">
        <f t="shared" si="42"/>
        <v>2007</v>
      </c>
      <c r="P458" s="2">
        <v>170</v>
      </c>
      <c r="T458">
        <v>3.41</v>
      </c>
    </row>
    <row r="459" spans="1:24" x14ac:dyDescent="0.35">
      <c r="A459" s="3">
        <v>2024</v>
      </c>
      <c r="B459" s="3">
        <v>2</v>
      </c>
      <c r="C459" s="3">
        <v>23</v>
      </c>
      <c r="D459" s="2">
        <v>638</v>
      </c>
      <c r="E459" s="3" t="s">
        <v>1074</v>
      </c>
      <c r="F459" s="3">
        <v>1</v>
      </c>
      <c r="G459" s="3" t="s">
        <v>225</v>
      </c>
      <c r="H459" s="3" t="str">
        <f t="shared" si="43"/>
        <v>2022</v>
      </c>
      <c r="I459" s="3">
        <v>2</v>
      </c>
      <c r="J459" s="69"/>
      <c r="K459" t="s">
        <v>21</v>
      </c>
      <c r="L459" s="3">
        <v>2</v>
      </c>
      <c r="M459">
        <v>64</v>
      </c>
      <c r="N459" s="3">
        <v>407</v>
      </c>
      <c r="O459" s="3" t="str">
        <f t="shared" si="42"/>
        <v>2021</v>
      </c>
      <c r="P459" s="2">
        <v>638</v>
      </c>
    </row>
    <row r="460" spans="1:24" x14ac:dyDescent="0.35">
      <c r="A460" s="3">
        <v>2024</v>
      </c>
      <c r="B460" s="3">
        <v>4</v>
      </c>
      <c r="C460" s="3">
        <v>8</v>
      </c>
      <c r="D460" s="2">
        <v>651</v>
      </c>
      <c r="E460" s="3" t="s">
        <v>146</v>
      </c>
      <c r="F460" s="3">
        <v>2</v>
      </c>
      <c r="G460" s="3" t="s">
        <v>225</v>
      </c>
      <c r="H460" s="3" t="str">
        <f t="shared" si="43"/>
        <v>2022</v>
      </c>
      <c r="I460" s="3">
        <v>2</v>
      </c>
      <c r="J460" s="69"/>
      <c r="K460" t="s">
        <v>67</v>
      </c>
      <c r="L460" s="3">
        <v>2</v>
      </c>
      <c r="M460">
        <v>71.400000000000006</v>
      </c>
      <c r="N460" s="3">
        <v>409</v>
      </c>
      <c r="O460" s="3" t="str">
        <f t="shared" si="42"/>
        <v>2021</v>
      </c>
      <c r="P460" s="2">
        <v>651</v>
      </c>
    </row>
    <row r="461" spans="1:24" x14ac:dyDescent="0.35">
      <c r="A461" s="3">
        <v>2024</v>
      </c>
      <c r="B461" s="3">
        <v>8</v>
      </c>
      <c r="C461" s="3">
        <v>15</v>
      </c>
      <c r="D461" s="2">
        <v>771</v>
      </c>
      <c r="E461" s="3" t="s">
        <v>272</v>
      </c>
      <c r="F461" s="3">
        <v>3</v>
      </c>
      <c r="G461" s="3" t="s">
        <v>225</v>
      </c>
      <c r="H461" s="3" t="str">
        <f t="shared" si="43"/>
        <v>2021</v>
      </c>
      <c r="I461" s="3">
        <v>3</v>
      </c>
      <c r="J461" s="69"/>
      <c r="K461">
        <v>3</v>
      </c>
      <c r="L461">
        <v>3</v>
      </c>
      <c r="M461">
        <v>72.8</v>
      </c>
      <c r="N461" s="3">
        <v>409</v>
      </c>
      <c r="O461" s="3" t="str">
        <f t="shared" si="42"/>
        <v>2021</v>
      </c>
      <c r="P461" s="2">
        <v>771</v>
      </c>
    </row>
    <row r="462" spans="1:24" x14ac:dyDescent="0.35">
      <c r="A462" s="3">
        <v>2009</v>
      </c>
      <c r="B462" s="3">
        <v>9</v>
      </c>
      <c r="C462" s="3">
        <v>4</v>
      </c>
      <c r="D462" s="2">
        <v>620</v>
      </c>
      <c r="E462" s="3" t="s">
        <v>1058</v>
      </c>
      <c r="F462" s="3">
        <v>3</v>
      </c>
      <c r="G462" s="3" t="s">
        <v>45</v>
      </c>
      <c r="H462" s="3" t="str">
        <f t="shared" si="43"/>
        <v>2009</v>
      </c>
      <c r="I462" s="3">
        <v>0</v>
      </c>
      <c r="J462" s="69"/>
      <c r="K462" t="s">
        <v>662</v>
      </c>
      <c r="L462" s="3" t="s">
        <v>488</v>
      </c>
      <c r="M462">
        <v>73.900000000000006</v>
      </c>
      <c r="N462" s="3">
        <v>410</v>
      </c>
      <c r="O462" s="3" t="str">
        <f t="shared" si="42"/>
        <v>2007</v>
      </c>
      <c r="P462" s="2">
        <v>620</v>
      </c>
    </row>
    <row r="463" spans="1:24" x14ac:dyDescent="0.35">
      <c r="A463" s="3">
        <v>2019</v>
      </c>
      <c r="B463" s="3">
        <v>11</v>
      </c>
      <c r="C463" s="3">
        <v>27</v>
      </c>
      <c r="D463" s="2">
        <v>49</v>
      </c>
      <c r="E463" s="3" t="s">
        <v>492</v>
      </c>
      <c r="F463" s="3">
        <v>4</v>
      </c>
      <c r="G463" s="3" t="s">
        <v>45</v>
      </c>
      <c r="H463" s="3" t="str">
        <f t="shared" si="43"/>
        <v>2009</v>
      </c>
      <c r="I463" s="3">
        <v>10</v>
      </c>
      <c r="J463" s="69"/>
      <c r="K463" s="3" t="s">
        <v>488</v>
      </c>
      <c r="L463" s="3" t="s">
        <v>488</v>
      </c>
      <c r="M463" s="3">
        <v>60.7</v>
      </c>
      <c r="N463" s="3">
        <v>411</v>
      </c>
      <c r="O463" s="3" t="str">
        <f t="shared" si="42"/>
        <v>2007</v>
      </c>
      <c r="P463" s="2">
        <v>49</v>
      </c>
    </row>
    <row r="464" spans="1:24" x14ac:dyDescent="0.35">
      <c r="A464" s="3">
        <v>2023</v>
      </c>
      <c r="B464" s="3">
        <v>7</v>
      </c>
      <c r="C464" s="3">
        <v>31</v>
      </c>
      <c r="D464" s="2">
        <v>455</v>
      </c>
      <c r="E464" s="3" t="s">
        <v>78</v>
      </c>
      <c r="F464" s="3">
        <v>3</v>
      </c>
      <c r="G464" s="3" t="s">
        <v>225</v>
      </c>
      <c r="H464" s="3" t="str">
        <f t="shared" si="43"/>
        <v>2022</v>
      </c>
      <c r="I464" s="3">
        <v>1</v>
      </c>
      <c r="J464" s="69"/>
      <c r="K464" s="3" t="s">
        <v>67</v>
      </c>
      <c r="L464" s="3">
        <v>2</v>
      </c>
      <c r="M464" s="3">
        <v>70.7</v>
      </c>
      <c r="N464" s="3">
        <v>411</v>
      </c>
      <c r="O464" s="3" t="str">
        <f t="shared" si="42"/>
        <v>2021</v>
      </c>
      <c r="P464" s="2">
        <v>455</v>
      </c>
    </row>
    <row r="465" spans="1:23" x14ac:dyDescent="0.35">
      <c r="A465" s="3">
        <v>2024</v>
      </c>
      <c r="B465" s="3">
        <v>8</v>
      </c>
      <c r="C465" s="3">
        <v>19</v>
      </c>
      <c r="D465" s="2">
        <v>791</v>
      </c>
      <c r="E465" s="3" t="s">
        <v>1171</v>
      </c>
      <c r="F465" s="3">
        <v>3</v>
      </c>
      <c r="G465" s="3" t="s">
        <v>225</v>
      </c>
      <c r="H465" s="3" t="str">
        <f t="shared" si="43"/>
        <v>2021</v>
      </c>
      <c r="I465" s="3">
        <v>3</v>
      </c>
      <c r="J465" s="69"/>
      <c r="K465">
        <v>3</v>
      </c>
      <c r="L465">
        <v>3</v>
      </c>
      <c r="M465">
        <v>79</v>
      </c>
      <c r="N465" s="3">
        <v>411</v>
      </c>
      <c r="O465" s="3" t="str">
        <f t="shared" si="42"/>
        <v>2021</v>
      </c>
      <c r="P465" s="2">
        <v>791</v>
      </c>
    </row>
    <row r="466" spans="1:23" x14ac:dyDescent="0.35">
      <c r="A466" s="3">
        <v>2018</v>
      </c>
      <c r="B466" s="3">
        <v>8</v>
      </c>
      <c r="C466" s="3">
        <v>15</v>
      </c>
      <c r="D466" s="2">
        <v>306</v>
      </c>
      <c r="E466" s="3" t="s">
        <v>772</v>
      </c>
      <c r="F466" s="3">
        <v>3</v>
      </c>
      <c r="G466" s="3" t="s">
        <v>41</v>
      </c>
      <c r="H466" s="3" t="str">
        <f t="shared" si="43"/>
        <v>2013</v>
      </c>
      <c r="I466" s="3">
        <v>5</v>
      </c>
      <c r="J466" s="69"/>
      <c r="K466" s="3" t="s">
        <v>49</v>
      </c>
      <c r="L466" s="3" t="s">
        <v>318</v>
      </c>
      <c r="M466" s="3">
        <v>64.599999999999994</v>
      </c>
      <c r="N466" s="3">
        <v>412</v>
      </c>
      <c r="O466" s="3" t="str">
        <f t="shared" si="42"/>
        <v>2011</v>
      </c>
      <c r="P466" s="2">
        <v>306</v>
      </c>
    </row>
    <row r="467" spans="1:23" x14ac:dyDescent="0.35">
      <c r="A467" s="3">
        <v>2023</v>
      </c>
      <c r="B467" s="3">
        <v>8</v>
      </c>
      <c r="C467" s="3">
        <v>2</v>
      </c>
      <c r="D467" s="2">
        <v>434</v>
      </c>
      <c r="E467" s="3" t="s">
        <v>66</v>
      </c>
      <c r="F467" s="3">
        <v>3</v>
      </c>
      <c r="G467" s="3" t="s">
        <v>225</v>
      </c>
      <c r="H467" s="3" t="str">
        <f t="shared" si="43"/>
        <v>2022</v>
      </c>
      <c r="I467" s="3">
        <v>1</v>
      </c>
      <c r="J467" s="69"/>
      <c r="K467" s="3" t="s">
        <v>67</v>
      </c>
      <c r="L467" s="3">
        <v>2</v>
      </c>
      <c r="M467" s="3">
        <v>60.2</v>
      </c>
      <c r="N467" s="3">
        <v>412</v>
      </c>
      <c r="O467" s="3" t="str">
        <f t="shared" si="42"/>
        <v>2021</v>
      </c>
      <c r="P467" s="2">
        <v>434</v>
      </c>
    </row>
    <row r="468" spans="1:23" x14ac:dyDescent="0.35">
      <c r="A468" s="3">
        <v>2024</v>
      </c>
      <c r="B468" s="3">
        <v>1</v>
      </c>
      <c r="C468" s="3">
        <v>17</v>
      </c>
      <c r="D468" s="2">
        <v>564</v>
      </c>
      <c r="E468" s="3" t="s">
        <v>1009</v>
      </c>
      <c r="F468" s="3">
        <v>1</v>
      </c>
      <c r="G468" s="3" t="s">
        <v>41</v>
      </c>
      <c r="H468" s="3" t="str">
        <f t="shared" si="43"/>
        <v>2013</v>
      </c>
      <c r="I468" s="3">
        <v>11</v>
      </c>
      <c r="J468" s="69"/>
      <c r="K468" t="s">
        <v>42</v>
      </c>
      <c r="L468" s="3" t="s">
        <v>318</v>
      </c>
      <c r="M468">
        <v>62</v>
      </c>
      <c r="N468" s="3">
        <v>412</v>
      </c>
      <c r="O468" s="3" t="str">
        <f t="shared" si="42"/>
        <v>2011</v>
      </c>
      <c r="P468" s="2">
        <v>564</v>
      </c>
    </row>
    <row r="469" spans="1:23" x14ac:dyDescent="0.35">
      <c r="A469" s="3">
        <v>2024</v>
      </c>
      <c r="B469" s="3">
        <v>8</v>
      </c>
      <c r="C469" s="3">
        <v>19</v>
      </c>
      <c r="D469" s="2">
        <v>788</v>
      </c>
      <c r="E469" s="3" t="s">
        <v>1168</v>
      </c>
      <c r="F469" s="3">
        <v>3</v>
      </c>
      <c r="G469" s="3" t="s">
        <v>225</v>
      </c>
      <c r="H469" s="3" t="str">
        <f t="shared" si="43"/>
        <v>2021</v>
      </c>
      <c r="I469" s="3">
        <v>3</v>
      </c>
      <c r="J469" s="69"/>
      <c r="K469">
        <v>3</v>
      </c>
      <c r="L469">
        <v>3</v>
      </c>
      <c r="M469">
        <v>77.7</v>
      </c>
      <c r="N469" s="3">
        <v>412</v>
      </c>
      <c r="O469" s="3" t="str">
        <f t="shared" si="42"/>
        <v>2021</v>
      </c>
      <c r="P469" s="2">
        <v>788</v>
      </c>
    </row>
    <row r="470" spans="1:23" x14ac:dyDescent="0.35">
      <c r="A470" s="3">
        <v>2024</v>
      </c>
      <c r="B470" s="3">
        <v>8</v>
      </c>
      <c r="C470" s="3">
        <v>7</v>
      </c>
      <c r="D470" s="2">
        <v>807</v>
      </c>
      <c r="E470" s="3" t="s">
        <v>294</v>
      </c>
      <c r="F470" s="3">
        <v>3</v>
      </c>
      <c r="G470" s="3" t="s">
        <v>20</v>
      </c>
      <c r="H470" s="3" t="str">
        <f t="shared" si="43"/>
        <v>2018</v>
      </c>
      <c r="I470" s="3">
        <v>6</v>
      </c>
      <c r="J470" s="69"/>
      <c r="K470" t="s">
        <v>234</v>
      </c>
      <c r="L470">
        <v>6</v>
      </c>
      <c r="M470">
        <v>6.66</v>
      </c>
      <c r="N470" s="3">
        <v>412</v>
      </c>
      <c r="O470" s="3" t="str">
        <f t="shared" si="42"/>
        <v>2018</v>
      </c>
      <c r="P470" s="2">
        <v>807</v>
      </c>
    </row>
    <row r="471" spans="1:23" x14ac:dyDescent="0.35">
      <c r="A471" s="3">
        <v>2024</v>
      </c>
      <c r="B471" s="3">
        <v>8</v>
      </c>
      <c r="C471" s="3">
        <v>9</v>
      </c>
      <c r="D471" s="2">
        <v>715</v>
      </c>
      <c r="E471" s="3" t="s">
        <v>1131</v>
      </c>
      <c r="F471" s="3">
        <v>3</v>
      </c>
      <c r="G471" s="3" t="s">
        <v>41</v>
      </c>
      <c r="H471" s="3" t="str">
        <f t="shared" si="43"/>
        <v>2013</v>
      </c>
      <c r="I471" s="3">
        <v>11</v>
      </c>
      <c r="J471" s="69"/>
      <c r="K471" t="s">
        <v>42</v>
      </c>
      <c r="L471" t="s">
        <v>318</v>
      </c>
      <c r="M471">
        <v>67.099999999999994</v>
      </c>
      <c r="N471" s="3">
        <v>413</v>
      </c>
      <c r="O471" s="3" t="str">
        <f t="shared" si="42"/>
        <v>2011</v>
      </c>
      <c r="P471" s="2">
        <v>715</v>
      </c>
    </row>
    <row r="472" spans="1:23" x14ac:dyDescent="0.35">
      <c r="A472" s="3">
        <v>2024</v>
      </c>
      <c r="B472" s="3">
        <v>8</v>
      </c>
      <c r="C472" s="3">
        <v>19</v>
      </c>
      <c r="D472" s="2">
        <v>753</v>
      </c>
      <c r="E472" s="3" t="s">
        <v>264</v>
      </c>
      <c r="F472" s="3">
        <v>3</v>
      </c>
      <c r="G472" s="3" t="s">
        <v>225</v>
      </c>
      <c r="H472" s="3" t="str">
        <f t="shared" si="43"/>
        <v>2021</v>
      </c>
      <c r="I472" s="3">
        <v>3</v>
      </c>
      <c r="J472" s="69"/>
      <c r="K472">
        <v>3</v>
      </c>
      <c r="L472">
        <v>3</v>
      </c>
      <c r="M472">
        <v>66.8</v>
      </c>
      <c r="N472" s="3">
        <v>413</v>
      </c>
      <c r="O472" s="3" t="str">
        <f t="shared" si="42"/>
        <v>2021</v>
      </c>
      <c r="P472" s="2">
        <v>753</v>
      </c>
    </row>
    <row r="473" spans="1:23" x14ac:dyDescent="0.35">
      <c r="A473" s="3">
        <v>2024</v>
      </c>
      <c r="B473" s="3">
        <v>8</v>
      </c>
      <c r="C473" s="3">
        <v>19</v>
      </c>
      <c r="D473" s="2">
        <v>778</v>
      </c>
      <c r="E473" s="3" t="s">
        <v>278</v>
      </c>
      <c r="F473" s="3">
        <v>3</v>
      </c>
      <c r="G473" s="3" t="s">
        <v>225</v>
      </c>
      <c r="H473" s="3" t="str">
        <f t="shared" si="43"/>
        <v>2021</v>
      </c>
      <c r="I473" s="3">
        <v>3</v>
      </c>
      <c r="J473" s="69"/>
      <c r="K473">
        <v>3</v>
      </c>
      <c r="L473">
        <v>3</v>
      </c>
      <c r="M473">
        <v>71</v>
      </c>
      <c r="N473" s="3">
        <v>413</v>
      </c>
      <c r="O473" s="3" t="str">
        <f t="shared" si="42"/>
        <v>2021</v>
      </c>
      <c r="P473" s="2">
        <v>778</v>
      </c>
    </row>
    <row r="474" spans="1:23" x14ac:dyDescent="0.35">
      <c r="A474" s="3">
        <v>2024</v>
      </c>
      <c r="B474" s="3">
        <v>8</v>
      </c>
      <c r="C474" s="3">
        <v>19</v>
      </c>
      <c r="D474" s="2">
        <v>754</v>
      </c>
      <c r="E474" s="3" t="s">
        <v>265</v>
      </c>
      <c r="F474" s="3">
        <v>3</v>
      </c>
      <c r="G474" s="3" t="s">
        <v>225</v>
      </c>
      <c r="H474" s="3" t="str">
        <f t="shared" si="43"/>
        <v>2021</v>
      </c>
      <c r="I474" s="3">
        <v>3</v>
      </c>
      <c r="J474" s="69"/>
      <c r="K474">
        <v>3</v>
      </c>
      <c r="L474">
        <v>3</v>
      </c>
      <c r="M474">
        <v>85.2</v>
      </c>
      <c r="N474" s="3">
        <v>414</v>
      </c>
      <c r="O474" s="3" t="str">
        <f t="shared" si="42"/>
        <v>2021</v>
      </c>
      <c r="P474" s="2">
        <v>754</v>
      </c>
    </row>
    <row r="475" spans="1:23" x14ac:dyDescent="0.35">
      <c r="A475" s="3">
        <v>2017</v>
      </c>
      <c r="B475" s="3">
        <v>11</v>
      </c>
      <c r="C475" s="3">
        <v>13</v>
      </c>
      <c r="D475" s="2">
        <v>65</v>
      </c>
      <c r="E475" s="3" t="s">
        <v>508</v>
      </c>
      <c r="F475" s="3">
        <v>4</v>
      </c>
      <c r="G475" s="3" t="s">
        <v>41</v>
      </c>
      <c r="H475" s="3" t="str">
        <f t="shared" si="43"/>
        <v>2013</v>
      </c>
      <c r="I475" s="3">
        <v>4</v>
      </c>
      <c r="J475" s="69"/>
      <c r="K475" s="3" t="s">
        <v>509</v>
      </c>
      <c r="L475" s="3" t="s">
        <v>458</v>
      </c>
      <c r="M475" s="3">
        <v>55.4</v>
      </c>
      <c r="N475" s="3">
        <v>415</v>
      </c>
      <c r="O475" s="3" t="str">
        <f t="shared" si="42"/>
        <v>2011</v>
      </c>
      <c r="P475" s="2">
        <v>65</v>
      </c>
      <c r="S475">
        <v>2.98</v>
      </c>
      <c r="W475">
        <v>3.24</v>
      </c>
    </row>
    <row r="476" spans="1:23" x14ac:dyDescent="0.35">
      <c r="A476" s="3">
        <v>2016</v>
      </c>
      <c r="B476" s="3">
        <v>9</v>
      </c>
      <c r="C476" s="3">
        <v>2</v>
      </c>
      <c r="D476" s="2">
        <v>293</v>
      </c>
      <c r="E476" s="3" t="s">
        <v>759</v>
      </c>
      <c r="F476" s="3">
        <v>3</v>
      </c>
      <c r="G476" s="3" t="s">
        <v>41</v>
      </c>
      <c r="H476" s="3" t="str">
        <f t="shared" si="43"/>
        <v>2013</v>
      </c>
      <c r="I476" s="3">
        <v>3</v>
      </c>
      <c r="J476" s="69"/>
      <c r="K476" s="3" t="s">
        <v>42</v>
      </c>
      <c r="L476" s="3" t="s">
        <v>318</v>
      </c>
      <c r="M476" s="3">
        <v>77.2</v>
      </c>
      <c r="N476" s="3">
        <v>415</v>
      </c>
      <c r="O476" s="3" t="str">
        <f t="shared" si="42"/>
        <v>2011</v>
      </c>
      <c r="P476" s="2">
        <v>293</v>
      </c>
      <c r="T476">
        <v>3.81</v>
      </c>
    </row>
    <row r="477" spans="1:23" x14ac:dyDescent="0.35">
      <c r="A477" s="3">
        <v>2021</v>
      </c>
      <c r="B477" s="3">
        <v>4</v>
      </c>
      <c r="C477" s="3">
        <v>13</v>
      </c>
      <c r="D477" s="2">
        <v>489</v>
      </c>
      <c r="E477" s="3" t="s">
        <v>943</v>
      </c>
      <c r="F477" s="3">
        <v>2</v>
      </c>
      <c r="G477" s="3" t="s">
        <v>226</v>
      </c>
      <c r="H477" s="3" t="str">
        <f t="shared" si="43"/>
        <v>2018</v>
      </c>
      <c r="I477" s="3">
        <v>3</v>
      </c>
      <c r="J477" s="69"/>
      <c r="K477" s="3" t="s">
        <v>51</v>
      </c>
      <c r="L477" s="3" t="s">
        <v>936</v>
      </c>
      <c r="M477" s="16">
        <v>70</v>
      </c>
      <c r="N477" s="3">
        <v>415</v>
      </c>
      <c r="O477" s="3" t="str">
        <f t="shared" si="42"/>
        <v>2017</v>
      </c>
      <c r="P477" s="2">
        <v>489</v>
      </c>
    </row>
    <row r="478" spans="1:23" x14ac:dyDescent="0.35">
      <c r="A478" s="3">
        <v>2024</v>
      </c>
      <c r="B478" s="3">
        <v>3</v>
      </c>
      <c r="C478" s="3">
        <v>13</v>
      </c>
      <c r="D478" s="2">
        <v>692</v>
      </c>
      <c r="E478" s="3" t="s">
        <v>159</v>
      </c>
      <c r="F478" s="3">
        <v>2</v>
      </c>
      <c r="G478" s="3" t="s">
        <v>226</v>
      </c>
      <c r="H478" s="3" t="str">
        <f t="shared" si="43"/>
        <v>2017</v>
      </c>
      <c r="I478" s="3">
        <v>7</v>
      </c>
      <c r="J478" s="69"/>
      <c r="K478" t="s">
        <v>228</v>
      </c>
      <c r="L478">
        <v>7</v>
      </c>
      <c r="M478">
        <v>71.5</v>
      </c>
      <c r="N478" s="3">
        <v>415</v>
      </c>
      <c r="O478" s="3" t="str">
        <f t="shared" si="42"/>
        <v>2017</v>
      </c>
      <c r="P478" s="2">
        <v>692</v>
      </c>
      <c r="Q478" s="2">
        <v>3.04</v>
      </c>
    </row>
    <row r="479" spans="1:23" x14ac:dyDescent="0.35">
      <c r="A479" s="3">
        <v>2024</v>
      </c>
      <c r="B479" s="2">
        <v>8</v>
      </c>
      <c r="C479" s="3">
        <v>15</v>
      </c>
      <c r="D479" s="2">
        <v>773</v>
      </c>
      <c r="E479" s="3" t="s">
        <v>274</v>
      </c>
      <c r="F479" s="3">
        <v>3</v>
      </c>
      <c r="G479" s="3" t="s">
        <v>225</v>
      </c>
      <c r="H479" s="3" t="str">
        <f t="shared" si="43"/>
        <v>2021</v>
      </c>
      <c r="I479" s="3">
        <v>3</v>
      </c>
      <c r="J479" s="69"/>
      <c r="K479">
        <v>3</v>
      </c>
      <c r="L479">
        <v>3</v>
      </c>
      <c r="M479">
        <v>70.400000000000006</v>
      </c>
      <c r="N479" s="3">
        <v>415</v>
      </c>
      <c r="O479" s="3" t="str">
        <f t="shared" si="42"/>
        <v>2021</v>
      </c>
      <c r="P479" s="2">
        <v>773</v>
      </c>
    </row>
    <row r="480" spans="1:23" x14ac:dyDescent="0.35">
      <c r="A480" s="3">
        <v>2024</v>
      </c>
      <c r="B480" s="3">
        <v>8</v>
      </c>
      <c r="C480" s="3">
        <v>19</v>
      </c>
      <c r="D480" s="2">
        <v>744</v>
      </c>
      <c r="E480" s="3" t="s">
        <v>256</v>
      </c>
      <c r="F480" s="3">
        <v>3</v>
      </c>
      <c r="G480" s="3" t="s">
        <v>225</v>
      </c>
      <c r="H480" s="3" t="str">
        <f t="shared" si="43"/>
        <v>2021</v>
      </c>
      <c r="I480" s="3">
        <v>3</v>
      </c>
      <c r="J480" s="69"/>
      <c r="K480">
        <v>3</v>
      </c>
      <c r="L480">
        <v>3</v>
      </c>
      <c r="M480">
        <v>73.8</v>
      </c>
      <c r="N480" s="3">
        <v>416</v>
      </c>
      <c r="O480" s="3" t="str">
        <f t="shared" si="42"/>
        <v>2021</v>
      </c>
      <c r="P480" s="2">
        <v>744</v>
      </c>
    </row>
    <row r="481" spans="1:21" x14ac:dyDescent="0.35">
      <c r="A481" s="3">
        <v>2024</v>
      </c>
      <c r="B481" s="3">
        <v>8</v>
      </c>
      <c r="C481" s="3">
        <v>19</v>
      </c>
      <c r="D481" s="2">
        <v>782</v>
      </c>
      <c r="E481" s="3" t="s">
        <v>1165</v>
      </c>
      <c r="F481" s="3">
        <v>3</v>
      </c>
      <c r="G481" s="3" t="s">
        <v>225</v>
      </c>
      <c r="H481" s="3" t="str">
        <f t="shared" si="43"/>
        <v>2021</v>
      </c>
      <c r="I481" s="3">
        <v>3</v>
      </c>
      <c r="J481" s="69"/>
      <c r="K481">
        <v>3</v>
      </c>
      <c r="L481">
        <v>3</v>
      </c>
      <c r="M481">
        <v>70.7</v>
      </c>
      <c r="N481" s="3">
        <v>416</v>
      </c>
      <c r="O481" s="3" t="str">
        <f t="shared" si="42"/>
        <v>2021</v>
      </c>
      <c r="P481" s="2">
        <v>782</v>
      </c>
    </row>
    <row r="482" spans="1:21" x14ac:dyDescent="0.35">
      <c r="A482" s="3">
        <v>2022</v>
      </c>
      <c r="B482" s="3">
        <v>11</v>
      </c>
      <c r="C482" s="3">
        <v>16</v>
      </c>
      <c r="D482" s="2">
        <v>112</v>
      </c>
      <c r="E482" s="14" t="s">
        <v>85</v>
      </c>
      <c r="F482" s="15">
        <v>4</v>
      </c>
      <c r="G482" s="3" t="s">
        <v>225</v>
      </c>
      <c r="H482" s="3" t="str">
        <f t="shared" si="43"/>
        <v>2022</v>
      </c>
      <c r="I482" s="3">
        <v>0</v>
      </c>
      <c r="J482" s="69"/>
      <c r="K482" s="3">
        <v>2</v>
      </c>
      <c r="L482" s="3">
        <v>2</v>
      </c>
      <c r="M482" s="3">
        <v>79.900000000000006</v>
      </c>
      <c r="N482" s="3">
        <v>417</v>
      </c>
      <c r="O482" s="3" t="str">
        <f t="shared" si="42"/>
        <v>2021</v>
      </c>
      <c r="P482" s="2">
        <v>112</v>
      </c>
    </row>
    <row r="483" spans="1:21" x14ac:dyDescent="0.35">
      <c r="A483" s="3">
        <v>2024</v>
      </c>
      <c r="B483" s="3">
        <v>1</v>
      </c>
      <c r="C483" s="3">
        <v>18</v>
      </c>
      <c r="D483" s="2">
        <v>558</v>
      </c>
      <c r="E483" s="3" t="s">
        <v>1003</v>
      </c>
      <c r="F483" s="3">
        <v>1</v>
      </c>
      <c r="G483" s="3" t="s">
        <v>41</v>
      </c>
      <c r="H483" s="3" t="str">
        <f t="shared" si="43"/>
        <v>2013</v>
      </c>
      <c r="I483" s="3">
        <v>11</v>
      </c>
      <c r="J483" s="69"/>
      <c r="K483" t="s">
        <v>583</v>
      </c>
      <c r="L483" s="3" t="s">
        <v>318</v>
      </c>
      <c r="M483">
        <v>64.400000000000006</v>
      </c>
      <c r="N483" s="3">
        <v>417</v>
      </c>
      <c r="O483" s="3" t="str">
        <f t="shared" si="42"/>
        <v>2011</v>
      </c>
      <c r="P483" s="2">
        <v>558</v>
      </c>
    </row>
    <row r="484" spans="1:21" x14ac:dyDescent="0.35">
      <c r="A484" s="3">
        <v>2023</v>
      </c>
      <c r="B484" s="3">
        <v>11</v>
      </c>
      <c r="C484" s="3">
        <v>3</v>
      </c>
      <c r="D484" s="2">
        <v>532</v>
      </c>
      <c r="E484" s="3" t="s">
        <v>984</v>
      </c>
      <c r="F484" s="3">
        <v>4</v>
      </c>
      <c r="G484" s="3" t="s">
        <v>225</v>
      </c>
      <c r="H484" s="3" t="str">
        <f t="shared" si="43"/>
        <v>2022</v>
      </c>
      <c r="I484" s="3">
        <v>1</v>
      </c>
      <c r="J484" s="69"/>
      <c r="K484" s="3">
        <v>2</v>
      </c>
      <c r="L484" s="3">
        <v>2</v>
      </c>
      <c r="M484" s="3">
        <v>75.5</v>
      </c>
      <c r="N484" s="3">
        <v>418</v>
      </c>
      <c r="O484" s="3" t="str">
        <f t="shared" si="42"/>
        <v>2021</v>
      </c>
      <c r="P484" s="2">
        <v>532</v>
      </c>
    </row>
    <row r="485" spans="1:21" x14ac:dyDescent="0.35">
      <c r="A485" s="3">
        <v>2024</v>
      </c>
      <c r="B485">
        <v>8</v>
      </c>
      <c r="C485" s="3">
        <v>19</v>
      </c>
      <c r="D485" s="2">
        <v>825</v>
      </c>
      <c r="E485" s="3" t="s">
        <v>307</v>
      </c>
      <c r="F485" s="3">
        <v>3</v>
      </c>
      <c r="G485" s="3" t="s">
        <v>225</v>
      </c>
      <c r="H485" s="3" t="str">
        <f t="shared" si="43"/>
        <v>2021</v>
      </c>
      <c r="I485" s="3">
        <v>3</v>
      </c>
      <c r="J485" s="69"/>
      <c r="K485">
        <v>3</v>
      </c>
      <c r="L485">
        <v>3</v>
      </c>
      <c r="M485">
        <v>8.31</v>
      </c>
      <c r="N485" s="3">
        <v>419</v>
      </c>
      <c r="O485" s="3" t="str">
        <f t="shared" si="42"/>
        <v>2021</v>
      </c>
      <c r="P485" s="2">
        <v>825</v>
      </c>
    </row>
    <row r="486" spans="1:21" x14ac:dyDescent="0.35">
      <c r="A486" s="3">
        <v>2021</v>
      </c>
      <c r="B486" s="3" t="s">
        <v>28</v>
      </c>
      <c r="C486" s="3" t="s">
        <v>28</v>
      </c>
      <c r="D486" s="2">
        <v>2</v>
      </c>
      <c r="E486" s="3" t="s">
        <v>445</v>
      </c>
      <c r="F486" s="3" t="s">
        <v>28</v>
      </c>
      <c r="G486" s="3" t="s">
        <v>45</v>
      </c>
      <c r="H486" s="3" t="str">
        <f t="shared" si="43"/>
        <v>2011</v>
      </c>
      <c r="I486" s="3">
        <v>10</v>
      </c>
      <c r="J486" s="69"/>
      <c r="K486" s="3" t="s">
        <v>317</v>
      </c>
      <c r="L486" s="3" t="s">
        <v>317</v>
      </c>
      <c r="M486" s="3">
        <v>65.2</v>
      </c>
      <c r="N486" s="3">
        <v>420</v>
      </c>
      <c r="O486" s="3" t="str">
        <f t="shared" si="42"/>
        <v>2007</v>
      </c>
      <c r="P486" s="2">
        <v>2</v>
      </c>
      <c r="S486">
        <v>3.24</v>
      </c>
    </row>
    <row r="487" spans="1:21" x14ac:dyDescent="0.35">
      <c r="A487" s="3">
        <v>2024</v>
      </c>
      <c r="B487" s="3">
        <v>8</v>
      </c>
      <c r="C487" s="3">
        <v>19</v>
      </c>
      <c r="D487" s="2">
        <v>748</v>
      </c>
      <c r="E487" s="3" t="s">
        <v>260</v>
      </c>
      <c r="F487" s="3">
        <v>3</v>
      </c>
      <c r="G487" s="3" t="s">
        <v>225</v>
      </c>
      <c r="H487" s="3" t="str">
        <f t="shared" si="43"/>
        <v>2021</v>
      </c>
      <c r="I487" s="3">
        <v>3</v>
      </c>
      <c r="J487" s="69"/>
      <c r="K487">
        <v>3</v>
      </c>
      <c r="L487">
        <v>3</v>
      </c>
      <c r="M487">
        <v>77.7</v>
      </c>
      <c r="N487" s="3">
        <v>420</v>
      </c>
      <c r="O487" s="3" t="str">
        <f t="shared" si="42"/>
        <v>2021</v>
      </c>
      <c r="P487" s="2">
        <v>748</v>
      </c>
      <c r="U487">
        <v>4.96</v>
      </c>
    </row>
    <row r="488" spans="1:21" x14ac:dyDescent="0.35">
      <c r="A488" s="3">
        <v>2019</v>
      </c>
      <c r="B488" s="3">
        <v>11</v>
      </c>
      <c r="C488" s="3">
        <v>27</v>
      </c>
      <c r="D488" s="2">
        <v>44</v>
      </c>
      <c r="E488" s="3" t="s">
        <v>486</v>
      </c>
      <c r="F488" s="3">
        <v>4</v>
      </c>
      <c r="G488" s="3" t="s">
        <v>45</v>
      </c>
      <c r="H488" s="3" t="str">
        <f t="shared" si="43"/>
        <v>2011</v>
      </c>
      <c r="I488" s="3">
        <v>8</v>
      </c>
      <c r="J488" s="69"/>
      <c r="K488" s="3" t="s">
        <v>317</v>
      </c>
      <c r="L488" s="3" t="s">
        <v>317</v>
      </c>
      <c r="M488" s="3">
        <v>65.099999999999994</v>
      </c>
      <c r="N488" s="3">
        <v>420</v>
      </c>
      <c r="O488" s="3" t="str">
        <f t="shared" si="42"/>
        <v>2007</v>
      </c>
      <c r="P488" s="2">
        <v>44</v>
      </c>
    </row>
    <row r="489" spans="1:21" x14ac:dyDescent="0.35">
      <c r="A489" s="3">
        <v>2024</v>
      </c>
      <c r="B489">
        <v>8</v>
      </c>
      <c r="C489" s="3">
        <v>19</v>
      </c>
      <c r="D489" s="2">
        <v>817</v>
      </c>
      <c r="E489" s="3" t="s">
        <v>1179</v>
      </c>
      <c r="F489" s="3">
        <v>3</v>
      </c>
      <c r="G489" s="3" t="s">
        <v>225</v>
      </c>
      <c r="H489" s="3" t="str">
        <f t="shared" si="43"/>
        <v>2021</v>
      </c>
      <c r="I489" s="3">
        <v>3</v>
      </c>
      <c r="J489" s="69"/>
      <c r="K489">
        <v>3</v>
      </c>
      <c r="L489">
        <v>3</v>
      </c>
      <c r="M489">
        <v>75</v>
      </c>
      <c r="N489" s="3">
        <v>420</v>
      </c>
      <c r="O489" s="3" t="str">
        <f t="shared" si="42"/>
        <v>2021</v>
      </c>
      <c r="P489" s="2">
        <v>817</v>
      </c>
    </row>
    <row r="490" spans="1:21" x14ac:dyDescent="0.35">
      <c r="A490" s="3">
        <v>2024</v>
      </c>
      <c r="B490">
        <v>8</v>
      </c>
      <c r="C490" s="3">
        <v>15</v>
      </c>
      <c r="D490" s="2">
        <v>831</v>
      </c>
      <c r="E490" s="3" t="s">
        <v>311</v>
      </c>
      <c r="F490" s="3">
        <v>3</v>
      </c>
      <c r="G490" s="3" t="s">
        <v>225</v>
      </c>
      <c r="H490" s="3" t="str">
        <f t="shared" si="43"/>
        <v>2021</v>
      </c>
      <c r="I490" s="3">
        <v>3</v>
      </c>
      <c r="J490" s="69"/>
      <c r="K490" t="s">
        <v>237</v>
      </c>
      <c r="L490">
        <v>3</v>
      </c>
      <c r="M490">
        <v>84.6</v>
      </c>
      <c r="N490" s="3">
        <v>420</v>
      </c>
      <c r="O490" s="3" t="str">
        <f t="shared" si="42"/>
        <v>2021</v>
      </c>
      <c r="P490" s="2">
        <v>831</v>
      </c>
    </row>
    <row r="491" spans="1:21" x14ac:dyDescent="0.35">
      <c r="A491" s="3">
        <v>2023</v>
      </c>
      <c r="B491" s="3">
        <v>7</v>
      </c>
      <c r="C491" s="3">
        <v>26</v>
      </c>
      <c r="D491" s="2">
        <v>439</v>
      </c>
      <c r="E491" s="3" t="s">
        <v>93</v>
      </c>
      <c r="F491" s="3">
        <v>3</v>
      </c>
      <c r="G491" s="3" t="s">
        <v>225</v>
      </c>
      <c r="H491" s="3" t="str">
        <f t="shared" si="43"/>
        <v>2021</v>
      </c>
      <c r="I491" s="3">
        <v>2</v>
      </c>
      <c r="J491" s="69"/>
      <c r="K491" s="3" t="s">
        <v>94</v>
      </c>
      <c r="L491" s="3">
        <v>1</v>
      </c>
      <c r="M491" s="3">
        <v>63.1</v>
      </c>
      <c r="N491" s="3">
        <v>421</v>
      </c>
      <c r="O491" s="3" t="str">
        <f t="shared" si="42"/>
        <v>2021</v>
      </c>
      <c r="P491" s="2">
        <v>439</v>
      </c>
    </row>
    <row r="492" spans="1:21" x14ac:dyDescent="0.35">
      <c r="A492" s="3">
        <v>2024</v>
      </c>
      <c r="B492" s="3">
        <v>8</v>
      </c>
      <c r="C492" s="3">
        <v>8</v>
      </c>
      <c r="D492" s="2">
        <v>703</v>
      </c>
      <c r="E492" s="3" t="s">
        <v>1122</v>
      </c>
      <c r="F492" s="3">
        <v>3</v>
      </c>
      <c r="G492" s="3" t="s">
        <v>45</v>
      </c>
      <c r="H492" s="3" t="str">
        <f t="shared" si="43"/>
        <v>2011</v>
      </c>
      <c r="I492" s="3">
        <v>13</v>
      </c>
      <c r="J492" s="69"/>
      <c r="K492" t="s">
        <v>46</v>
      </c>
      <c r="L492" t="s">
        <v>317</v>
      </c>
      <c r="M492">
        <v>69.2</v>
      </c>
      <c r="N492" s="3">
        <v>425</v>
      </c>
      <c r="O492" s="3" t="str">
        <f t="shared" si="42"/>
        <v>2007</v>
      </c>
      <c r="P492" s="2">
        <v>703</v>
      </c>
      <c r="T492">
        <v>2.4300000000000002</v>
      </c>
    </row>
    <row r="493" spans="1:21" x14ac:dyDescent="0.35">
      <c r="A493" s="3">
        <v>2024</v>
      </c>
      <c r="B493" s="3">
        <v>3</v>
      </c>
      <c r="C493" s="3">
        <v>12</v>
      </c>
      <c r="D493" s="2">
        <v>667</v>
      </c>
      <c r="E493" s="3" t="s">
        <v>154</v>
      </c>
      <c r="F493" s="3">
        <v>2</v>
      </c>
      <c r="G493" s="3" t="s">
        <v>45</v>
      </c>
      <c r="H493" s="3" t="str">
        <f t="shared" si="43"/>
        <v>2011</v>
      </c>
      <c r="I493" s="3">
        <v>13</v>
      </c>
      <c r="J493" s="69"/>
      <c r="K493" t="s">
        <v>236</v>
      </c>
      <c r="L493" t="s">
        <v>317</v>
      </c>
      <c r="M493">
        <v>72.3</v>
      </c>
      <c r="N493" s="3">
        <v>425</v>
      </c>
      <c r="O493" s="3" t="str">
        <f t="shared" si="42"/>
        <v>2007</v>
      </c>
      <c r="P493" s="2">
        <v>667</v>
      </c>
      <c r="T493">
        <v>2.25</v>
      </c>
    </row>
    <row r="494" spans="1:21" x14ac:dyDescent="0.35">
      <c r="A494" s="3">
        <v>2024</v>
      </c>
      <c r="B494" s="3">
        <v>8</v>
      </c>
      <c r="C494" s="3">
        <v>15</v>
      </c>
      <c r="D494" s="2">
        <v>736</v>
      </c>
      <c r="E494" s="3" t="s">
        <v>251</v>
      </c>
      <c r="F494" s="3">
        <v>3</v>
      </c>
      <c r="G494" s="3" t="s">
        <v>225</v>
      </c>
      <c r="H494" s="3" t="str">
        <f t="shared" si="43"/>
        <v>2021</v>
      </c>
      <c r="I494" s="3">
        <v>3</v>
      </c>
      <c r="J494" s="69"/>
      <c r="K494">
        <v>3</v>
      </c>
      <c r="L494">
        <v>3</v>
      </c>
      <c r="M494">
        <v>92.2</v>
      </c>
      <c r="N494" s="3">
        <v>425</v>
      </c>
      <c r="O494" s="3" t="str">
        <f t="shared" si="42"/>
        <v>2021</v>
      </c>
      <c r="P494" s="2">
        <v>736</v>
      </c>
    </row>
    <row r="495" spans="1:21" x14ac:dyDescent="0.35">
      <c r="A495" s="3">
        <v>2024</v>
      </c>
      <c r="B495" s="3">
        <v>8</v>
      </c>
      <c r="C495" s="3">
        <v>19</v>
      </c>
      <c r="D495" s="2">
        <v>808</v>
      </c>
      <c r="E495" s="3" t="s">
        <v>295</v>
      </c>
      <c r="F495" s="3">
        <v>3</v>
      </c>
      <c r="G495" s="3" t="s">
        <v>225</v>
      </c>
      <c r="H495" s="3" t="str">
        <f t="shared" si="43"/>
        <v>2021</v>
      </c>
      <c r="I495" s="3">
        <v>3</v>
      </c>
      <c r="J495" s="69"/>
      <c r="K495">
        <v>3</v>
      </c>
      <c r="L495">
        <v>3</v>
      </c>
      <c r="M495">
        <v>79.5</v>
      </c>
      <c r="N495" s="3">
        <v>425</v>
      </c>
      <c r="O495" s="3" t="str">
        <f t="shared" si="42"/>
        <v>2021</v>
      </c>
      <c r="P495" s="2">
        <v>808</v>
      </c>
    </row>
    <row r="496" spans="1:21" x14ac:dyDescent="0.35">
      <c r="A496" s="3">
        <v>2011</v>
      </c>
      <c r="B496" s="3">
        <v>11</v>
      </c>
      <c r="C496" s="3">
        <v>14</v>
      </c>
      <c r="D496" s="2">
        <v>617</v>
      </c>
      <c r="E496" s="3" t="s">
        <v>1056</v>
      </c>
      <c r="F496" s="3">
        <v>4</v>
      </c>
      <c r="G496" s="3" t="s">
        <v>45</v>
      </c>
      <c r="H496" s="3" t="str">
        <f t="shared" si="43"/>
        <v>2009</v>
      </c>
      <c r="I496" s="3">
        <v>2</v>
      </c>
      <c r="J496" s="69"/>
      <c r="K496" t="s">
        <v>671</v>
      </c>
      <c r="L496" s="3" t="s">
        <v>512</v>
      </c>
      <c r="M496">
        <v>75.3</v>
      </c>
      <c r="N496" s="3">
        <v>430</v>
      </c>
      <c r="O496" s="3" t="str">
        <f t="shared" si="42"/>
        <v>2007</v>
      </c>
      <c r="P496" s="2">
        <v>617</v>
      </c>
    </row>
    <row r="497" spans="1:24" x14ac:dyDescent="0.35">
      <c r="A497" s="3">
        <v>2024</v>
      </c>
      <c r="B497" s="3">
        <v>8</v>
      </c>
      <c r="C497" s="3">
        <v>15</v>
      </c>
      <c r="D497" s="2">
        <v>734</v>
      </c>
      <c r="E497" s="3" t="s">
        <v>250</v>
      </c>
      <c r="F497" s="3">
        <v>3</v>
      </c>
      <c r="G497" s="3" t="s">
        <v>225</v>
      </c>
      <c r="H497" s="3" t="str">
        <f t="shared" si="43"/>
        <v>2021</v>
      </c>
      <c r="I497" s="3">
        <v>3</v>
      </c>
      <c r="J497" s="69"/>
      <c r="K497">
        <v>3</v>
      </c>
      <c r="L497">
        <v>3</v>
      </c>
      <c r="M497">
        <v>86.9</v>
      </c>
      <c r="N497" s="3">
        <v>430</v>
      </c>
      <c r="O497" s="3" t="str">
        <f t="shared" si="42"/>
        <v>2021</v>
      </c>
      <c r="P497" s="2">
        <v>734</v>
      </c>
    </row>
    <row r="498" spans="1:24" x14ac:dyDescent="0.35">
      <c r="A498" s="3">
        <v>2022</v>
      </c>
      <c r="B498" s="3">
        <v>11</v>
      </c>
      <c r="C498" s="3">
        <v>1</v>
      </c>
      <c r="D498" s="2">
        <v>365</v>
      </c>
      <c r="E498" s="3" t="s">
        <v>831</v>
      </c>
      <c r="F498" s="3">
        <v>4</v>
      </c>
      <c r="G498" s="3" t="s">
        <v>41</v>
      </c>
      <c r="H498" s="3" t="str">
        <f t="shared" si="43"/>
        <v>2013</v>
      </c>
      <c r="I498" s="3">
        <v>9</v>
      </c>
      <c r="J498" s="69"/>
      <c r="K498" s="3" t="s">
        <v>583</v>
      </c>
      <c r="L498" s="3" t="s">
        <v>318</v>
      </c>
      <c r="M498" s="3">
        <v>6.5</v>
      </c>
      <c r="N498" s="3">
        <v>431</v>
      </c>
      <c r="O498" s="3" t="str">
        <f t="shared" si="42"/>
        <v>2011</v>
      </c>
      <c r="P498" s="2">
        <v>365</v>
      </c>
    </row>
    <row r="499" spans="1:24" x14ac:dyDescent="0.35">
      <c r="A499" s="3">
        <v>2023</v>
      </c>
      <c r="B499" s="3">
        <v>7</v>
      </c>
      <c r="C499" s="3">
        <v>19</v>
      </c>
      <c r="D499" s="2">
        <v>357</v>
      </c>
      <c r="E499" s="3" t="s">
        <v>823</v>
      </c>
      <c r="F499" s="3">
        <v>3</v>
      </c>
      <c r="G499" s="3" t="s">
        <v>41</v>
      </c>
      <c r="H499" s="3" t="str">
        <f t="shared" si="43"/>
        <v>2013</v>
      </c>
      <c r="I499" s="3">
        <v>10</v>
      </c>
      <c r="J499" s="69"/>
      <c r="K499" s="3" t="s">
        <v>42</v>
      </c>
      <c r="L499" s="3" t="s">
        <v>318</v>
      </c>
      <c r="M499" s="3">
        <v>63.2</v>
      </c>
      <c r="N499" s="3">
        <v>432</v>
      </c>
      <c r="O499" s="3" t="str">
        <f t="shared" si="42"/>
        <v>2011</v>
      </c>
      <c r="P499" s="2">
        <v>357</v>
      </c>
    </row>
    <row r="500" spans="1:24" x14ac:dyDescent="0.35">
      <c r="A500" s="3">
        <v>2024</v>
      </c>
      <c r="B500" s="3">
        <v>2</v>
      </c>
      <c r="C500" s="3">
        <v>23</v>
      </c>
      <c r="D500" s="2">
        <v>639</v>
      </c>
      <c r="E500" s="3" t="s">
        <v>140</v>
      </c>
      <c r="F500" s="3">
        <v>1</v>
      </c>
      <c r="G500" s="3" t="s">
        <v>225</v>
      </c>
      <c r="H500" s="3" t="str">
        <f t="shared" si="43"/>
        <v>2022</v>
      </c>
      <c r="I500" s="3">
        <v>2</v>
      </c>
      <c r="J500" s="69"/>
      <c r="K500" t="s">
        <v>21</v>
      </c>
      <c r="L500" s="3">
        <v>2</v>
      </c>
      <c r="M500">
        <v>87.1</v>
      </c>
      <c r="N500" s="3">
        <v>432</v>
      </c>
      <c r="O500" s="3" t="str">
        <f t="shared" si="42"/>
        <v>2021</v>
      </c>
      <c r="P500" s="2">
        <v>639</v>
      </c>
    </row>
    <row r="501" spans="1:24" x14ac:dyDescent="0.35">
      <c r="A501" s="3">
        <v>2024</v>
      </c>
      <c r="B501" s="3">
        <v>8</v>
      </c>
      <c r="C501" s="3">
        <v>19</v>
      </c>
      <c r="D501" s="2">
        <v>749</v>
      </c>
      <c r="E501" s="3" t="s">
        <v>261</v>
      </c>
      <c r="F501" s="3">
        <v>3</v>
      </c>
      <c r="G501" s="3" t="s">
        <v>225</v>
      </c>
      <c r="H501" s="3" t="str">
        <f t="shared" si="43"/>
        <v>2021</v>
      </c>
      <c r="I501" s="3">
        <v>3</v>
      </c>
      <c r="J501" s="69"/>
      <c r="K501">
        <v>3</v>
      </c>
      <c r="L501">
        <v>3</v>
      </c>
      <c r="M501">
        <v>85.4</v>
      </c>
      <c r="N501" s="3">
        <v>432</v>
      </c>
      <c r="O501" s="3" t="str">
        <f t="shared" si="42"/>
        <v>2021</v>
      </c>
      <c r="P501" s="2">
        <v>749</v>
      </c>
    </row>
    <row r="502" spans="1:24" x14ac:dyDescent="0.35">
      <c r="A502" s="3">
        <v>2023</v>
      </c>
      <c r="B502" s="3">
        <v>2</v>
      </c>
      <c r="C502" s="3">
        <v>3</v>
      </c>
      <c r="D502" s="2">
        <v>136</v>
      </c>
      <c r="E502" s="14" t="s">
        <v>581</v>
      </c>
      <c r="F502" s="15">
        <v>1</v>
      </c>
      <c r="G502" s="3" t="s">
        <v>226</v>
      </c>
      <c r="H502" s="3" t="str">
        <f t="shared" si="43"/>
        <v>2017</v>
      </c>
      <c r="I502" s="3">
        <v>6</v>
      </c>
      <c r="J502" s="69"/>
      <c r="K502" s="3">
        <v>7</v>
      </c>
      <c r="L502" s="3">
        <v>7</v>
      </c>
      <c r="M502" s="3">
        <v>142.6</v>
      </c>
      <c r="N502" s="3">
        <v>433</v>
      </c>
      <c r="O502" s="3" t="str">
        <f t="shared" si="42"/>
        <v>2017</v>
      </c>
      <c r="P502" s="2">
        <v>136</v>
      </c>
      <c r="S502">
        <v>4.43</v>
      </c>
    </row>
    <row r="503" spans="1:24" x14ac:dyDescent="0.35">
      <c r="A503" s="3">
        <v>2021</v>
      </c>
      <c r="B503" s="3">
        <v>10</v>
      </c>
      <c r="C503" s="3">
        <v>11</v>
      </c>
      <c r="D503" s="2">
        <v>459</v>
      </c>
      <c r="E503" s="3" t="s">
        <v>915</v>
      </c>
      <c r="F503" s="3">
        <v>4</v>
      </c>
      <c r="G503" s="3" t="s">
        <v>226</v>
      </c>
      <c r="H503" s="3" t="str">
        <f t="shared" si="43"/>
        <v>2018</v>
      </c>
      <c r="I503" s="3">
        <v>3</v>
      </c>
      <c r="J503" s="69"/>
      <c r="K503" s="3" t="s">
        <v>51</v>
      </c>
      <c r="L503" s="3" t="s">
        <v>916</v>
      </c>
      <c r="M503" s="16">
        <v>70</v>
      </c>
      <c r="N503" s="3">
        <v>433</v>
      </c>
      <c r="O503" s="3" t="str">
        <f t="shared" si="42"/>
        <v>2017</v>
      </c>
      <c r="P503" s="2">
        <v>459</v>
      </c>
    </row>
    <row r="504" spans="1:24" x14ac:dyDescent="0.35">
      <c r="A504" s="3">
        <v>2024</v>
      </c>
      <c r="B504" s="3">
        <v>8</v>
      </c>
      <c r="C504" s="3">
        <v>19</v>
      </c>
      <c r="D504" s="2">
        <v>796</v>
      </c>
      <c r="E504" s="3" t="s">
        <v>287</v>
      </c>
      <c r="F504" s="3">
        <v>3</v>
      </c>
      <c r="G504" s="3" t="s">
        <v>225</v>
      </c>
      <c r="H504" s="3" t="str">
        <f t="shared" si="43"/>
        <v>2021</v>
      </c>
      <c r="I504" s="3">
        <v>3</v>
      </c>
      <c r="J504" s="69"/>
      <c r="K504">
        <v>3</v>
      </c>
      <c r="L504">
        <v>3</v>
      </c>
      <c r="M504">
        <v>83.6</v>
      </c>
      <c r="N504" s="3">
        <v>434</v>
      </c>
      <c r="O504" s="3" t="str">
        <f t="shared" si="42"/>
        <v>2021</v>
      </c>
      <c r="P504" s="2">
        <v>796</v>
      </c>
    </row>
    <row r="505" spans="1:24" x14ac:dyDescent="0.35">
      <c r="A505" s="3">
        <v>2024</v>
      </c>
      <c r="B505" s="3">
        <v>8</v>
      </c>
      <c r="C505" s="3">
        <v>14</v>
      </c>
      <c r="D505" s="2">
        <v>695</v>
      </c>
      <c r="E505" s="3" t="s">
        <v>1114</v>
      </c>
      <c r="F505" s="3">
        <v>3</v>
      </c>
      <c r="G505" s="3" t="s">
        <v>225</v>
      </c>
      <c r="H505" s="3" t="str">
        <f t="shared" si="43"/>
        <v>2021</v>
      </c>
      <c r="I505" s="3">
        <v>3</v>
      </c>
      <c r="J505" s="69"/>
      <c r="K505" t="s">
        <v>1018</v>
      </c>
      <c r="L505">
        <v>1</v>
      </c>
      <c r="M505">
        <v>69.7</v>
      </c>
      <c r="N505" s="3">
        <v>435</v>
      </c>
      <c r="O505" s="3" t="str">
        <f t="shared" si="42"/>
        <v>2021</v>
      </c>
      <c r="P505" s="2">
        <v>695</v>
      </c>
    </row>
    <row r="506" spans="1:24" x14ac:dyDescent="0.35">
      <c r="A506" s="3">
        <v>2023</v>
      </c>
      <c r="B506" s="3">
        <v>7</v>
      </c>
      <c r="C506" s="3">
        <v>28</v>
      </c>
      <c r="D506" s="2">
        <v>420</v>
      </c>
      <c r="E506" s="3" t="s">
        <v>60</v>
      </c>
      <c r="F506" s="3">
        <v>3</v>
      </c>
      <c r="G506" s="3" t="s">
        <v>225</v>
      </c>
      <c r="H506" s="3" t="str">
        <f t="shared" si="43"/>
        <v>2021</v>
      </c>
      <c r="I506" s="3">
        <v>2</v>
      </c>
      <c r="J506" s="69"/>
      <c r="K506" s="3" t="s">
        <v>61</v>
      </c>
      <c r="L506" s="3">
        <v>4</v>
      </c>
      <c r="M506" s="3">
        <v>79.8</v>
      </c>
      <c r="N506" s="3">
        <v>436.8</v>
      </c>
      <c r="O506" s="3" t="str">
        <f t="shared" si="42"/>
        <v>2021</v>
      </c>
      <c r="P506" s="2">
        <v>420</v>
      </c>
    </row>
    <row r="507" spans="1:24" x14ac:dyDescent="0.35">
      <c r="A507" s="3">
        <v>2024</v>
      </c>
      <c r="B507" s="3">
        <v>1</v>
      </c>
      <c r="C507" s="3">
        <v>16</v>
      </c>
      <c r="D507" s="2">
        <v>572</v>
      </c>
      <c r="E507" s="3" t="s">
        <v>1016</v>
      </c>
      <c r="F507" s="3">
        <v>1</v>
      </c>
      <c r="G507" s="3" t="s">
        <v>45</v>
      </c>
      <c r="H507" s="3" t="str">
        <f t="shared" si="43"/>
        <v>2011</v>
      </c>
      <c r="I507" s="3">
        <v>13</v>
      </c>
      <c r="J507" s="69"/>
      <c r="K507" t="s">
        <v>615</v>
      </c>
      <c r="L507" s="3" t="s">
        <v>317</v>
      </c>
      <c r="M507">
        <v>79.2</v>
      </c>
      <c r="N507" s="3">
        <v>437</v>
      </c>
      <c r="O507" s="3" t="str">
        <f t="shared" si="42"/>
        <v>2007</v>
      </c>
      <c r="P507" s="2">
        <v>572</v>
      </c>
    </row>
    <row r="508" spans="1:24" x14ac:dyDescent="0.35">
      <c r="A508" s="3">
        <v>2021</v>
      </c>
      <c r="B508" s="3">
        <v>10</v>
      </c>
      <c r="C508" s="3">
        <v>11</v>
      </c>
      <c r="D508" s="2">
        <v>465</v>
      </c>
      <c r="E508" s="3" t="s">
        <v>922</v>
      </c>
      <c r="F508" s="3">
        <v>4</v>
      </c>
      <c r="G508" s="3" t="s">
        <v>226</v>
      </c>
      <c r="H508" s="3" t="str">
        <f t="shared" si="43"/>
        <v>2018</v>
      </c>
      <c r="I508" s="3">
        <v>3</v>
      </c>
      <c r="J508" s="69"/>
      <c r="K508" s="3" t="s">
        <v>51</v>
      </c>
      <c r="L508" s="3" t="s">
        <v>920</v>
      </c>
      <c r="M508" s="16">
        <v>65</v>
      </c>
      <c r="N508" s="3">
        <v>439</v>
      </c>
      <c r="O508" s="3" t="str">
        <f t="shared" si="42"/>
        <v>2017</v>
      </c>
      <c r="P508" s="2">
        <v>465</v>
      </c>
    </row>
    <row r="509" spans="1:24" x14ac:dyDescent="0.35">
      <c r="A509" s="3">
        <v>2023</v>
      </c>
      <c r="B509" s="3">
        <v>10</v>
      </c>
      <c r="C509" s="3">
        <v>31</v>
      </c>
      <c r="D509" s="2">
        <v>539</v>
      </c>
      <c r="E509" s="3" t="s">
        <v>992</v>
      </c>
      <c r="F509" s="3">
        <v>4</v>
      </c>
      <c r="G509" s="3" t="s">
        <v>225</v>
      </c>
      <c r="H509" s="3" t="str">
        <f t="shared" si="43"/>
        <v>2022</v>
      </c>
      <c r="I509" s="3">
        <v>1</v>
      </c>
      <c r="J509" s="69"/>
      <c r="K509" t="s">
        <v>67</v>
      </c>
      <c r="L509" s="3">
        <v>2</v>
      </c>
      <c r="M509" s="3">
        <v>83.8</v>
      </c>
      <c r="N509" s="3">
        <v>439</v>
      </c>
      <c r="O509" s="3" t="str">
        <f t="shared" si="42"/>
        <v>2021</v>
      </c>
      <c r="P509" s="2">
        <v>539</v>
      </c>
    </row>
    <row r="510" spans="1:24" x14ac:dyDescent="0.35">
      <c r="A510" s="3">
        <v>2024</v>
      </c>
      <c r="B510" s="3">
        <v>3</v>
      </c>
      <c r="C510" s="3">
        <v>28</v>
      </c>
      <c r="D510" s="2">
        <v>659</v>
      </c>
      <c r="E510" s="3" t="s">
        <v>149</v>
      </c>
      <c r="F510" s="3">
        <v>2</v>
      </c>
      <c r="G510" s="3" t="s">
        <v>41</v>
      </c>
      <c r="H510" s="3" t="str">
        <f t="shared" si="43"/>
        <v>2013</v>
      </c>
      <c r="I510" s="3">
        <v>11</v>
      </c>
      <c r="J510" s="69"/>
      <c r="K510" t="s">
        <v>42</v>
      </c>
      <c r="L510" t="s">
        <v>318</v>
      </c>
      <c r="M510">
        <v>78.900000000000006</v>
      </c>
      <c r="N510" s="3">
        <v>440</v>
      </c>
      <c r="O510" s="3" t="str">
        <f t="shared" si="42"/>
        <v>2011</v>
      </c>
      <c r="P510" s="2">
        <v>659</v>
      </c>
      <c r="Q510" s="2">
        <v>3.26</v>
      </c>
      <c r="X510">
        <v>5.0199999999999996</v>
      </c>
    </row>
    <row r="511" spans="1:24" x14ac:dyDescent="0.35">
      <c r="A511" s="3">
        <v>2021</v>
      </c>
      <c r="B511" s="3">
        <v>4</v>
      </c>
      <c r="C511" s="3">
        <v>13</v>
      </c>
      <c r="D511" s="2">
        <v>491</v>
      </c>
      <c r="E511" s="3" t="s">
        <v>945</v>
      </c>
      <c r="F511" s="3">
        <v>2</v>
      </c>
      <c r="G511" s="3" t="s">
        <v>226</v>
      </c>
      <c r="H511" s="3" t="str">
        <f t="shared" si="43"/>
        <v>2018</v>
      </c>
      <c r="I511" s="3">
        <v>3</v>
      </c>
      <c r="J511" s="69"/>
      <c r="K511" s="3" t="s">
        <v>51</v>
      </c>
      <c r="L511" s="3" t="s">
        <v>920</v>
      </c>
      <c r="M511" s="16">
        <v>60</v>
      </c>
      <c r="N511" s="3">
        <v>440</v>
      </c>
      <c r="O511" s="3" t="str">
        <f t="shared" si="42"/>
        <v>2017</v>
      </c>
      <c r="P511" s="2">
        <v>491</v>
      </c>
    </row>
    <row r="512" spans="1:24" x14ac:dyDescent="0.35">
      <c r="A512" s="3">
        <v>2024</v>
      </c>
      <c r="B512" s="3">
        <v>8</v>
      </c>
      <c r="C512" s="3">
        <v>9</v>
      </c>
      <c r="D512" s="2">
        <v>768</v>
      </c>
      <c r="E512" s="3" t="s">
        <v>1159</v>
      </c>
      <c r="F512" s="3">
        <v>3</v>
      </c>
      <c r="G512" s="3" t="s">
        <v>41</v>
      </c>
      <c r="H512" s="3" t="str">
        <f t="shared" si="43"/>
        <v>2013</v>
      </c>
      <c r="I512" s="3">
        <v>11</v>
      </c>
      <c r="J512" s="69"/>
      <c r="K512" s="6" t="s">
        <v>509</v>
      </c>
      <c r="L512" t="s">
        <v>458</v>
      </c>
      <c r="M512">
        <v>87.8</v>
      </c>
      <c r="N512" s="3">
        <v>440</v>
      </c>
      <c r="O512" s="3" t="str">
        <f t="shared" si="42"/>
        <v>2011</v>
      </c>
      <c r="P512" s="2">
        <v>768</v>
      </c>
    </row>
    <row r="513" spans="1:23" x14ac:dyDescent="0.35">
      <c r="A513" s="3">
        <v>2024</v>
      </c>
      <c r="B513" s="3">
        <v>8</v>
      </c>
      <c r="C513" s="3">
        <v>19</v>
      </c>
      <c r="D513" s="2">
        <v>798</v>
      </c>
      <c r="E513" s="3" t="s">
        <v>288</v>
      </c>
      <c r="F513" s="3">
        <v>3</v>
      </c>
      <c r="G513" s="3" t="s">
        <v>225</v>
      </c>
      <c r="H513" s="3" t="str">
        <f t="shared" si="43"/>
        <v>2021</v>
      </c>
      <c r="I513" s="3">
        <v>3</v>
      </c>
      <c r="J513" s="69"/>
      <c r="K513">
        <v>3</v>
      </c>
      <c r="L513">
        <v>3</v>
      </c>
      <c r="M513">
        <v>86.2</v>
      </c>
      <c r="N513" s="3">
        <v>440</v>
      </c>
      <c r="O513" s="3" t="str">
        <f t="shared" si="42"/>
        <v>2021</v>
      </c>
      <c r="P513" s="2">
        <v>798</v>
      </c>
    </row>
    <row r="514" spans="1:23" x14ac:dyDescent="0.35">
      <c r="A514" s="3">
        <v>2024</v>
      </c>
      <c r="B514" s="3">
        <v>1</v>
      </c>
      <c r="C514" s="3">
        <v>19</v>
      </c>
      <c r="D514" s="2">
        <v>598</v>
      </c>
      <c r="E514" s="3" t="s">
        <v>1042</v>
      </c>
      <c r="F514" s="3">
        <v>1</v>
      </c>
      <c r="G514" s="3" t="s">
        <v>41</v>
      </c>
      <c r="H514" s="3" t="str">
        <f t="shared" si="43"/>
        <v>2012</v>
      </c>
      <c r="I514" s="3">
        <v>12</v>
      </c>
      <c r="J514" s="69"/>
      <c r="K514" t="s">
        <v>541</v>
      </c>
      <c r="L514" s="3" t="s">
        <v>461</v>
      </c>
      <c r="M514">
        <v>89.5</v>
      </c>
      <c r="N514" s="3">
        <v>441</v>
      </c>
      <c r="O514" s="3" t="str">
        <f t="shared" ref="O514:O577" si="44">IF(G514="PHD", "2007", IF(G514="TSL", "2011", IF(G514 = "SRS", "2018", IF(G514="WCA 3B", "2017", IF(G514="WCA 3A", "2021")))))</f>
        <v>2011</v>
      </c>
      <c r="P514" s="2">
        <v>598</v>
      </c>
      <c r="S514">
        <v>4.3600000000000003</v>
      </c>
    </row>
    <row r="515" spans="1:23" x14ac:dyDescent="0.35">
      <c r="A515" s="3">
        <v>2023</v>
      </c>
      <c r="B515" s="3">
        <v>7</v>
      </c>
      <c r="C515" s="3">
        <v>26</v>
      </c>
      <c r="D515" s="2">
        <v>450</v>
      </c>
      <c r="E515" s="3" t="s">
        <v>75</v>
      </c>
      <c r="F515" s="3">
        <v>3</v>
      </c>
      <c r="G515" s="3" t="s">
        <v>225</v>
      </c>
      <c r="H515" s="3" t="str">
        <f t="shared" si="43"/>
        <v>2021</v>
      </c>
      <c r="I515" s="3">
        <v>2</v>
      </c>
      <c r="J515" s="69"/>
      <c r="K515" s="3" t="s">
        <v>76</v>
      </c>
      <c r="L515" s="3">
        <v>1</v>
      </c>
      <c r="M515" s="3">
        <v>88.7</v>
      </c>
      <c r="N515" s="3">
        <v>444</v>
      </c>
      <c r="O515" s="3" t="str">
        <f t="shared" si="44"/>
        <v>2021</v>
      </c>
      <c r="P515" s="2">
        <v>450</v>
      </c>
      <c r="W515">
        <v>4.13</v>
      </c>
    </row>
    <row r="516" spans="1:23" x14ac:dyDescent="0.35">
      <c r="A516" s="3">
        <v>2023</v>
      </c>
      <c r="B516" s="3">
        <v>11</v>
      </c>
      <c r="C516" s="3">
        <v>3</v>
      </c>
      <c r="D516" s="2">
        <v>530</v>
      </c>
      <c r="E516" s="3" t="s">
        <v>118</v>
      </c>
      <c r="F516" s="3">
        <v>4</v>
      </c>
      <c r="G516" s="3" t="s">
        <v>225</v>
      </c>
      <c r="H516" s="3" t="str">
        <f t="shared" si="43"/>
        <v>2022</v>
      </c>
      <c r="I516" s="3">
        <v>1</v>
      </c>
      <c r="J516" s="69"/>
      <c r="K516" s="3">
        <v>2</v>
      </c>
      <c r="L516" s="3">
        <v>2</v>
      </c>
      <c r="M516" s="3">
        <v>83.6</v>
      </c>
      <c r="N516" s="3">
        <v>444</v>
      </c>
      <c r="O516" s="3" t="str">
        <f t="shared" si="44"/>
        <v>2021</v>
      </c>
      <c r="P516" s="2">
        <v>530</v>
      </c>
    </row>
    <row r="517" spans="1:23" x14ac:dyDescent="0.35">
      <c r="A517" s="3">
        <v>2023</v>
      </c>
      <c r="B517" s="3">
        <v>8</v>
      </c>
      <c r="C517" s="3">
        <v>2</v>
      </c>
      <c r="D517" s="2">
        <v>414</v>
      </c>
      <c r="E517" s="3" t="s">
        <v>877</v>
      </c>
      <c r="F517" s="3">
        <v>3</v>
      </c>
      <c r="G517" s="3" t="s">
        <v>226</v>
      </c>
      <c r="H517" s="3" t="str">
        <f t="shared" si="43"/>
        <v>2017</v>
      </c>
      <c r="I517" s="3">
        <v>6</v>
      </c>
      <c r="J517" s="69"/>
      <c r="K517" s="3" t="s">
        <v>878</v>
      </c>
      <c r="L517" s="3">
        <v>7</v>
      </c>
      <c r="M517" s="3">
        <v>93.1</v>
      </c>
      <c r="N517" s="3">
        <v>444.5</v>
      </c>
      <c r="O517" s="3" t="str">
        <f t="shared" si="44"/>
        <v>2017</v>
      </c>
      <c r="P517" s="2">
        <v>414</v>
      </c>
    </row>
    <row r="518" spans="1:23" x14ac:dyDescent="0.35">
      <c r="A518" s="3">
        <v>2023</v>
      </c>
      <c r="B518" s="3">
        <v>8</v>
      </c>
      <c r="C518" s="3">
        <v>2</v>
      </c>
      <c r="D518" s="2">
        <v>421</v>
      </c>
      <c r="E518" s="3" t="s">
        <v>63</v>
      </c>
      <c r="F518" s="3">
        <v>3</v>
      </c>
      <c r="G518" s="3" t="s">
        <v>226</v>
      </c>
      <c r="H518" s="3" t="str">
        <f t="shared" si="43"/>
        <v>2017</v>
      </c>
      <c r="I518" s="3">
        <v>6</v>
      </c>
      <c r="J518" s="69"/>
      <c r="K518" s="3" t="s">
        <v>64</v>
      </c>
      <c r="L518" s="3">
        <v>7</v>
      </c>
      <c r="M518" s="3">
        <v>87.8</v>
      </c>
      <c r="N518" s="3">
        <v>444.5</v>
      </c>
      <c r="O518" s="3" t="str">
        <f t="shared" si="44"/>
        <v>2017</v>
      </c>
      <c r="P518" s="2">
        <v>421</v>
      </c>
    </row>
    <row r="519" spans="1:23" x14ac:dyDescent="0.35">
      <c r="A519" s="3">
        <v>2024</v>
      </c>
      <c r="B519" s="3">
        <v>1</v>
      </c>
      <c r="C519" s="3">
        <v>26</v>
      </c>
      <c r="D519" s="2">
        <v>552</v>
      </c>
      <c r="E519" s="3" t="s">
        <v>126</v>
      </c>
      <c r="F519" s="3">
        <v>1</v>
      </c>
      <c r="G519" s="3" t="s">
        <v>225</v>
      </c>
      <c r="H519" s="3" t="str">
        <f t="shared" ref="H519:H582" si="45">IF(L519="A55","2009",IF(L519="A59","2009",IF(L519="A60","2010",IF(L519="A62","2011",IF(L519="CP","2013",IF(L519="MD","2012",IF(L519="TS","2013",IF(L519="DL","2018",IF(L519="SCU","2018",IF(L519="NCU","2018",IF(L519="C1C","2018",IF(L519="C1E","2018",IF(L519="RS1S","2018",IF(L519="C2B","2018",IF(L519="DB3","2018",IF(AND(L519=6,G519="SRS"),"2018",IF(AND(L519=7,G519="SRS"),"2020",IF(AND(L519=8,G519="SRS"),"2020",IF(L519=23,"2019",IF(AND(L519=7,G519="WCA 3B"),"2017",IF(AND(L519=8,G519="WCA 3B"),"2019",IF(L519=1,"2021",IF(L519=2,"2022",IF(L519=3,"2021",IF(L519=4,"2021",IF(L519=5,"2022",IF(AND(L519=6,G519="WCA 3A"),"2022",IF(L519=9,"2023",IF(L519=10,"2023",IF(L519=37,"2020"))))))))))))))))))))))))))))))</f>
        <v>2021</v>
      </c>
      <c r="I519" s="3">
        <v>3</v>
      </c>
      <c r="J519" s="69"/>
      <c r="K519" t="s">
        <v>76</v>
      </c>
      <c r="L519">
        <v>1</v>
      </c>
      <c r="M519">
        <v>85.5</v>
      </c>
      <c r="N519" s="3">
        <v>445</v>
      </c>
      <c r="O519" s="3" t="str">
        <f t="shared" si="44"/>
        <v>2021</v>
      </c>
      <c r="P519" s="2">
        <v>552</v>
      </c>
      <c r="S519">
        <v>4.54</v>
      </c>
    </row>
    <row r="520" spans="1:23" x14ac:dyDescent="0.35">
      <c r="A520" s="3">
        <v>2023</v>
      </c>
      <c r="B520" s="3">
        <v>7</v>
      </c>
      <c r="C520" s="3">
        <v>18</v>
      </c>
      <c r="D520" s="2">
        <v>341</v>
      </c>
      <c r="E520" s="3" t="s">
        <v>807</v>
      </c>
      <c r="F520" s="3">
        <v>3</v>
      </c>
      <c r="G520" s="3" t="s">
        <v>41</v>
      </c>
      <c r="H520" s="3" t="str">
        <f t="shared" si="45"/>
        <v>2012</v>
      </c>
      <c r="I520" s="3">
        <v>11</v>
      </c>
      <c r="J520" s="69"/>
      <c r="K520" s="3" t="s">
        <v>551</v>
      </c>
      <c r="L520" s="3" t="s">
        <v>461</v>
      </c>
      <c r="M520" s="3">
        <v>68.8</v>
      </c>
      <c r="N520" s="3">
        <v>445</v>
      </c>
      <c r="O520" s="3" t="str">
        <f t="shared" si="44"/>
        <v>2011</v>
      </c>
      <c r="P520" s="2">
        <v>341</v>
      </c>
    </row>
    <row r="521" spans="1:23" x14ac:dyDescent="0.35">
      <c r="A521" s="3">
        <v>2024</v>
      </c>
      <c r="B521" s="3">
        <v>8</v>
      </c>
      <c r="C521" s="3">
        <v>19</v>
      </c>
      <c r="D521" s="2">
        <v>726</v>
      </c>
      <c r="E521" s="3" t="s">
        <v>1142</v>
      </c>
      <c r="F521" s="3">
        <v>3</v>
      </c>
      <c r="G521" s="3" t="s">
        <v>225</v>
      </c>
      <c r="H521" s="3" t="str">
        <f t="shared" si="45"/>
        <v>2021</v>
      </c>
      <c r="I521" s="3">
        <v>3</v>
      </c>
      <c r="J521" s="69"/>
      <c r="K521">
        <v>3</v>
      </c>
      <c r="L521">
        <v>3</v>
      </c>
      <c r="M521">
        <v>91</v>
      </c>
      <c r="N521" s="3">
        <v>445</v>
      </c>
      <c r="O521" s="3" t="str">
        <f t="shared" si="44"/>
        <v>2021</v>
      </c>
      <c r="P521" s="2">
        <v>726</v>
      </c>
    </row>
    <row r="522" spans="1:23" x14ac:dyDescent="0.35">
      <c r="A522" s="3">
        <v>2024</v>
      </c>
      <c r="B522" s="3">
        <v>8</v>
      </c>
      <c r="C522" s="3">
        <v>19</v>
      </c>
      <c r="D522" s="2">
        <v>797</v>
      </c>
      <c r="E522" s="3" t="s">
        <v>1172</v>
      </c>
      <c r="F522" s="3">
        <v>3</v>
      </c>
      <c r="G522" s="3" t="s">
        <v>225</v>
      </c>
      <c r="H522" s="3" t="str">
        <f t="shared" si="45"/>
        <v>2021</v>
      </c>
      <c r="I522" s="3">
        <v>3</v>
      </c>
      <c r="J522" s="69"/>
      <c r="K522">
        <v>3</v>
      </c>
      <c r="L522">
        <v>3</v>
      </c>
      <c r="M522">
        <v>87.3</v>
      </c>
      <c r="N522" s="3">
        <v>445</v>
      </c>
      <c r="O522" s="3" t="str">
        <f t="shared" si="44"/>
        <v>2021</v>
      </c>
      <c r="P522" s="2">
        <v>797</v>
      </c>
    </row>
    <row r="523" spans="1:23" x14ac:dyDescent="0.35">
      <c r="A523" s="3">
        <v>2024</v>
      </c>
      <c r="B523">
        <v>8</v>
      </c>
      <c r="C523" s="3">
        <v>15</v>
      </c>
      <c r="D523" s="2">
        <v>828</v>
      </c>
      <c r="E523" s="3" t="s">
        <v>1182</v>
      </c>
      <c r="F523" s="3">
        <v>3</v>
      </c>
      <c r="G523" s="3" t="s">
        <v>225</v>
      </c>
      <c r="H523" s="3" t="str">
        <f t="shared" si="45"/>
        <v>2021</v>
      </c>
      <c r="I523" s="3">
        <v>3</v>
      </c>
      <c r="J523" s="69"/>
      <c r="K523" t="s">
        <v>237</v>
      </c>
      <c r="L523">
        <v>3</v>
      </c>
      <c r="M523">
        <v>91.2</v>
      </c>
      <c r="N523" s="3">
        <v>445</v>
      </c>
      <c r="O523" s="3" t="str">
        <f t="shared" si="44"/>
        <v>2021</v>
      </c>
      <c r="P523" s="2">
        <v>828</v>
      </c>
    </row>
    <row r="524" spans="1:23" x14ac:dyDescent="0.35">
      <c r="A524" s="3">
        <v>2023</v>
      </c>
      <c r="B524" s="3">
        <v>7</v>
      </c>
      <c r="C524" s="3">
        <v>17</v>
      </c>
      <c r="D524" s="2">
        <v>381</v>
      </c>
      <c r="E524" s="3" t="s">
        <v>44</v>
      </c>
      <c r="F524" s="3">
        <v>3</v>
      </c>
      <c r="G524" s="3" t="s">
        <v>45</v>
      </c>
      <c r="H524" s="3" t="str">
        <f t="shared" si="45"/>
        <v>2011</v>
      </c>
      <c r="I524" s="3">
        <v>12</v>
      </c>
      <c r="J524" s="69"/>
      <c r="K524" s="3" t="s">
        <v>46</v>
      </c>
      <c r="L524" s="3" t="s">
        <v>317</v>
      </c>
      <c r="M524" s="3">
        <v>70.7</v>
      </c>
      <c r="N524" s="3">
        <v>446</v>
      </c>
      <c r="O524" s="3" t="str">
        <f t="shared" si="44"/>
        <v>2007</v>
      </c>
      <c r="P524" s="2">
        <v>381</v>
      </c>
    </row>
    <row r="525" spans="1:23" x14ac:dyDescent="0.35">
      <c r="A525" s="3">
        <v>2024</v>
      </c>
      <c r="B525" s="3">
        <v>8</v>
      </c>
      <c r="C525" s="3">
        <v>19</v>
      </c>
      <c r="D525" s="2">
        <v>728</v>
      </c>
      <c r="E525" s="3" t="s">
        <v>1144</v>
      </c>
      <c r="F525" s="3">
        <v>3</v>
      </c>
      <c r="G525" s="3" t="s">
        <v>225</v>
      </c>
      <c r="H525" s="3" t="str">
        <f t="shared" si="45"/>
        <v>2021</v>
      </c>
      <c r="I525" s="3">
        <v>3</v>
      </c>
      <c r="J525" s="69"/>
      <c r="K525">
        <v>3</v>
      </c>
      <c r="L525">
        <v>3</v>
      </c>
      <c r="M525">
        <v>97.4</v>
      </c>
      <c r="N525" s="3">
        <v>446</v>
      </c>
      <c r="O525" s="3" t="str">
        <f t="shared" si="44"/>
        <v>2021</v>
      </c>
      <c r="P525" s="2">
        <v>728</v>
      </c>
    </row>
    <row r="526" spans="1:23" x14ac:dyDescent="0.35">
      <c r="A526" s="3">
        <v>2019</v>
      </c>
      <c r="B526" s="3">
        <v>3</v>
      </c>
      <c r="C526" s="3">
        <v>4</v>
      </c>
      <c r="D526" s="2">
        <v>165</v>
      </c>
      <c r="E526" s="3" t="s">
        <v>613</v>
      </c>
      <c r="F526" s="3">
        <v>2</v>
      </c>
      <c r="G526" s="3" t="s">
        <v>226</v>
      </c>
      <c r="H526" s="3" t="str">
        <f t="shared" si="45"/>
        <v>2017</v>
      </c>
      <c r="I526" s="3">
        <v>2</v>
      </c>
      <c r="J526" s="69"/>
      <c r="K526" s="3" t="s">
        <v>228</v>
      </c>
      <c r="L526" s="3">
        <v>7</v>
      </c>
      <c r="M526" s="3">
        <v>90.8</v>
      </c>
      <c r="N526" s="3">
        <v>447</v>
      </c>
      <c r="O526" s="3" t="str">
        <f t="shared" si="44"/>
        <v>2017</v>
      </c>
      <c r="P526" s="2">
        <v>165</v>
      </c>
      <c r="S526">
        <v>2.42</v>
      </c>
    </row>
    <row r="527" spans="1:23" x14ac:dyDescent="0.35">
      <c r="A527" s="3">
        <v>2021</v>
      </c>
      <c r="B527" s="3">
        <v>11</v>
      </c>
      <c r="C527" s="3">
        <v>3</v>
      </c>
      <c r="D527" s="2">
        <v>19</v>
      </c>
      <c r="E527" s="3" t="s">
        <v>463</v>
      </c>
      <c r="F527" s="3">
        <v>4</v>
      </c>
      <c r="G527" s="3" t="s">
        <v>20</v>
      </c>
      <c r="H527" s="3" t="str">
        <f t="shared" si="45"/>
        <v>2019</v>
      </c>
      <c r="I527" s="3">
        <v>2</v>
      </c>
      <c r="J527" s="69"/>
      <c r="K527" s="3">
        <v>23</v>
      </c>
      <c r="L527" s="3">
        <v>23</v>
      </c>
      <c r="M527" s="3">
        <v>99.7</v>
      </c>
      <c r="N527" s="3">
        <v>450</v>
      </c>
      <c r="O527" s="3" t="str">
        <f t="shared" si="44"/>
        <v>2018</v>
      </c>
      <c r="P527" s="2">
        <v>19</v>
      </c>
    </row>
    <row r="528" spans="1:23" x14ac:dyDescent="0.35">
      <c r="A528" s="3">
        <v>2024</v>
      </c>
      <c r="B528" s="3">
        <v>8</v>
      </c>
      <c r="C528" s="3">
        <v>19</v>
      </c>
      <c r="D528" s="2">
        <v>741</v>
      </c>
      <c r="E528" s="3" t="s">
        <v>254</v>
      </c>
      <c r="F528" s="3">
        <v>3</v>
      </c>
      <c r="G528" s="3" t="s">
        <v>225</v>
      </c>
      <c r="H528" s="3" t="str">
        <f t="shared" si="45"/>
        <v>2021</v>
      </c>
      <c r="I528" s="3">
        <v>3</v>
      </c>
      <c r="J528" s="69"/>
      <c r="K528">
        <v>3</v>
      </c>
      <c r="L528">
        <v>3</v>
      </c>
      <c r="M528">
        <v>93</v>
      </c>
      <c r="N528" s="3">
        <v>450</v>
      </c>
      <c r="O528" s="3" t="str">
        <f t="shared" si="44"/>
        <v>2021</v>
      </c>
      <c r="P528" s="2">
        <v>741</v>
      </c>
    </row>
    <row r="529" spans="1:25" x14ac:dyDescent="0.35">
      <c r="A529" s="3">
        <v>2024</v>
      </c>
      <c r="B529" s="3">
        <v>8</v>
      </c>
      <c r="C529" s="3">
        <v>19</v>
      </c>
      <c r="D529" s="2">
        <v>752</v>
      </c>
      <c r="E529" s="3" t="s">
        <v>263</v>
      </c>
      <c r="F529" s="3">
        <v>3</v>
      </c>
      <c r="G529" s="3" t="s">
        <v>225</v>
      </c>
      <c r="H529" s="3" t="str">
        <f t="shared" si="45"/>
        <v>2021</v>
      </c>
      <c r="I529" s="3">
        <v>3</v>
      </c>
      <c r="J529" s="69"/>
      <c r="K529">
        <v>3</v>
      </c>
      <c r="L529">
        <v>3</v>
      </c>
      <c r="M529">
        <v>103.2</v>
      </c>
      <c r="N529" s="3">
        <v>450</v>
      </c>
      <c r="O529" s="3" t="str">
        <f t="shared" si="44"/>
        <v>2021</v>
      </c>
      <c r="P529" s="2">
        <v>752</v>
      </c>
    </row>
    <row r="530" spans="1:25" x14ac:dyDescent="0.35">
      <c r="A530" s="3">
        <v>2019</v>
      </c>
      <c r="B530" s="3">
        <v>11</v>
      </c>
      <c r="C530" s="3">
        <v>27</v>
      </c>
      <c r="D530" s="2">
        <v>47</v>
      </c>
      <c r="E530" s="3" t="s">
        <v>490</v>
      </c>
      <c r="F530" s="3">
        <v>4</v>
      </c>
      <c r="G530" s="3" t="s">
        <v>45</v>
      </c>
      <c r="H530" s="3" t="str">
        <f t="shared" si="45"/>
        <v>2009</v>
      </c>
      <c r="I530" s="3">
        <v>10</v>
      </c>
      <c r="J530" s="69"/>
      <c r="K530" s="3" t="s">
        <v>488</v>
      </c>
      <c r="L530" s="3" t="s">
        <v>488</v>
      </c>
      <c r="M530" s="3">
        <v>80.3</v>
      </c>
      <c r="N530" s="3">
        <v>451</v>
      </c>
      <c r="O530" s="3" t="str">
        <f t="shared" si="44"/>
        <v>2007</v>
      </c>
      <c r="P530" s="2">
        <v>47</v>
      </c>
      <c r="S530">
        <v>3.85</v>
      </c>
    </row>
    <row r="531" spans="1:25" x14ac:dyDescent="0.35">
      <c r="A531" s="3">
        <v>2016</v>
      </c>
      <c r="B531" s="3">
        <v>9</v>
      </c>
      <c r="C531" s="3">
        <v>1</v>
      </c>
      <c r="D531" s="2">
        <v>236</v>
      </c>
      <c r="E531" s="3" t="s">
        <v>694</v>
      </c>
      <c r="F531" s="3">
        <v>3</v>
      </c>
      <c r="G531" s="3" t="s">
        <v>45</v>
      </c>
      <c r="H531" s="3" t="str">
        <f t="shared" si="45"/>
        <v>2011</v>
      </c>
      <c r="I531" s="3">
        <v>5</v>
      </c>
      <c r="J531" s="69"/>
      <c r="K531" s="3" t="s">
        <v>647</v>
      </c>
      <c r="L531" s="3" t="s">
        <v>317</v>
      </c>
      <c r="M531" s="3">
        <v>98.7</v>
      </c>
      <c r="N531" s="3">
        <v>454</v>
      </c>
      <c r="O531" s="3" t="str">
        <f t="shared" si="44"/>
        <v>2007</v>
      </c>
      <c r="P531" s="2">
        <v>236</v>
      </c>
    </row>
    <row r="532" spans="1:25" x14ac:dyDescent="0.35">
      <c r="A532" s="3">
        <v>2011</v>
      </c>
      <c r="B532" s="3">
        <v>11</v>
      </c>
      <c r="C532" s="3">
        <v>14</v>
      </c>
      <c r="D532" s="2">
        <v>618</v>
      </c>
      <c r="E532" s="3" t="s">
        <v>1057</v>
      </c>
      <c r="F532" s="3">
        <v>4</v>
      </c>
      <c r="G532" s="3" t="s">
        <v>45</v>
      </c>
      <c r="H532" s="3" t="str">
        <f t="shared" si="45"/>
        <v>2009</v>
      </c>
      <c r="I532" s="3">
        <v>2</v>
      </c>
      <c r="J532" s="69"/>
      <c r="K532" t="s">
        <v>711</v>
      </c>
      <c r="L532" s="3" t="s">
        <v>512</v>
      </c>
      <c r="M532">
        <v>89.3</v>
      </c>
      <c r="N532" s="3">
        <v>455</v>
      </c>
      <c r="O532" s="3" t="str">
        <f t="shared" si="44"/>
        <v>2007</v>
      </c>
      <c r="P532" s="2">
        <v>618</v>
      </c>
      <c r="Q532" s="2">
        <v>2.41</v>
      </c>
    </row>
    <row r="533" spans="1:25" x14ac:dyDescent="0.35">
      <c r="A533" s="3">
        <v>2023</v>
      </c>
      <c r="B533" s="3">
        <v>7</v>
      </c>
      <c r="C533" s="3">
        <v>18</v>
      </c>
      <c r="D533" s="2">
        <v>339</v>
      </c>
      <c r="E533" s="3" t="s">
        <v>805</v>
      </c>
      <c r="F533" s="3">
        <v>3</v>
      </c>
      <c r="G533" s="3" t="s">
        <v>41</v>
      </c>
      <c r="H533" s="3" t="str">
        <f t="shared" si="45"/>
        <v>2012</v>
      </c>
      <c r="I533" s="3">
        <v>11</v>
      </c>
      <c r="J533" s="69"/>
      <c r="K533" s="3" t="s">
        <v>551</v>
      </c>
      <c r="L533" s="3" t="s">
        <v>461</v>
      </c>
      <c r="M533" s="3">
        <v>8.5</v>
      </c>
      <c r="N533" s="3">
        <v>456</v>
      </c>
      <c r="O533" s="3" t="str">
        <f t="shared" si="44"/>
        <v>2011</v>
      </c>
      <c r="P533" s="2">
        <v>339</v>
      </c>
      <c r="S533">
        <v>3.5</v>
      </c>
    </row>
    <row r="534" spans="1:25" x14ac:dyDescent="0.35">
      <c r="A534" s="3">
        <v>2021</v>
      </c>
      <c r="B534" s="3">
        <v>10</v>
      </c>
      <c r="C534" s="3" t="s">
        <v>28</v>
      </c>
      <c r="D534" s="2">
        <v>6</v>
      </c>
      <c r="E534" s="3" t="s">
        <v>449</v>
      </c>
      <c r="F534" s="3">
        <v>4</v>
      </c>
      <c r="G534" s="3" t="s">
        <v>41</v>
      </c>
      <c r="H534" s="3" t="str">
        <f t="shared" si="45"/>
        <v>2013</v>
      </c>
      <c r="I534" s="3">
        <v>8</v>
      </c>
      <c r="J534" s="69"/>
      <c r="K534" s="3" t="s">
        <v>318</v>
      </c>
      <c r="L534" s="3" t="s">
        <v>318</v>
      </c>
      <c r="M534" s="3">
        <v>101.5</v>
      </c>
      <c r="N534" s="3">
        <v>457</v>
      </c>
      <c r="O534" s="3" t="str">
        <f t="shared" si="44"/>
        <v>2011</v>
      </c>
      <c r="P534" s="2">
        <v>6</v>
      </c>
    </row>
    <row r="535" spans="1:25" x14ac:dyDescent="0.35">
      <c r="A535" s="3">
        <v>2023</v>
      </c>
      <c r="B535" s="3">
        <v>7</v>
      </c>
      <c r="C535" s="3">
        <v>19</v>
      </c>
      <c r="D535" s="2">
        <v>351</v>
      </c>
      <c r="E535" s="3" t="s">
        <v>817</v>
      </c>
      <c r="F535" s="3">
        <v>3</v>
      </c>
      <c r="G535" s="3" t="s">
        <v>41</v>
      </c>
      <c r="H535" s="3" t="str">
        <f t="shared" si="45"/>
        <v>2013</v>
      </c>
      <c r="I535" s="3">
        <v>10</v>
      </c>
      <c r="J535" s="69"/>
      <c r="K535" s="3" t="s">
        <v>583</v>
      </c>
      <c r="L535" s="3" t="s">
        <v>318</v>
      </c>
      <c r="M535" s="3">
        <v>86.2</v>
      </c>
      <c r="N535" s="3">
        <v>457</v>
      </c>
      <c r="O535" s="3" t="str">
        <f t="shared" si="44"/>
        <v>2011</v>
      </c>
      <c r="P535" s="2">
        <v>351</v>
      </c>
    </row>
    <row r="536" spans="1:25" x14ac:dyDescent="0.35">
      <c r="A536" s="3">
        <v>2024</v>
      </c>
      <c r="B536" s="3">
        <v>1</v>
      </c>
      <c r="C536" s="3">
        <v>30</v>
      </c>
      <c r="D536" s="2">
        <v>628</v>
      </c>
      <c r="E536" s="3" t="s">
        <v>137</v>
      </c>
      <c r="F536" s="3">
        <v>1</v>
      </c>
      <c r="G536" s="3" t="s">
        <v>225</v>
      </c>
      <c r="H536" s="3" t="str">
        <f t="shared" si="45"/>
        <v>2022</v>
      </c>
      <c r="I536" s="3">
        <v>2</v>
      </c>
      <c r="J536" s="69"/>
      <c r="K536" t="s">
        <v>83</v>
      </c>
      <c r="L536">
        <v>2</v>
      </c>
      <c r="M536">
        <v>84.2</v>
      </c>
      <c r="N536" s="3">
        <v>459</v>
      </c>
      <c r="O536" s="3" t="str">
        <f t="shared" si="44"/>
        <v>2021</v>
      </c>
      <c r="P536" s="2">
        <v>628</v>
      </c>
    </row>
    <row r="537" spans="1:25" x14ac:dyDescent="0.35">
      <c r="A537" s="3">
        <v>2024</v>
      </c>
      <c r="B537" s="3">
        <v>8</v>
      </c>
      <c r="C537" s="3">
        <v>19</v>
      </c>
      <c r="D537" s="2">
        <v>755</v>
      </c>
      <c r="E537" s="3" t="s">
        <v>266</v>
      </c>
      <c r="F537" s="3">
        <v>3</v>
      </c>
      <c r="G537" s="3" t="s">
        <v>225</v>
      </c>
      <c r="H537" s="3" t="str">
        <f t="shared" si="45"/>
        <v>2021</v>
      </c>
      <c r="I537" s="3">
        <v>3</v>
      </c>
      <c r="J537" s="69"/>
      <c r="K537">
        <v>3</v>
      </c>
      <c r="L537">
        <v>3</v>
      </c>
      <c r="M537">
        <v>98.6</v>
      </c>
      <c r="N537" s="3">
        <v>460</v>
      </c>
      <c r="O537" s="3" t="str">
        <f t="shared" si="44"/>
        <v>2021</v>
      </c>
      <c r="P537" s="2">
        <v>755</v>
      </c>
    </row>
    <row r="538" spans="1:25" x14ac:dyDescent="0.35">
      <c r="A538" s="3">
        <v>2023</v>
      </c>
      <c r="B538" s="3">
        <v>2</v>
      </c>
      <c r="C538" s="3">
        <v>10</v>
      </c>
      <c r="D538" s="2">
        <v>143</v>
      </c>
      <c r="E538" s="14" t="s">
        <v>90</v>
      </c>
      <c r="F538" s="15">
        <v>1</v>
      </c>
      <c r="G538" s="3" t="s">
        <v>41</v>
      </c>
      <c r="H538" s="3" t="str">
        <f t="shared" si="45"/>
        <v>2013</v>
      </c>
      <c r="I538" s="3">
        <v>10</v>
      </c>
      <c r="J538" s="69"/>
      <c r="K538" s="3" t="s">
        <v>91</v>
      </c>
      <c r="L538" s="3" t="s">
        <v>318</v>
      </c>
      <c r="M538" s="3">
        <v>179.1</v>
      </c>
      <c r="N538" s="3">
        <v>462</v>
      </c>
      <c r="O538" s="3" t="str">
        <f t="shared" si="44"/>
        <v>2011</v>
      </c>
      <c r="P538" s="2">
        <v>143</v>
      </c>
      <c r="V538">
        <v>3.91</v>
      </c>
      <c r="Y538">
        <v>3.31</v>
      </c>
    </row>
    <row r="539" spans="1:25" x14ac:dyDescent="0.35">
      <c r="A539" s="3">
        <v>2021</v>
      </c>
      <c r="B539" s="3">
        <v>10</v>
      </c>
      <c r="C539" s="3">
        <v>11</v>
      </c>
      <c r="D539" s="2">
        <v>484</v>
      </c>
      <c r="E539" s="3" t="s">
        <v>110</v>
      </c>
      <c r="F539" s="3">
        <v>4</v>
      </c>
      <c r="G539" s="3" t="s">
        <v>226</v>
      </c>
      <c r="H539" s="3" t="str">
        <f t="shared" si="45"/>
        <v>2018</v>
      </c>
      <c r="I539" s="3">
        <v>3</v>
      </c>
      <c r="J539" s="69"/>
      <c r="K539" s="3" t="s">
        <v>51</v>
      </c>
      <c r="L539" s="3" t="s">
        <v>939</v>
      </c>
      <c r="M539" s="16">
        <v>95</v>
      </c>
      <c r="N539" s="3">
        <v>462</v>
      </c>
      <c r="O539" s="3" t="str">
        <f t="shared" si="44"/>
        <v>2017</v>
      </c>
      <c r="P539" s="2">
        <v>484</v>
      </c>
    </row>
    <row r="540" spans="1:25" x14ac:dyDescent="0.35">
      <c r="A540" s="3">
        <v>2022</v>
      </c>
      <c r="B540" s="3">
        <v>11</v>
      </c>
      <c r="C540" s="3">
        <v>1</v>
      </c>
      <c r="D540" s="2">
        <v>367</v>
      </c>
      <c r="E540" s="3" t="s">
        <v>833</v>
      </c>
      <c r="F540" s="3">
        <v>4</v>
      </c>
      <c r="G540" s="3" t="s">
        <v>41</v>
      </c>
      <c r="H540" s="3" t="str">
        <f t="shared" si="45"/>
        <v>2013</v>
      </c>
      <c r="I540" s="3">
        <v>9</v>
      </c>
      <c r="J540" s="69"/>
      <c r="K540" s="3" t="s">
        <v>42</v>
      </c>
      <c r="L540" s="3" t="s">
        <v>318</v>
      </c>
      <c r="M540" s="3">
        <v>79.099999999999994</v>
      </c>
      <c r="N540" s="3">
        <v>464</v>
      </c>
      <c r="O540" s="3" t="str">
        <f t="shared" si="44"/>
        <v>2011</v>
      </c>
      <c r="P540" s="2">
        <v>367</v>
      </c>
      <c r="X540">
        <v>3.87</v>
      </c>
      <c r="Y540">
        <v>4.45</v>
      </c>
    </row>
    <row r="541" spans="1:25" x14ac:dyDescent="0.35">
      <c r="A541" s="3">
        <v>2024</v>
      </c>
      <c r="B541" s="3">
        <v>1</v>
      </c>
      <c r="C541" s="3">
        <v>19</v>
      </c>
      <c r="D541" s="2">
        <v>583</v>
      </c>
      <c r="E541" s="3" t="s">
        <v>1027</v>
      </c>
      <c r="F541" s="3">
        <v>1</v>
      </c>
      <c r="G541" s="3" t="s">
        <v>41</v>
      </c>
      <c r="H541" s="3" t="str">
        <f t="shared" si="45"/>
        <v>2013</v>
      </c>
      <c r="I541" s="3">
        <v>11</v>
      </c>
      <c r="J541" s="69"/>
      <c r="K541" t="s">
        <v>42</v>
      </c>
      <c r="L541" s="3" t="s">
        <v>318</v>
      </c>
      <c r="M541">
        <v>104.7</v>
      </c>
      <c r="N541" s="3">
        <v>464</v>
      </c>
      <c r="O541" s="3" t="str">
        <f t="shared" si="44"/>
        <v>2011</v>
      </c>
      <c r="P541" s="2">
        <v>583</v>
      </c>
    </row>
    <row r="542" spans="1:25" x14ac:dyDescent="0.35">
      <c r="A542" s="3">
        <v>2024</v>
      </c>
      <c r="B542" s="3">
        <v>8</v>
      </c>
      <c r="C542" s="3">
        <v>8</v>
      </c>
      <c r="D542" s="2">
        <v>701</v>
      </c>
      <c r="E542" s="3" t="s">
        <v>239</v>
      </c>
      <c r="F542" s="3">
        <v>3</v>
      </c>
      <c r="G542" s="3" t="s">
        <v>45</v>
      </c>
      <c r="H542" s="3" t="str">
        <f t="shared" si="45"/>
        <v>2011</v>
      </c>
      <c r="I542" s="3">
        <v>13</v>
      </c>
      <c r="J542" s="69"/>
      <c r="K542" t="s">
        <v>46</v>
      </c>
      <c r="L542" t="s">
        <v>317</v>
      </c>
      <c r="M542">
        <v>84.5</v>
      </c>
      <c r="N542" s="3">
        <v>464</v>
      </c>
      <c r="O542" s="3" t="str">
        <f t="shared" si="44"/>
        <v>2007</v>
      </c>
      <c r="P542" s="2">
        <v>701</v>
      </c>
    </row>
    <row r="543" spans="1:25" x14ac:dyDescent="0.35">
      <c r="A543" s="3">
        <v>2024</v>
      </c>
      <c r="B543">
        <v>8</v>
      </c>
      <c r="C543" s="3">
        <v>19</v>
      </c>
      <c r="D543" s="2">
        <v>814</v>
      </c>
      <c r="E543" s="3" t="s">
        <v>300</v>
      </c>
      <c r="F543" s="3">
        <v>3</v>
      </c>
      <c r="G543" s="3" t="s">
        <v>225</v>
      </c>
      <c r="H543" s="3" t="str">
        <f t="shared" si="45"/>
        <v>2021</v>
      </c>
      <c r="I543" s="3">
        <v>3</v>
      </c>
      <c r="J543" s="69"/>
      <c r="K543">
        <v>3</v>
      </c>
      <c r="L543">
        <v>3</v>
      </c>
      <c r="M543">
        <v>147</v>
      </c>
      <c r="N543" s="3">
        <v>464</v>
      </c>
      <c r="O543" s="3" t="str">
        <f t="shared" si="44"/>
        <v>2021</v>
      </c>
      <c r="P543" s="2">
        <v>814</v>
      </c>
    </row>
    <row r="544" spans="1:25" x14ac:dyDescent="0.35">
      <c r="A544" s="3">
        <v>2021</v>
      </c>
      <c r="B544" s="3">
        <v>10</v>
      </c>
      <c r="C544" s="3">
        <v>11</v>
      </c>
      <c r="D544" s="2">
        <v>466</v>
      </c>
      <c r="E544" s="3" t="s">
        <v>923</v>
      </c>
      <c r="F544" s="3">
        <v>4</v>
      </c>
      <c r="G544" s="3" t="s">
        <v>226</v>
      </c>
      <c r="H544" s="3" t="str">
        <f t="shared" si="45"/>
        <v>2018</v>
      </c>
      <c r="I544" s="3">
        <v>3</v>
      </c>
      <c r="J544" s="69"/>
      <c r="K544" s="3" t="s">
        <v>51</v>
      </c>
      <c r="L544" s="3" t="s">
        <v>920</v>
      </c>
      <c r="M544" s="16">
        <v>100</v>
      </c>
      <c r="N544" s="3">
        <v>466</v>
      </c>
      <c r="O544" s="3" t="str">
        <f t="shared" si="44"/>
        <v>2017</v>
      </c>
      <c r="P544" s="2">
        <v>466</v>
      </c>
    </row>
    <row r="545" spans="1:25" x14ac:dyDescent="0.35">
      <c r="A545" s="3">
        <v>2021</v>
      </c>
      <c r="B545" s="3">
        <v>4</v>
      </c>
      <c r="C545" s="3">
        <v>13</v>
      </c>
      <c r="D545" s="2">
        <v>492</v>
      </c>
      <c r="E545" s="3" t="s">
        <v>946</v>
      </c>
      <c r="F545" s="3">
        <v>2</v>
      </c>
      <c r="G545" s="3" t="s">
        <v>226</v>
      </c>
      <c r="H545" s="3" t="str">
        <f t="shared" si="45"/>
        <v>2018</v>
      </c>
      <c r="I545" s="3">
        <v>3</v>
      </c>
      <c r="J545" s="69"/>
      <c r="K545" s="3" t="s">
        <v>51</v>
      </c>
      <c r="L545" s="3" t="s">
        <v>920</v>
      </c>
      <c r="M545" s="16">
        <v>100</v>
      </c>
      <c r="N545" s="3">
        <v>466</v>
      </c>
      <c r="O545" s="3" t="str">
        <f t="shared" si="44"/>
        <v>2017</v>
      </c>
      <c r="P545" s="2">
        <v>492</v>
      </c>
    </row>
    <row r="546" spans="1:25" x14ac:dyDescent="0.35">
      <c r="A546" s="3">
        <v>2024</v>
      </c>
      <c r="B546" s="3">
        <v>1</v>
      </c>
      <c r="C546" s="3">
        <v>22</v>
      </c>
      <c r="D546" s="2">
        <v>603</v>
      </c>
      <c r="E546" s="3" t="s">
        <v>1046</v>
      </c>
      <c r="F546" s="3">
        <v>1</v>
      </c>
      <c r="G546" s="3" t="s">
        <v>20</v>
      </c>
      <c r="H546" s="3" t="str">
        <f t="shared" si="45"/>
        <v>2020</v>
      </c>
      <c r="I546" s="3">
        <v>4</v>
      </c>
      <c r="J546" s="69"/>
      <c r="K546" t="s">
        <v>233</v>
      </c>
      <c r="L546">
        <v>37</v>
      </c>
      <c r="M546">
        <v>121.8</v>
      </c>
      <c r="N546" s="3">
        <v>466</v>
      </c>
      <c r="O546" s="3" t="str">
        <f t="shared" si="44"/>
        <v>2018</v>
      </c>
      <c r="P546" s="2">
        <v>603</v>
      </c>
    </row>
    <row r="547" spans="1:25" x14ac:dyDescent="0.35">
      <c r="A547" s="3">
        <v>2021</v>
      </c>
      <c r="B547" s="3">
        <v>10</v>
      </c>
      <c r="C547" s="3">
        <v>11</v>
      </c>
      <c r="D547" s="2">
        <v>472</v>
      </c>
      <c r="E547" s="3" t="s">
        <v>928</v>
      </c>
      <c r="F547" s="3">
        <v>4</v>
      </c>
      <c r="G547" s="3" t="s">
        <v>226</v>
      </c>
      <c r="H547" s="3" t="str">
        <f t="shared" si="45"/>
        <v>2018</v>
      </c>
      <c r="I547" s="3">
        <v>3</v>
      </c>
      <c r="J547" s="69"/>
      <c r="K547" s="3" t="s">
        <v>51</v>
      </c>
      <c r="L547" s="3" t="s">
        <v>929</v>
      </c>
      <c r="M547" s="16">
        <v>100</v>
      </c>
      <c r="N547" s="3">
        <v>467</v>
      </c>
      <c r="O547" s="3" t="str">
        <f t="shared" si="44"/>
        <v>2017</v>
      </c>
      <c r="P547" s="2">
        <v>472</v>
      </c>
    </row>
    <row r="548" spans="1:25" x14ac:dyDescent="0.35">
      <c r="A548" s="3">
        <v>2021</v>
      </c>
      <c r="B548" s="3">
        <v>10</v>
      </c>
      <c r="C548" s="3">
        <v>11</v>
      </c>
      <c r="D548" s="2">
        <v>481</v>
      </c>
      <c r="E548" s="3" t="s">
        <v>109</v>
      </c>
      <c r="F548" s="3">
        <v>4</v>
      </c>
      <c r="G548" s="3" t="s">
        <v>226</v>
      </c>
      <c r="H548" s="3" t="str">
        <f t="shared" si="45"/>
        <v>2018</v>
      </c>
      <c r="I548" s="3">
        <v>3</v>
      </c>
      <c r="J548" s="69"/>
      <c r="K548" s="3" t="s">
        <v>51</v>
      </c>
      <c r="L548" s="3" t="s">
        <v>936</v>
      </c>
      <c r="M548" s="16">
        <v>120</v>
      </c>
      <c r="N548" s="3">
        <v>467</v>
      </c>
      <c r="O548" s="3" t="str">
        <f t="shared" si="44"/>
        <v>2017</v>
      </c>
      <c r="P548" s="2">
        <v>481</v>
      </c>
    </row>
    <row r="549" spans="1:25" x14ac:dyDescent="0.35">
      <c r="A549" s="3">
        <v>2024</v>
      </c>
      <c r="B549" s="3">
        <v>3</v>
      </c>
      <c r="C549" s="3">
        <v>1</v>
      </c>
      <c r="D549" s="2">
        <v>665</v>
      </c>
      <c r="E549" s="3" t="s">
        <v>153</v>
      </c>
      <c r="F549" s="3">
        <v>2</v>
      </c>
      <c r="G549" s="3" t="s">
        <v>20</v>
      </c>
      <c r="H549" s="3" t="str">
        <f t="shared" si="45"/>
        <v>2020</v>
      </c>
      <c r="I549" s="3">
        <v>4</v>
      </c>
      <c r="J549" s="69"/>
      <c r="K549" t="s">
        <v>70</v>
      </c>
      <c r="L549">
        <v>37</v>
      </c>
      <c r="M549">
        <v>103.2</v>
      </c>
      <c r="N549" s="3">
        <v>468</v>
      </c>
      <c r="O549" s="3" t="str">
        <f t="shared" si="44"/>
        <v>2018</v>
      </c>
      <c r="P549" s="2">
        <v>665</v>
      </c>
    </row>
    <row r="550" spans="1:25" x14ac:dyDescent="0.35">
      <c r="A550" s="3">
        <v>2023</v>
      </c>
      <c r="B550" s="3">
        <v>7</v>
      </c>
      <c r="C550" s="3">
        <v>19</v>
      </c>
      <c r="D550" s="2">
        <v>354</v>
      </c>
      <c r="E550" s="3" t="s">
        <v>820</v>
      </c>
      <c r="F550" s="3">
        <v>3</v>
      </c>
      <c r="G550" s="3" t="s">
        <v>41</v>
      </c>
      <c r="H550" s="3" t="str">
        <f t="shared" si="45"/>
        <v>2013</v>
      </c>
      <c r="I550" s="3">
        <v>10</v>
      </c>
      <c r="J550" s="69"/>
      <c r="K550" s="3" t="s">
        <v>42</v>
      </c>
      <c r="L550" s="3" t="s">
        <v>318</v>
      </c>
      <c r="M550" s="3">
        <v>102.1</v>
      </c>
      <c r="N550" s="3">
        <v>470</v>
      </c>
      <c r="O550" s="3" t="str">
        <f t="shared" si="44"/>
        <v>2011</v>
      </c>
      <c r="P550" s="2">
        <v>354</v>
      </c>
    </row>
    <row r="551" spans="1:25" x14ac:dyDescent="0.35">
      <c r="A551" s="3">
        <v>2023</v>
      </c>
      <c r="B551" s="3">
        <v>8</v>
      </c>
      <c r="C551" s="3">
        <v>2</v>
      </c>
      <c r="D551" s="2">
        <v>443</v>
      </c>
      <c r="E551" s="3" t="s">
        <v>904</v>
      </c>
      <c r="F551" s="3">
        <v>3</v>
      </c>
      <c r="G551" s="3" t="s">
        <v>226</v>
      </c>
      <c r="H551" s="3" t="str">
        <f t="shared" si="45"/>
        <v>2017</v>
      </c>
      <c r="I551" s="3">
        <v>6</v>
      </c>
      <c r="J551" s="69"/>
      <c r="K551" s="3" t="s">
        <v>228</v>
      </c>
      <c r="L551" s="3">
        <v>7</v>
      </c>
      <c r="M551" s="3">
        <v>52.9</v>
      </c>
      <c r="N551" s="3">
        <v>470</v>
      </c>
      <c r="O551" s="3" t="str">
        <f t="shared" si="44"/>
        <v>2017</v>
      </c>
      <c r="P551" s="2">
        <v>443</v>
      </c>
    </row>
    <row r="552" spans="1:25" x14ac:dyDescent="0.35">
      <c r="A552" s="3">
        <v>2023</v>
      </c>
      <c r="B552" s="3">
        <v>11</v>
      </c>
      <c r="C552" s="3">
        <v>8</v>
      </c>
      <c r="D552" s="2">
        <v>509</v>
      </c>
      <c r="E552" s="3" t="s">
        <v>115</v>
      </c>
      <c r="F552" s="3">
        <v>4</v>
      </c>
      <c r="G552" s="3" t="s">
        <v>20</v>
      </c>
      <c r="H552" s="3" t="str">
        <f t="shared" si="45"/>
        <v>2020</v>
      </c>
      <c r="I552" s="3">
        <v>3</v>
      </c>
      <c r="J552" s="69"/>
      <c r="K552" s="3" t="s">
        <v>73</v>
      </c>
      <c r="L552" s="3">
        <v>37</v>
      </c>
      <c r="M552" s="3">
        <v>105</v>
      </c>
      <c r="N552" s="3">
        <v>470</v>
      </c>
      <c r="O552" s="3" t="str">
        <f t="shared" si="44"/>
        <v>2018</v>
      </c>
      <c r="P552" s="2">
        <v>509</v>
      </c>
    </row>
    <row r="553" spans="1:25" x14ac:dyDescent="0.35">
      <c r="A553" s="3">
        <v>2024</v>
      </c>
      <c r="B553" s="3">
        <v>8</v>
      </c>
      <c r="C553" s="3">
        <v>20</v>
      </c>
      <c r="D553" s="2">
        <v>764</v>
      </c>
      <c r="E553" s="3" t="s">
        <v>1156</v>
      </c>
      <c r="F553" s="3">
        <v>3</v>
      </c>
      <c r="G553" s="3" t="s">
        <v>226</v>
      </c>
      <c r="H553" s="3" t="str">
        <f t="shared" si="45"/>
        <v>2017</v>
      </c>
      <c r="I553" s="3">
        <v>7</v>
      </c>
      <c r="J553" s="69"/>
      <c r="K553" s="6" t="s">
        <v>228</v>
      </c>
      <c r="L553">
        <v>7</v>
      </c>
      <c r="M553">
        <v>101.9</v>
      </c>
      <c r="N553" s="3">
        <v>470</v>
      </c>
      <c r="O553" s="3" t="str">
        <f t="shared" si="44"/>
        <v>2017</v>
      </c>
      <c r="P553" s="2">
        <v>764</v>
      </c>
    </row>
    <row r="554" spans="1:25" x14ac:dyDescent="0.35">
      <c r="A554" s="3">
        <v>2024</v>
      </c>
      <c r="B554">
        <v>8</v>
      </c>
      <c r="C554" s="3">
        <v>19</v>
      </c>
      <c r="D554" s="2">
        <v>818</v>
      </c>
      <c r="E554" s="3" t="s">
        <v>301</v>
      </c>
      <c r="F554" s="3">
        <v>3</v>
      </c>
      <c r="G554" s="3" t="s">
        <v>225</v>
      </c>
      <c r="H554" s="3" t="str">
        <f t="shared" si="45"/>
        <v>2021</v>
      </c>
      <c r="I554" s="3">
        <v>3</v>
      </c>
      <c r="J554" s="69"/>
      <c r="K554">
        <v>3</v>
      </c>
      <c r="L554">
        <v>3</v>
      </c>
      <c r="M554">
        <v>96</v>
      </c>
      <c r="N554" s="3">
        <v>470</v>
      </c>
      <c r="O554" s="3" t="str">
        <f t="shared" si="44"/>
        <v>2021</v>
      </c>
      <c r="P554" s="2">
        <v>818</v>
      </c>
    </row>
    <row r="555" spans="1:25" x14ac:dyDescent="0.35">
      <c r="A555" s="3">
        <v>2023</v>
      </c>
      <c r="B555" s="3">
        <v>7</v>
      </c>
      <c r="C555" s="3">
        <v>19</v>
      </c>
      <c r="D555" s="2">
        <v>355</v>
      </c>
      <c r="E555" s="3" t="s">
        <v>821</v>
      </c>
      <c r="F555" s="3">
        <v>3</v>
      </c>
      <c r="G555" s="3" t="s">
        <v>41</v>
      </c>
      <c r="H555" s="3" t="str">
        <f t="shared" si="45"/>
        <v>2013</v>
      </c>
      <c r="I555" s="3">
        <v>10</v>
      </c>
      <c r="J555" s="69"/>
      <c r="K555" s="3" t="s">
        <v>42</v>
      </c>
      <c r="L555" s="3" t="s">
        <v>318</v>
      </c>
      <c r="M555" s="3">
        <v>103.1</v>
      </c>
      <c r="N555" s="3">
        <v>471</v>
      </c>
      <c r="O555" s="3" t="str">
        <f t="shared" si="44"/>
        <v>2011</v>
      </c>
      <c r="P555" s="2">
        <v>355</v>
      </c>
      <c r="T555">
        <v>2.95</v>
      </c>
    </row>
    <row r="556" spans="1:25" x14ac:dyDescent="0.35">
      <c r="A556" s="3">
        <v>2023</v>
      </c>
      <c r="B556" s="3">
        <v>7</v>
      </c>
      <c r="C556" s="3">
        <v>17</v>
      </c>
      <c r="D556" s="2">
        <v>378</v>
      </c>
      <c r="E556" s="3" t="s">
        <v>844</v>
      </c>
      <c r="F556" s="3">
        <v>3</v>
      </c>
      <c r="G556" s="3" t="s">
        <v>45</v>
      </c>
      <c r="H556" s="3" t="str">
        <f t="shared" si="45"/>
        <v>2011</v>
      </c>
      <c r="I556" s="3">
        <v>12</v>
      </c>
      <c r="J556" s="69"/>
      <c r="K556" s="3" t="s">
        <v>46</v>
      </c>
      <c r="L556" s="3" t="s">
        <v>317</v>
      </c>
      <c r="M556" s="3">
        <v>95.5</v>
      </c>
      <c r="N556" s="3">
        <v>472</v>
      </c>
      <c r="O556" s="3" t="str">
        <f t="shared" si="44"/>
        <v>2007</v>
      </c>
      <c r="P556" s="2">
        <v>378</v>
      </c>
    </row>
    <row r="557" spans="1:25" x14ac:dyDescent="0.35">
      <c r="A557" s="3">
        <v>2024</v>
      </c>
      <c r="B557" s="3">
        <v>1</v>
      </c>
      <c r="C557" s="3">
        <v>18</v>
      </c>
      <c r="D557" s="2">
        <v>586</v>
      </c>
      <c r="E557" s="3" t="s">
        <v>1030</v>
      </c>
      <c r="F557" s="3">
        <v>1</v>
      </c>
      <c r="G557" s="3" t="s">
        <v>41</v>
      </c>
      <c r="H557" s="3" t="str">
        <f t="shared" si="45"/>
        <v>2012</v>
      </c>
      <c r="I557" s="3">
        <v>12</v>
      </c>
      <c r="J557" s="69"/>
      <c r="K557" t="s">
        <v>1031</v>
      </c>
      <c r="L557" s="3" t="s">
        <v>461</v>
      </c>
      <c r="M557">
        <v>102.5</v>
      </c>
      <c r="N557" s="3">
        <v>472</v>
      </c>
      <c r="O557" s="3" t="str">
        <f t="shared" si="44"/>
        <v>2011</v>
      </c>
      <c r="P557" s="2">
        <v>586</v>
      </c>
    </row>
    <row r="558" spans="1:25" x14ac:dyDescent="0.35">
      <c r="A558" s="3">
        <v>2021</v>
      </c>
      <c r="B558" s="3" t="s">
        <v>28</v>
      </c>
      <c r="C558" s="3" t="s">
        <v>28</v>
      </c>
      <c r="D558" s="2">
        <v>474</v>
      </c>
      <c r="E558" s="3" t="s">
        <v>931</v>
      </c>
      <c r="F558" s="3" t="s">
        <v>28</v>
      </c>
      <c r="G558" s="3" t="s">
        <v>226</v>
      </c>
      <c r="H558" s="3" t="str">
        <f t="shared" si="45"/>
        <v>2018</v>
      </c>
      <c r="I558" s="3">
        <v>3</v>
      </c>
      <c r="J558" s="69"/>
      <c r="K558" s="3" t="s">
        <v>51</v>
      </c>
      <c r="L558" s="3" t="s">
        <v>927</v>
      </c>
      <c r="M558" s="16">
        <v>135</v>
      </c>
      <c r="N558" s="3">
        <v>473</v>
      </c>
      <c r="O558" s="3" t="str">
        <f t="shared" si="44"/>
        <v>2017</v>
      </c>
      <c r="P558" s="2">
        <v>474</v>
      </c>
    </row>
    <row r="559" spans="1:25" x14ac:dyDescent="0.35">
      <c r="A559" s="3">
        <v>2021</v>
      </c>
      <c r="B559" s="3">
        <v>10</v>
      </c>
      <c r="C559" s="3">
        <v>11</v>
      </c>
      <c r="D559" s="2">
        <v>478</v>
      </c>
      <c r="E559" s="3" t="s">
        <v>933</v>
      </c>
      <c r="F559" s="3">
        <v>4</v>
      </c>
      <c r="G559" s="3" t="s">
        <v>226</v>
      </c>
      <c r="H559" s="3" t="str">
        <f t="shared" si="45"/>
        <v>2018</v>
      </c>
      <c r="I559" s="3">
        <v>3</v>
      </c>
      <c r="J559" s="69"/>
      <c r="K559" s="3" t="s">
        <v>51</v>
      </c>
      <c r="L559" s="3" t="s">
        <v>929</v>
      </c>
      <c r="M559" s="16">
        <v>95</v>
      </c>
      <c r="N559" s="3">
        <v>473</v>
      </c>
      <c r="O559" s="3" t="str">
        <f t="shared" si="44"/>
        <v>2017</v>
      </c>
      <c r="P559" s="2">
        <v>478</v>
      </c>
    </row>
    <row r="560" spans="1:25" x14ac:dyDescent="0.35">
      <c r="A560" s="3">
        <v>2018</v>
      </c>
      <c r="B560" s="3">
        <v>8</v>
      </c>
      <c r="C560" s="3">
        <v>15</v>
      </c>
      <c r="D560" s="2">
        <v>305</v>
      </c>
      <c r="E560" s="3" t="s">
        <v>771</v>
      </c>
      <c r="F560" s="3">
        <v>3</v>
      </c>
      <c r="G560" s="3" t="s">
        <v>41</v>
      </c>
      <c r="H560" s="3" t="str">
        <f t="shared" si="45"/>
        <v>2013</v>
      </c>
      <c r="I560" s="3">
        <v>5</v>
      </c>
      <c r="J560" s="69"/>
      <c r="K560" s="3" t="s">
        <v>49</v>
      </c>
      <c r="L560" s="3" t="s">
        <v>318</v>
      </c>
      <c r="M560" s="3">
        <v>106.9</v>
      </c>
      <c r="N560" s="3">
        <v>474</v>
      </c>
      <c r="O560" s="3" t="str">
        <f t="shared" si="44"/>
        <v>2011</v>
      </c>
      <c r="P560" s="2">
        <v>305</v>
      </c>
      <c r="X560">
        <v>3.96</v>
      </c>
      <c r="Y560">
        <v>5.01</v>
      </c>
    </row>
    <row r="561" spans="1:25" x14ac:dyDescent="0.35">
      <c r="A561" s="3">
        <v>2022</v>
      </c>
      <c r="B561" s="3">
        <v>11</v>
      </c>
      <c r="C561" s="3">
        <v>7</v>
      </c>
      <c r="D561" s="2">
        <v>128</v>
      </c>
      <c r="E561" s="14" t="s">
        <v>573</v>
      </c>
      <c r="F561" s="15">
        <v>4</v>
      </c>
      <c r="G561" s="3" t="s">
        <v>41</v>
      </c>
      <c r="H561" s="3" t="str">
        <f t="shared" si="45"/>
        <v>2012</v>
      </c>
      <c r="I561" s="3">
        <v>10</v>
      </c>
      <c r="J561" s="69"/>
      <c r="K561" s="3" t="s">
        <v>461</v>
      </c>
      <c r="L561" s="3" t="s">
        <v>461</v>
      </c>
      <c r="M561" s="3">
        <v>118.7</v>
      </c>
      <c r="N561" s="3">
        <v>476</v>
      </c>
      <c r="O561" s="3" t="str">
        <f t="shared" si="44"/>
        <v>2011</v>
      </c>
      <c r="P561" s="2">
        <v>128</v>
      </c>
      <c r="S561">
        <v>5.0199999999999996</v>
      </c>
      <c r="Y561">
        <v>3.18</v>
      </c>
    </row>
    <row r="562" spans="1:25" x14ac:dyDescent="0.35">
      <c r="A562" s="3">
        <v>2022</v>
      </c>
      <c r="B562" s="3">
        <v>11</v>
      </c>
      <c r="C562" s="3">
        <v>7</v>
      </c>
      <c r="D562" s="2">
        <v>128</v>
      </c>
      <c r="E562" s="14" t="s">
        <v>573</v>
      </c>
      <c r="F562" s="15">
        <v>4</v>
      </c>
      <c r="G562" s="3" t="s">
        <v>41</v>
      </c>
      <c r="H562" s="3" t="str">
        <f t="shared" si="45"/>
        <v>2012</v>
      </c>
      <c r="I562" s="3">
        <v>10</v>
      </c>
      <c r="J562" s="69"/>
      <c r="K562" s="3" t="s">
        <v>461</v>
      </c>
      <c r="L562" s="3" t="s">
        <v>461</v>
      </c>
      <c r="M562" s="3">
        <v>118.7</v>
      </c>
      <c r="N562" s="3">
        <v>476</v>
      </c>
      <c r="O562" s="3" t="str">
        <f t="shared" si="44"/>
        <v>2011</v>
      </c>
      <c r="P562" s="2">
        <v>128</v>
      </c>
      <c r="Y562">
        <v>4.8499999999999996</v>
      </c>
    </row>
    <row r="563" spans="1:25" x14ac:dyDescent="0.35">
      <c r="A563" s="3">
        <v>2024</v>
      </c>
      <c r="B563" s="3">
        <v>3</v>
      </c>
      <c r="C563" s="3">
        <v>13</v>
      </c>
      <c r="D563" s="2">
        <v>693</v>
      </c>
      <c r="E563" s="3" t="s">
        <v>1112</v>
      </c>
      <c r="F563" s="3">
        <v>2</v>
      </c>
      <c r="G563" s="3" t="s">
        <v>226</v>
      </c>
      <c r="H563" s="3" t="str">
        <f t="shared" si="45"/>
        <v>2017</v>
      </c>
      <c r="I563" s="3">
        <v>7</v>
      </c>
      <c r="J563" s="69"/>
      <c r="K563" t="s">
        <v>228</v>
      </c>
      <c r="L563">
        <v>7</v>
      </c>
      <c r="M563">
        <v>113.3</v>
      </c>
      <c r="N563" s="3">
        <v>476</v>
      </c>
      <c r="O563" s="3" t="str">
        <f t="shared" si="44"/>
        <v>2017</v>
      </c>
      <c r="P563" s="2">
        <v>693</v>
      </c>
    </row>
    <row r="564" spans="1:25" x14ac:dyDescent="0.35">
      <c r="A564" s="3">
        <v>2021</v>
      </c>
      <c r="B564" s="3">
        <v>10</v>
      </c>
      <c r="C564" s="3">
        <v>11</v>
      </c>
      <c r="D564" s="2">
        <v>479</v>
      </c>
      <c r="E564" s="3" t="s">
        <v>934</v>
      </c>
      <c r="F564" s="3">
        <v>4</v>
      </c>
      <c r="G564" s="3" t="s">
        <v>226</v>
      </c>
      <c r="H564" s="3" t="str">
        <f t="shared" si="45"/>
        <v>2018</v>
      </c>
      <c r="I564" s="3">
        <v>3</v>
      </c>
      <c r="J564" s="69"/>
      <c r="K564" s="3" t="s">
        <v>51</v>
      </c>
      <c r="L564" s="3" t="s">
        <v>929</v>
      </c>
      <c r="M564" s="16">
        <v>95</v>
      </c>
      <c r="N564" s="3">
        <v>477</v>
      </c>
      <c r="O564" s="3" t="str">
        <f t="shared" si="44"/>
        <v>2017</v>
      </c>
      <c r="P564" s="2">
        <v>479</v>
      </c>
    </row>
    <row r="565" spans="1:25" x14ac:dyDescent="0.35">
      <c r="A565" s="3">
        <v>2016</v>
      </c>
      <c r="B565" s="3">
        <v>11</v>
      </c>
      <c r="C565" s="3">
        <v>8</v>
      </c>
      <c r="D565" s="2">
        <v>186</v>
      </c>
      <c r="E565" s="3" t="s">
        <v>637</v>
      </c>
      <c r="F565" s="3">
        <v>4</v>
      </c>
      <c r="G565" s="3" t="s">
        <v>45</v>
      </c>
      <c r="H565" s="3" t="str">
        <f t="shared" si="45"/>
        <v>2011</v>
      </c>
      <c r="I565" s="3">
        <v>5</v>
      </c>
      <c r="J565" s="69"/>
      <c r="K565" s="3" t="s">
        <v>46</v>
      </c>
      <c r="L565" s="3" t="s">
        <v>317</v>
      </c>
      <c r="M565" s="3">
        <v>120.8</v>
      </c>
      <c r="N565" s="3">
        <v>478</v>
      </c>
      <c r="O565" s="3" t="str">
        <f t="shared" si="44"/>
        <v>2007</v>
      </c>
      <c r="P565" s="2">
        <v>186</v>
      </c>
      <c r="S565">
        <v>4.09</v>
      </c>
    </row>
    <row r="566" spans="1:25" x14ac:dyDescent="0.35">
      <c r="A566" s="3">
        <v>2024</v>
      </c>
      <c r="B566" s="3">
        <v>1</v>
      </c>
      <c r="C566" s="3">
        <v>22</v>
      </c>
      <c r="D566" s="2">
        <v>551</v>
      </c>
      <c r="E566" s="3" t="s">
        <v>125</v>
      </c>
      <c r="F566" s="3">
        <v>1</v>
      </c>
      <c r="G566" s="3" t="s">
        <v>20</v>
      </c>
      <c r="H566" s="3" t="str">
        <f t="shared" si="45"/>
        <v>2020</v>
      </c>
      <c r="I566" s="3">
        <v>4</v>
      </c>
      <c r="J566" s="69"/>
      <c r="K566" s="3" t="s">
        <v>70</v>
      </c>
      <c r="L566">
        <v>37</v>
      </c>
      <c r="M566">
        <v>118.1</v>
      </c>
      <c r="N566" s="3">
        <v>478</v>
      </c>
      <c r="O566" s="3" t="str">
        <f t="shared" si="44"/>
        <v>2018</v>
      </c>
      <c r="P566" s="2">
        <v>551</v>
      </c>
      <c r="S566">
        <v>3.77</v>
      </c>
    </row>
    <row r="567" spans="1:25" x14ac:dyDescent="0.35">
      <c r="A567" s="3">
        <v>2016</v>
      </c>
      <c r="B567" s="3">
        <v>11</v>
      </c>
      <c r="C567" s="3">
        <v>8</v>
      </c>
      <c r="D567" s="2">
        <v>186</v>
      </c>
      <c r="E567" s="3" t="s">
        <v>637</v>
      </c>
      <c r="F567" s="3">
        <v>4</v>
      </c>
      <c r="G567" s="3" t="s">
        <v>45</v>
      </c>
      <c r="H567" s="3" t="str">
        <f t="shared" si="45"/>
        <v>2011</v>
      </c>
      <c r="I567" s="3">
        <v>5</v>
      </c>
      <c r="J567" s="69"/>
      <c r="K567" s="3" t="s">
        <v>46</v>
      </c>
      <c r="L567" s="3" t="s">
        <v>317</v>
      </c>
      <c r="M567" s="3">
        <v>120.8</v>
      </c>
      <c r="N567" s="3">
        <v>478</v>
      </c>
      <c r="O567" s="3" t="str">
        <f t="shared" si="44"/>
        <v>2007</v>
      </c>
      <c r="P567" s="2">
        <v>186</v>
      </c>
      <c r="S567">
        <v>2.83</v>
      </c>
    </row>
    <row r="568" spans="1:25" x14ac:dyDescent="0.35">
      <c r="A568" s="3">
        <v>2023</v>
      </c>
      <c r="B568" s="3">
        <v>7</v>
      </c>
      <c r="C568" s="3">
        <v>21</v>
      </c>
      <c r="D568" s="2">
        <v>445</v>
      </c>
      <c r="E568" s="3" t="s">
        <v>69</v>
      </c>
      <c r="F568" s="3">
        <v>3</v>
      </c>
      <c r="G568" s="3" t="s">
        <v>20</v>
      </c>
      <c r="H568" s="3" t="str">
        <f t="shared" si="45"/>
        <v>2020</v>
      </c>
      <c r="I568" s="3">
        <v>3</v>
      </c>
      <c r="J568" s="69"/>
      <c r="K568" s="3" t="s">
        <v>70</v>
      </c>
      <c r="L568" s="3">
        <v>37</v>
      </c>
      <c r="M568" s="3">
        <v>116.4</v>
      </c>
      <c r="N568" s="3">
        <v>478</v>
      </c>
      <c r="O568" s="3" t="str">
        <f t="shared" si="44"/>
        <v>2018</v>
      </c>
      <c r="P568" s="2">
        <v>445</v>
      </c>
    </row>
    <row r="569" spans="1:25" x14ac:dyDescent="0.35">
      <c r="A569" s="3">
        <v>2017</v>
      </c>
      <c r="B569" s="3">
        <v>1</v>
      </c>
      <c r="C569" s="3">
        <v>20</v>
      </c>
      <c r="D569" s="2">
        <v>98</v>
      </c>
      <c r="E569" s="14" t="s">
        <v>545</v>
      </c>
      <c r="F569" s="15">
        <v>1</v>
      </c>
      <c r="G569" s="3" t="s">
        <v>41</v>
      </c>
      <c r="H569" s="3" t="str">
        <f t="shared" si="45"/>
        <v>2012</v>
      </c>
      <c r="I569" s="3">
        <v>5</v>
      </c>
      <c r="J569" s="69"/>
      <c r="K569" s="3" t="s">
        <v>546</v>
      </c>
      <c r="L569" s="3" t="s">
        <v>461</v>
      </c>
      <c r="M569" s="3">
        <v>115.2</v>
      </c>
      <c r="N569" s="3">
        <v>480</v>
      </c>
      <c r="O569" s="3" t="str">
        <f t="shared" si="44"/>
        <v>2011</v>
      </c>
      <c r="P569" s="2">
        <v>98</v>
      </c>
    </row>
    <row r="570" spans="1:25" x14ac:dyDescent="0.35">
      <c r="A570" s="3">
        <v>2016</v>
      </c>
      <c r="B570" s="3">
        <v>11</v>
      </c>
      <c r="C570" s="3">
        <v>7</v>
      </c>
      <c r="D570" s="2">
        <v>204</v>
      </c>
      <c r="E570" s="3" t="s">
        <v>658</v>
      </c>
      <c r="F570" s="3">
        <v>4</v>
      </c>
      <c r="G570" s="3" t="s">
        <v>45</v>
      </c>
      <c r="H570" s="3" t="str">
        <f t="shared" si="45"/>
        <v>2009</v>
      </c>
      <c r="I570" s="3">
        <v>7</v>
      </c>
      <c r="J570" s="69"/>
      <c r="K570" s="3" t="s">
        <v>657</v>
      </c>
      <c r="L570" s="3" t="s">
        <v>488</v>
      </c>
      <c r="M570" s="3">
        <v>113.2</v>
      </c>
      <c r="N570" s="3">
        <v>480</v>
      </c>
      <c r="O570" s="3" t="str">
        <f t="shared" si="44"/>
        <v>2007</v>
      </c>
      <c r="P570" s="2">
        <v>204</v>
      </c>
    </row>
    <row r="571" spans="1:25" x14ac:dyDescent="0.35">
      <c r="A571" s="3">
        <v>2024</v>
      </c>
      <c r="B571" s="3">
        <v>8</v>
      </c>
      <c r="C571" s="3">
        <v>19</v>
      </c>
      <c r="D571" s="2">
        <v>793</v>
      </c>
      <c r="E571" s="3" t="s">
        <v>284</v>
      </c>
      <c r="F571" s="3">
        <v>3</v>
      </c>
      <c r="G571" s="3" t="s">
        <v>225</v>
      </c>
      <c r="H571" s="3" t="str">
        <f t="shared" si="45"/>
        <v>2021</v>
      </c>
      <c r="I571" s="3">
        <v>3</v>
      </c>
      <c r="J571" s="69"/>
      <c r="K571">
        <v>3</v>
      </c>
      <c r="L571">
        <v>3</v>
      </c>
      <c r="M571">
        <v>128.30000000000001</v>
      </c>
      <c r="N571" s="3">
        <v>481</v>
      </c>
      <c r="O571" s="3" t="str">
        <f t="shared" si="44"/>
        <v>2021</v>
      </c>
      <c r="P571" s="2">
        <v>793</v>
      </c>
    </row>
    <row r="572" spans="1:25" x14ac:dyDescent="0.35">
      <c r="A572" s="3">
        <v>2024</v>
      </c>
      <c r="B572" s="3">
        <v>1</v>
      </c>
      <c r="C572" s="3">
        <v>19</v>
      </c>
      <c r="D572" s="2">
        <v>599</v>
      </c>
      <c r="E572" s="3" t="s">
        <v>1043</v>
      </c>
      <c r="F572" s="3">
        <v>1</v>
      </c>
      <c r="G572" s="3" t="s">
        <v>41</v>
      </c>
      <c r="H572" s="3" t="str">
        <f t="shared" si="45"/>
        <v>2012</v>
      </c>
      <c r="I572" s="3">
        <v>12</v>
      </c>
      <c r="J572" s="69"/>
      <c r="K572" t="s">
        <v>541</v>
      </c>
      <c r="L572" s="3" t="s">
        <v>461</v>
      </c>
      <c r="M572">
        <v>122.2</v>
      </c>
      <c r="N572" s="3">
        <v>482</v>
      </c>
      <c r="O572" s="3" t="str">
        <f t="shared" si="44"/>
        <v>2011</v>
      </c>
      <c r="P572" s="2">
        <v>599</v>
      </c>
      <c r="W572">
        <v>4.51</v>
      </c>
    </row>
    <row r="573" spans="1:25" x14ac:dyDescent="0.35">
      <c r="A573" s="3">
        <v>2011</v>
      </c>
      <c r="B573" s="3">
        <v>11</v>
      </c>
      <c r="C573" s="3">
        <v>14</v>
      </c>
      <c r="D573" s="2">
        <v>612</v>
      </c>
      <c r="E573" s="3" t="s">
        <v>1053</v>
      </c>
      <c r="F573" s="3">
        <v>4</v>
      </c>
      <c r="G573" s="3" t="s">
        <v>45</v>
      </c>
      <c r="H573" s="3" t="str">
        <f t="shared" si="45"/>
        <v>2009</v>
      </c>
      <c r="I573" s="3">
        <v>2</v>
      </c>
      <c r="J573" s="69"/>
      <c r="K573" t="s">
        <v>711</v>
      </c>
      <c r="L573" s="3" t="s">
        <v>512</v>
      </c>
      <c r="M573">
        <v>145.30000000000001</v>
      </c>
      <c r="N573" s="3">
        <v>482</v>
      </c>
      <c r="O573" s="3" t="str">
        <f t="shared" si="44"/>
        <v>2007</v>
      </c>
      <c r="P573" s="2">
        <v>612</v>
      </c>
    </row>
    <row r="574" spans="1:25" x14ac:dyDescent="0.35">
      <c r="A574" s="3">
        <v>2024</v>
      </c>
      <c r="B574" s="3">
        <v>3</v>
      </c>
      <c r="C574" s="3">
        <v>28</v>
      </c>
      <c r="D574" s="2">
        <v>681</v>
      </c>
      <c r="E574" s="3" t="s">
        <v>1102</v>
      </c>
      <c r="F574" s="3">
        <v>2</v>
      </c>
      <c r="G574" s="3" t="s">
        <v>41</v>
      </c>
      <c r="H574" s="3" t="str">
        <f t="shared" si="45"/>
        <v>2013</v>
      </c>
      <c r="I574" s="3">
        <v>11</v>
      </c>
      <c r="J574" s="69"/>
      <c r="K574" t="s">
        <v>49</v>
      </c>
      <c r="L574" t="s">
        <v>318</v>
      </c>
      <c r="M574">
        <v>117.6</v>
      </c>
      <c r="N574" s="3">
        <v>485</v>
      </c>
      <c r="O574" s="3" t="str">
        <f t="shared" si="44"/>
        <v>2011</v>
      </c>
      <c r="P574" s="2">
        <v>681</v>
      </c>
    </row>
    <row r="575" spans="1:25" x14ac:dyDescent="0.35">
      <c r="A575" s="3">
        <v>2024</v>
      </c>
      <c r="B575" s="3">
        <v>8</v>
      </c>
      <c r="C575" s="3">
        <v>6</v>
      </c>
      <c r="D575" s="2">
        <v>705</v>
      </c>
      <c r="E575" s="3" t="s">
        <v>241</v>
      </c>
      <c r="F575" s="3">
        <v>3</v>
      </c>
      <c r="G575" s="3" t="s">
        <v>20</v>
      </c>
      <c r="H575" s="3" t="str">
        <f t="shared" si="45"/>
        <v>2020</v>
      </c>
      <c r="I575" s="3">
        <v>4</v>
      </c>
      <c r="J575" s="69"/>
      <c r="K575" t="s">
        <v>233</v>
      </c>
      <c r="L575">
        <v>37</v>
      </c>
      <c r="M575">
        <v>107.3</v>
      </c>
      <c r="N575" s="3">
        <v>486</v>
      </c>
      <c r="O575" s="3" t="str">
        <f t="shared" si="44"/>
        <v>2018</v>
      </c>
      <c r="P575" s="2">
        <v>705</v>
      </c>
      <c r="S575">
        <v>4.96</v>
      </c>
    </row>
    <row r="576" spans="1:25" x14ac:dyDescent="0.35">
      <c r="A576" s="3">
        <v>2024</v>
      </c>
      <c r="B576" s="3">
        <v>1</v>
      </c>
      <c r="C576" s="3">
        <v>25</v>
      </c>
      <c r="D576" s="2">
        <v>600</v>
      </c>
      <c r="E576" s="3" t="s">
        <v>1044</v>
      </c>
      <c r="F576" s="3">
        <v>1</v>
      </c>
      <c r="G576" s="3" t="s">
        <v>226</v>
      </c>
      <c r="H576" s="3" t="str">
        <f t="shared" si="45"/>
        <v>2017</v>
      </c>
      <c r="I576" s="3">
        <v>7</v>
      </c>
      <c r="J576" s="69"/>
      <c r="K576" t="s">
        <v>228</v>
      </c>
      <c r="L576">
        <v>7</v>
      </c>
      <c r="M576">
        <v>110.9</v>
      </c>
      <c r="N576" s="3">
        <v>487</v>
      </c>
      <c r="O576" s="3" t="str">
        <f t="shared" si="44"/>
        <v>2017</v>
      </c>
      <c r="P576" s="2">
        <v>600</v>
      </c>
      <c r="W576">
        <v>5.12</v>
      </c>
    </row>
    <row r="577" spans="1:23" x14ac:dyDescent="0.35">
      <c r="A577" s="3">
        <v>2017</v>
      </c>
      <c r="B577" s="3">
        <v>11</v>
      </c>
      <c r="C577" s="3">
        <v>13</v>
      </c>
      <c r="D577" s="2">
        <v>70</v>
      </c>
      <c r="E577" s="14" t="s">
        <v>515</v>
      </c>
      <c r="F577" s="15">
        <v>4</v>
      </c>
      <c r="G577" s="3" t="s">
        <v>41</v>
      </c>
      <c r="H577" s="3" t="str">
        <f t="shared" si="45"/>
        <v>2013</v>
      </c>
      <c r="I577" s="3">
        <v>4</v>
      </c>
      <c r="J577" s="69"/>
      <c r="K577" s="3" t="s">
        <v>42</v>
      </c>
      <c r="L577" s="3" t="s">
        <v>318</v>
      </c>
      <c r="M577" s="3">
        <v>111.5</v>
      </c>
      <c r="N577" s="3">
        <v>487</v>
      </c>
      <c r="O577" s="3" t="str">
        <f t="shared" si="44"/>
        <v>2011</v>
      </c>
      <c r="P577" s="2">
        <v>70</v>
      </c>
    </row>
    <row r="578" spans="1:23" x14ac:dyDescent="0.35">
      <c r="A578" s="3">
        <v>2019</v>
      </c>
      <c r="B578" s="3">
        <v>11</v>
      </c>
      <c r="C578" s="3">
        <v>27</v>
      </c>
      <c r="D578" s="2">
        <v>39</v>
      </c>
      <c r="E578" s="3" t="s">
        <v>481</v>
      </c>
      <c r="F578" s="3">
        <v>4</v>
      </c>
      <c r="G578" s="3" t="s">
        <v>45</v>
      </c>
      <c r="H578" s="3" t="str">
        <f t="shared" si="45"/>
        <v>2011</v>
      </c>
      <c r="I578" s="3">
        <v>8</v>
      </c>
      <c r="J578" s="69"/>
      <c r="K578" s="3" t="s">
        <v>317</v>
      </c>
      <c r="L578" s="3" t="s">
        <v>317</v>
      </c>
      <c r="M578" s="3">
        <v>98.5</v>
      </c>
      <c r="N578" s="3">
        <v>488</v>
      </c>
      <c r="O578" s="3" t="str">
        <f t="shared" ref="O578:O641" si="46">IF(G578="PHD", "2007", IF(G578="TSL", "2011", IF(G578 = "SRS", "2018", IF(G578="WCA 3B", "2017", IF(G578="WCA 3A", "2021")))))</f>
        <v>2007</v>
      </c>
      <c r="P578" s="2">
        <v>39</v>
      </c>
    </row>
    <row r="579" spans="1:23" x14ac:dyDescent="0.35">
      <c r="A579" s="3">
        <v>2023</v>
      </c>
      <c r="B579" s="3">
        <v>2</v>
      </c>
      <c r="C579" s="3">
        <v>18</v>
      </c>
      <c r="D579" s="2">
        <v>146</v>
      </c>
      <c r="E579" s="14" t="s">
        <v>591</v>
      </c>
      <c r="F579" s="15">
        <v>1</v>
      </c>
      <c r="G579" s="3" t="s">
        <v>41</v>
      </c>
      <c r="H579" s="3" t="str">
        <f t="shared" si="45"/>
        <v>2013</v>
      </c>
      <c r="I579" s="3">
        <v>10</v>
      </c>
      <c r="J579" s="69"/>
      <c r="K579" s="3" t="s">
        <v>91</v>
      </c>
      <c r="L579" s="3" t="s">
        <v>318</v>
      </c>
      <c r="M579" s="3">
        <v>120.9</v>
      </c>
      <c r="N579" s="3">
        <v>489</v>
      </c>
      <c r="O579" s="3" t="str">
        <f t="shared" si="46"/>
        <v>2011</v>
      </c>
      <c r="P579" s="2">
        <v>146</v>
      </c>
      <c r="W579">
        <v>3.52</v>
      </c>
    </row>
    <row r="580" spans="1:23" x14ac:dyDescent="0.35">
      <c r="A580" s="3">
        <v>2021</v>
      </c>
      <c r="B580" s="3">
        <v>10</v>
      </c>
      <c r="C580" s="3">
        <v>11</v>
      </c>
      <c r="D580" s="2">
        <v>460</v>
      </c>
      <c r="E580" s="3" t="s">
        <v>104</v>
      </c>
      <c r="F580" s="3">
        <v>4</v>
      </c>
      <c r="G580" s="3" t="s">
        <v>226</v>
      </c>
      <c r="H580" s="3" t="str">
        <f t="shared" si="45"/>
        <v>2018</v>
      </c>
      <c r="I580" s="3">
        <v>3</v>
      </c>
      <c r="J580" s="69"/>
      <c r="K580" s="3" t="s">
        <v>51</v>
      </c>
      <c r="L580" s="3" t="s">
        <v>916</v>
      </c>
      <c r="M580" s="16">
        <v>120</v>
      </c>
      <c r="N580" s="3">
        <v>489</v>
      </c>
      <c r="O580" s="3" t="str">
        <f t="shared" si="46"/>
        <v>2017</v>
      </c>
      <c r="P580" s="2">
        <v>460</v>
      </c>
    </row>
    <row r="581" spans="1:23" x14ac:dyDescent="0.35">
      <c r="A581" s="3">
        <v>2024</v>
      </c>
      <c r="B581" s="3">
        <v>1</v>
      </c>
      <c r="C581" s="3">
        <v>22</v>
      </c>
      <c r="D581" s="2">
        <v>568</v>
      </c>
      <c r="E581" s="3" t="s">
        <v>128</v>
      </c>
      <c r="F581" s="3">
        <v>1</v>
      </c>
      <c r="G581" s="3" t="s">
        <v>20</v>
      </c>
      <c r="H581" s="3" t="str">
        <f t="shared" si="45"/>
        <v>2020</v>
      </c>
      <c r="I581" s="3">
        <v>4</v>
      </c>
      <c r="J581" s="69"/>
      <c r="K581" t="s">
        <v>231</v>
      </c>
      <c r="L581">
        <v>8</v>
      </c>
      <c r="M581">
        <v>303.39999999999998</v>
      </c>
      <c r="N581" s="3">
        <v>490</v>
      </c>
      <c r="O581" s="3" t="str">
        <f t="shared" si="46"/>
        <v>2018</v>
      </c>
      <c r="P581" s="2">
        <v>568</v>
      </c>
    </row>
    <row r="582" spans="1:23" x14ac:dyDescent="0.35">
      <c r="A582" s="3">
        <v>2021</v>
      </c>
      <c r="B582" s="3">
        <v>10</v>
      </c>
      <c r="C582" s="3" t="s">
        <v>28</v>
      </c>
      <c r="D582" s="2">
        <v>33</v>
      </c>
      <c r="E582" s="3" t="s">
        <v>475</v>
      </c>
      <c r="F582" s="3">
        <v>4</v>
      </c>
      <c r="G582" s="3" t="s">
        <v>41</v>
      </c>
      <c r="H582" s="3" t="str">
        <f t="shared" si="45"/>
        <v>2012</v>
      </c>
      <c r="I582" s="3">
        <v>9</v>
      </c>
      <c r="J582" s="69"/>
      <c r="K582" s="3" t="s">
        <v>461</v>
      </c>
      <c r="L582" s="3" t="s">
        <v>461</v>
      </c>
      <c r="M582" s="3">
        <v>108.8</v>
      </c>
      <c r="N582" s="3">
        <v>491</v>
      </c>
      <c r="O582" s="3" t="str">
        <f t="shared" si="46"/>
        <v>2011</v>
      </c>
      <c r="P582" s="2">
        <v>33</v>
      </c>
    </row>
    <row r="583" spans="1:23" x14ac:dyDescent="0.35">
      <c r="A583" s="3">
        <v>2021</v>
      </c>
      <c r="B583" s="3">
        <v>10</v>
      </c>
      <c r="C583" s="3">
        <v>11</v>
      </c>
      <c r="D583" s="2">
        <v>473</v>
      </c>
      <c r="E583" s="3" t="s">
        <v>930</v>
      </c>
      <c r="F583" s="3">
        <v>4</v>
      </c>
      <c r="G583" s="3" t="s">
        <v>226</v>
      </c>
      <c r="H583" s="3" t="str">
        <f t="shared" ref="H583:H646" si="47">IF(L583="A55","2009",IF(L583="A59","2009",IF(L583="A60","2010",IF(L583="A62","2011",IF(L583="CP","2013",IF(L583="MD","2012",IF(L583="TS","2013",IF(L583="DL","2018",IF(L583="SCU","2018",IF(L583="NCU","2018",IF(L583="C1C","2018",IF(L583="C1E","2018",IF(L583="RS1S","2018",IF(L583="C2B","2018",IF(L583="DB3","2018",IF(AND(L583=6,G583="SRS"),"2018",IF(AND(L583=7,G583="SRS"),"2020",IF(AND(L583=8,G583="SRS"),"2020",IF(L583=23,"2019",IF(AND(L583=7,G583="WCA 3B"),"2017",IF(AND(L583=8,G583="WCA 3B"),"2019",IF(L583=1,"2021",IF(L583=2,"2022",IF(L583=3,"2021",IF(L583=4,"2021",IF(L583=5,"2022",IF(AND(L583=6,G583="WCA 3A"),"2022",IF(L583=9,"2023",IF(L583=10,"2023",IF(L583=37,"2020"))))))))))))))))))))))))))))))</f>
        <v>2018</v>
      </c>
      <c r="I583" s="3">
        <v>3</v>
      </c>
      <c r="J583" s="69"/>
      <c r="K583" s="3" t="s">
        <v>51</v>
      </c>
      <c r="L583" s="3" t="s">
        <v>929</v>
      </c>
      <c r="M583" s="16">
        <v>120</v>
      </c>
      <c r="N583" s="3">
        <v>491</v>
      </c>
      <c r="O583" s="3" t="str">
        <f t="shared" si="46"/>
        <v>2017</v>
      </c>
      <c r="P583" s="2">
        <v>473</v>
      </c>
    </row>
    <row r="584" spans="1:23" x14ac:dyDescent="0.35">
      <c r="A584" s="3">
        <v>2021</v>
      </c>
      <c r="B584" s="3">
        <v>10</v>
      </c>
      <c r="C584" s="3">
        <v>11</v>
      </c>
      <c r="D584" s="2">
        <v>468</v>
      </c>
      <c r="E584" s="3" t="s">
        <v>106</v>
      </c>
      <c r="F584" s="3">
        <v>4</v>
      </c>
      <c r="G584" s="3" t="s">
        <v>226</v>
      </c>
      <c r="H584" s="3" t="str">
        <f t="shared" si="47"/>
        <v>2018</v>
      </c>
      <c r="I584" s="3">
        <v>3</v>
      </c>
      <c r="J584" s="69"/>
      <c r="K584" s="3" t="s">
        <v>51</v>
      </c>
      <c r="L584" s="3" t="s">
        <v>920</v>
      </c>
      <c r="M584" s="16">
        <v>105</v>
      </c>
      <c r="N584" s="3">
        <v>492</v>
      </c>
      <c r="O584" s="3" t="str">
        <f t="shared" si="46"/>
        <v>2017</v>
      </c>
      <c r="P584" s="2">
        <v>468</v>
      </c>
    </row>
    <row r="585" spans="1:23" x14ac:dyDescent="0.35">
      <c r="A585" s="3">
        <v>2021</v>
      </c>
      <c r="B585" s="3">
        <v>10</v>
      </c>
      <c r="C585" s="3">
        <v>11</v>
      </c>
      <c r="D585" s="2">
        <v>464</v>
      </c>
      <c r="E585" s="3" t="s">
        <v>921</v>
      </c>
      <c r="F585" s="3">
        <v>4</v>
      </c>
      <c r="G585" s="3" t="s">
        <v>226</v>
      </c>
      <c r="H585" s="3" t="str">
        <f t="shared" si="47"/>
        <v>2018</v>
      </c>
      <c r="I585" s="3">
        <v>3</v>
      </c>
      <c r="J585" s="69"/>
      <c r="K585" s="3" t="s">
        <v>51</v>
      </c>
      <c r="L585" s="3" t="s">
        <v>920</v>
      </c>
      <c r="M585" s="16">
        <v>110</v>
      </c>
      <c r="N585" s="3">
        <v>493</v>
      </c>
      <c r="O585" s="3" t="str">
        <f t="shared" si="46"/>
        <v>2017</v>
      </c>
      <c r="P585" s="2">
        <v>464</v>
      </c>
    </row>
    <row r="586" spans="1:23" x14ac:dyDescent="0.35">
      <c r="A586" s="3">
        <v>2021</v>
      </c>
      <c r="B586" s="3">
        <v>4</v>
      </c>
      <c r="C586" s="3">
        <v>13</v>
      </c>
      <c r="D586" s="2">
        <v>497</v>
      </c>
      <c r="E586" s="3" t="s">
        <v>951</v>
      </c>
      <c r="F586" s="3">
        <v>2</v>
      </c>
      <c r="G586" s="3" t="s">
        <v>226</v>
      </c>
      <c r="H586" s="3" t="str">
        <f t="shared" si="47"/>
        <v>2018</v>
      </c>
      <c r="I586" s="3">
        <v>3</v>
      </c>
      <c r="J586" s="69"/>
      <c r="K586" s="3" t="s">
        <v>51</v>
      </c>
      <c r="L586" s="3" t="s">
        <v>916</v>
      </c>
      <c r="M586" s="16">
        <v>135</v>
      </c>
      <c r="N586" s="3">
        <v>495</v>
      </c>
      <c r="O586" s="3" t="str">
        <f t="shared" si="46"/>
        <v>2017</v>
      </c>
      <c r="P586" s="2">
        <v>497</v>
      </c>
    </row>
    <row r="587" spans="1:23" x14ac:dyDescent="0.35">
      <c r="A587" s="3">
        <v>2016</v>
      </c>
      <c r="B587" s="3">
        <v>9</v>
      </c>
      <c r="C587" s="3">
        <v>1</v>
      </c>
      <c r="D587" s="2">
        <v>234</v>
      </c>
      <c r="E587" s="3" t="s">
        <v>692</v>
      </c>
      <c r="F587" s="3">
        <v>3</v>
      </c>
      <c r="G587" s="3" t="s">
        <v>45</v>
      </c>
      <c r="H587" s="3" t="str">
        <f t="shared" si="47"/>
        <v>2011</v>
      </c>
      <c r="I587" s="3">
        <v>5</v>
      </c>
      <c r="J587" s="69"/>
      <c r="K587" s="3" t="s">
        <v>647</v>
      </c>
      <c r="L587" s="3" t="s">
        <v>317</v>
      </c>
      <c r="M587" s="3">
        <v>128.19999999999999</v>
      </c>
      <c r="N587" s="3">
        <v>498</v>
      </c>
      <c r="O587" s="3" t="str">
        <f t="shared" si="46"/>
        <v>2007</v>
      </c>
      <c r="P587" s="2">
        <v>234</v>
      </c>
    </row>
    <row r="588" spans="1:23" x14ac:dyDescent="0.35">
      <c r="A588" s="3">
        <v>2018</v>
      </c>
      <c r="B588" s="3">
        <v>8</v>
      </c>
      <c r="C588" s="3">
        <v>16</v>
      </c>
      <c r="D588" s="2">
        <v>323</v>
      </c>
      <c r="E588" s="3" t="s">
        <v>790</v>
      </c>
      <c r="F588" s="3">
        <v>3</v>
      </c>
      <c r="G588" s="3" t="s">
        <v>45</v>
      </c>
      <c r="H588" s="3" t="str">
        <f t="shared" si="47"/>
        <v>2011</v>
      </c>
      <c r="I588" s="3">
        <v>7</v>
      </c>
      <c r="J588" s="69"/>
      <c r="K588" s="3" t="s">
        <v>647</v>
      </c>
      <c r="L588" s="3" t="s">
        <v>317</v>
      </c>
      <c r="M588" s="3">
        <v>108.5</v>
      </c>
      <c r="N588" s="3">
        <v>500</v>
      </c>
      <c r="O588" s="3" t="str">
        <f t="shared" si="46"/>
        <v>2007</v>
      </c>
      <c r="P588" s="2">
        <v>323</v>
      </c>
      <c r="W588">
        <v>3.8</v>
      </c>
    </row>
    <row r="589" spans="1:23" x14ac:dyDescent="0.35">
      <c r="A589" s="3">
        <v>2024</v>
      </c>
      <c r="B589" s="3">
        <v>1</v>
      </c>
      <c r="C589" s="3">
        <v>30</v>
      </c>
      <c r="D589" s="2">
        <v>641</v>
      </c>
      <c r="E589" s="3" t="s">
        <v>1075</v>
      </c>
      <c r="F589" s="3">
        <v>1</v>
      </c>
      <c r="G589" s="3" t="s">
        <v>225</v>
      </c>
      <c r="H589" s="3" t="str">
        <f t="shared" si="47"/>
        <v>2021</v>
      </c>
      <c r="I589" s="3">
        <v>3</v>
      </c>
      <c r="J589" s="69"/>
      <c r="K589" t="s">
        <v>1076</v>
      </c>
      <c r="L589">
        <v>3</v>
      </c>
      <c r="M589">
        <v>135.80000000000001</v>
      </c>
      <c r="N589" s="3">
        <v>500</v>
      </c>
      <c r="O589" s="3" t="str">
        <f t="shared" si="46"/>
        <v>2021</v>
      </c>
      <c r="P589" s="2">
        <v>641</v>
      </c>
    </row>
    <row r="590" spans="1:23" x14ac:dyDescent="0.35">
      <c r="A590" s="3">
        <v>2024</v>
      </c>
      <c r="B590" s="3">
        <v>8</v>
      </c>
      <c r="C590" s="3">
        <v>19</v>
      </c>
      <c r="D590" s="2">
        <v>794</v>
      </c>
      <c r="E590" s="3" t="s">
        <v>285</v>
      </c>
      <c r="F590" s="3">
        <v>3</v>
      </c>
      <c r="G590" s="3" t="s">
        <v>225</v>
      </c>
      <c r="H590" s="3" t="str">
        <f t="shared" si="47"/>
        <v>2021</v>
      </c>
      <c r="I590" s="3">
        <v>3</v>
      </c>
      <c r="J590" s="69"/>
      <c r="K590">
        <v>3</v>
      </c>
      <c r="L590">
        <v>3</v>
      </c>
      <c r="M590">
        <v>148.80000000000001</v>
      </c>
      <c r="N590" s="3">
        <v>502</v>
      </c>
      <c r="O590" s="3" t="str">
        <f t="shared" si="46"/>
        <v>2021</v>
      </c>
      <c r="P590" s="2">
        <v>794</v>
      </c>
    </row>
    <row r="591" spans="1:23" x14ac:dyDescent="0.35">
      <c r="A591" s="3">
        <v>2024</v>
      </c>
      <c r="B591">
        <v>8</v>
      </c>
      <c r="C591" s="3">
        <v>14</v>
      </c>
      <c r="D591" s="2">
        <v>860</v>
      </c>
      <c r="E591" s="3" t="s">
        <v>315</v>
      </c>
      <c r="F591" s="3">
        <v>3</v>
      </c>
      <c r="G591" t="s">
        <v>225</v>
      </c>
      <c r="H591" s="3" t="str">
        <f t="shared" si="47"/>
        <v>2021</v>
      </c>
      <c r="I591" s="3">
        <v>3</v>
      </c>
      <c r="J591" s="69"/>
      <c r="K591" t="s">
        <v>76</v>
      </c>
      <c r="L591">
        <v>1</v>
      </c>
      <c r="M591">
        <v>135.30000000000001</v>
      </c>
      <c r="N591" s="3">
        <v>504</v>
      </c>
      <c r="O591" s="3" t="str">
        <f t="shared" si="46"/>
        <v>2021</v>
      </c>
      <c r="P591" s="2">
        <v>860</v>
      </c>
      <c r="S591">
        <v>4.82</v>
      </c>
    </row>
    <row r="592" spans="1:23" x14ac:dyDescent="0.35">
      <c r="A592" s="3">
        <v>2021</v>
      </c>
      <c r="B592" s="3">
        <v>10</v>
      </c>
      <c r="C592" s="3">
        <v>11</v>
      </c>
      <c r="D592" s="2">
        <v>477</v>
      </c>
      <c r="E592" s="3" t="s">
        <v>108</v>
      </c>
      <c r="F592" s="3">
        <v>4</v>
      </c>
      <c r="G592" s="3" t="s">
        <v>226</v>
      </c>
      <c r="H592" s="3" t="str">
        <f t="shared" si="47"/>
        <v>2018</v>
      </c>
      <c r="I592" s="3">
        <v>3</v>
      </c>
      <c r="J592" s="69"/>
      <c r="K592" s="3" t="s">
        <v>51</v>
      </c>
      <c r="L592" s="3" t="s">
        <v>929</v>
      </c>
      <c r="M592" s="16">
        <v>120</v>
      </c>
      <c r="N592" s="3">
        <v>504</v>
      </c>
      <c r="O592" s="3" t="str">
        <f t="shared" si="46"/>
        <v>2017</v>
      </c>
      <c r="P592" s="2">
        <v>477</v>
      </c>
    </row>
    <row r="593" spans="1:25" x14ac:dyDescent="0.35">
      <c r="A593" s="3">
        <v>2019</v>
      </c>
      <c r="B593" s="3">
        <v>11</v>
      </c>
      <c r="C593" s="3">
        <v>27</v>
      </c>
      <c r="D593" s="2">
        <v>48</v>
      </c>
      <c r="E593" s="3" t="s">
        <v>491</v>
      </c>
      <c r="F593" s="3">
        <v>4</v>
      </c>
      <c r="G593" s="3" t="s">
        <v>45</v>
      </c>
      <c r="H593" s="3" t="str">
        <f t="shared" si="47"/>
        <v>2009</v>
      </c>
      <c r="I593" s="3">
        <v>10</v>
      </c>
      <c r="J593" s="69"/>
      <c r="K593" s="3" t="s">
        <v>488</v>
      </c>
      <c r="L593" s="3" t="s">
        <v>488</v>
      </c>
      <c r="M593" s="3">
        <v>107.8</v>
      </c>
      <c r="N593" s="3">
        <v>505</v>
      </c>
      <c r="O593" s="3" t="str">
        <f t="shared" si="46"/>
        <v>2007</v>
      </c>
      <c r="P593" s="2">
        <v>48</v>
      </c>
    </row>
    <row r="594" spans="1:25" x14ac:dyDescent="0.35">
      <c r="A594" s="3">
        <v>2024</v>
      </c>
      <c r="B594" s="3">
        <v>3</v>
      </c>
      <c r="C594" s="3">
        <v>13</v>
      </c>
      <c r="D594" s="2">
        <v>674</v>
      </c>
      <c r="E594" s="3" t="s">
        <v>1096</v>
      </c>
      <c r="F594" s="3">
        <v>2</v>
      </c>
      <c r="G594" s="3" t="s">
        <v>226</v>
      </c>
      <c r="H594" s="3" t="str">
        <f t="shared" si="47"/>
        <v>2017</v>
      </c>
      <c r="I594" s="3">
        <v>7</v>
      </c>
      <c r="J594" s="69"/>
      <c r="K594" t="s">
        <v>783</v>
      </c>
      <c r="L594">
        <v>7</v>
      </c>
      <c r="M594">
        <v>85.8</v>
      </c>
      <c r="N594" s="3">
        <v>505</v>
      </c>
      <c r="O594" s="3" t="str">
        <f t="shared" si="46"/>
        <v>2017</v>
      </c>
      <c r="P594" s="2">
        <v>674</v>
      </c>
    </row>
    <row r="595" spans="1:25" x14ac:dyDescent="0.35">
      <c r="A595" s="3">
        <v>2024</v>
      </c>
      <c r="B595" s="3">
        <v>8</v>
      </c>
      <c r="C595" s="3">
        <v>9</v>
      </c>
      <c r="D595" s="2">
        <v>720</v>
      </c>
      <c r="E595" s="3" t="s">
        <v>1136</v>
      </c>
      <c r="F595" s="3">
        <v>3</v>
      </c>
      <c r="G595" s="3" t="s">
        <v>41</v>
      </c>
      <c r="H595" s="3" t="str">
        <f t="shared" si="47"/>
        <v>2013</v>
      </c>
      <c r="I595" s="3">
        <v>11</v>
      </c>
      <c r="J595" s="69"/>
      <c r="K595" t="s">
        <v>755</v>
      </c>
      <c r="L595" t="s">
        <v>458</v>
      </c>
      <c r="M595">
        <v>142.69999999999999</v>
      </c>
      <c r="N595" s="3">
        <v>507</v>
      </c>
      <c r="O595" s="3" t="str">
        <f t="shared" si="46"/>
        <v>2011</v>
      </c>
      <c r="P595" s="2">
        <v>720</v>
      </c>
    </row>
    <row r="596" spans="1:25" x14ac:dyDescent="0.35">
      <c r="A596" s="3">
        <v>2022</v>
      </c>
      <c r="B596" s="3">
        <v>11</v>
      </c>
      <c r="C596" s="3">
        <v>1</v>
      </c>
      <c r="D596" s="2">
        <v>377</v>
      </c>
      <c r="E596" s="3" t="s">
        <v>843</v>
      </c>
      <c r="F596" s="3">
        <v>4</v>
      </c>
      <c r="G596" s="3" t="s">
        <v>41</v>
      </c>
      <c r="H596" s="3" t="str">
        <f t="shared" si="47"/>
        <v>2013</v>
      </c>
      <c r="I596" s="3">
        <v>9</v>
      </c>
      <c r="J596" s="69"/>
      <c r="K596" s="3" t="s">
        <v>42</v>
      </c>
      <c r="L596" s="3" t="s">
        <v>318</v>
      </c>
      <c r="M596" s="3">
        <v>120.5</v>
      </c>
      <c r="N596" s="3">
        <v>508</v>
      </c>
      <c r="O596" s="3" t="str">
        <f t="shared" si="46"/>
        <v>2011</v>
      </c>
      <c r="P596" s="2">
        <v>377</v>
      </c>
    </row>
    <row r="597" spans="1:25" x14ac:dyDescent="0.35">
      <c r="A597" s="3">
        <v>2023</v>
      </c>
      <c r="B597" s="3">
        <v>7</v>
      </c>
      <c r="C597" s="3">
        <v>31</v>
      </c>
      <c r="D597" s="2">
        <v>456</v>
      </c>
      <c r="E597" s="3" t="s">
        <v>80</v>
      </c>
      <c r="F597" s="3">
        <v>3</v>
      </c>
      <c r="G597" s="3" t="s">
        <v>225</v>
      </c>
      <c r="H597" s="3" t="str">
        <f t="shared" si="47"/>
        <v>2022</v>
      </c>
      <c r="I597" s="3">
        <v>1</v>
      </c>
      <c r="J597" s="69"/>
      <c r="K597" s="3" t="s">
        <v>67</v>
      </c>
      <c r="L597" s="3">
        <v>2</v>
      </c>
      <c r="M597" s="3">
        <v>140.6</v>
      </c>
      <c r="N597" s="3">
        <v>510</v>
      </c>
      <c r="O597" s="3" t="str">
        <f t="shared" si="46"/>
        <v>2021</v>
      </c>
      <c r="P597" s="2">
        <v>456</v>
      </c>
    </row>
    <row r="598" spans="1:25" x14ac:dyDescent="0.35">
      <c r="A598" s="3">
        <v>2023</v>
      </c>
      <c r="B598" s="3">
        <v>11</v>
      </c>
      <c r="C598" s="3">
        <v>7</v>
      </c>
      <c r="D598" s="2">
        <v>547</v>
      </c>
      <c r="E598" s="3" t="s">
        <v>996</v>
      </c>
      <c r="F598" s="3">
        <v>4</v>
      </c>
      <c r="G598" s="3" t="s">
        <v>41</v>
      </c>
      <c r="H598" s="3" t="str">
        <f t="shared" si="47"/>
        <v>2013</v>
      </c>
      <c r="I598" s="3">
        <v>10</v>
      </c>
      <c r="J598" s="69"/>
      <c r="K598" t="s">
        <v>42</v>
      </c>
      <c r="L598" s="3" t="s">
        <v>318</v>
      </c>
      <c r="M598" s="3">
        <v>130.30000000000001</v>
      </c>
      <c r="N598" s="3">
        <v>510</v>
      </c>
      <c r="O598" s="3" t="str">
        <f t="shared" si="46"/>
        <v>2011</v>
      </c>
      <c r="P598" s="2">
        <v>547</v>
      </c>
    </row>
    <row r="599" spans="1:25" x14ac:dyDescent="0.35">
      <c r="A599" s="3">
        <v>2022</v>
      </c>
      <c r="B599" s="3">
        <v>1</v>
      </c>
      <c r="C599" s="3" t="s">
        <v>28</v>
      </c>
      <c r="D599" s="2">
        <v>20</v>
      </c>
      <c r="E599" s="3" t="s">
        <v>25</v>
      </c>
      <c r="F599" s="3">
        <v>1</v>
      </c>
      <c r="G599" s="3" t="s">
        <v>20</v>
      </c>
      <c r="H599" s="3" t="str">
        <f t="shared" si="47"/>
        <v>2020</v>
      </c>
      <c r="I599" s="3">
        <v>2</v>
      </c>
      <c r="J599" s="69"/>
      <c r="K599" s="3">
        <v>8</v>
      </c>
      <c r="L599" s="3">
        <v>8</v>
      </c>
      <c r="M599" s="3">
        <v>217.6</v>
      </c>
      <c r="N599" s="3">
        <v>511</v>
      </c>
      <c r="O599" s="3" t="str">
        <f t="shared" si="46"/>
        <v>2018</v>
      </c>
      <c r="P599" s="2">
        <v>20</v>
      </c>
      <c r="S599">
        <v>5.35</v>
      </c>
    </row>
    <row r="600" spans="1:25" x14ac:dyDescent="0.35">
      <c r="A600" s="3">
        <v>2022</v>
      </c>
      <c r="B600" s="3">
        <v>11</v>
      </c>
      <c r="C600" s="3">
        <v>18</v>
      </c>
      <c r="D600" s="2">
        <v>118</v>
      </c>
      <c r="E600" s="14" t="s">
        <v>564</v>
      </c>
      <c r="F600" s="15">
        <v>4</v>
      </c>
      <c r="G600" s="3" t="s">
        <v>225</v>
      </c>
      <c r="H600" s="3" t="str">
        <f t="shared" si="47"/>
        <v>2021</v>
      </c>
      <c r="I600" s="3">
        <v>1</v>
      </c>
      <c r="J600" s="69"/>
      <c r="K600" s="3">
        <v>1</v>
      </c>
      <c r="L600" s="3">
        <v>1</v>
      </c>
      <c r="M600" s="3">
        <v>15.5</v>
      </c>
      <c r="N600" s="3">
        <v>511</v>
      </c>
      <c r="O600" s="3" t="str">
        <f t="shared" si="46"/>
        <v>2021</v>
      </c>
      <c r="P600" s="2">
        <v>118</v>
      </c>
      <c r="Y600">
        <v>3.41</v>
      </c>
    </row>
    <row r="601" spans="1:25" x14ac:dyDescent="0.35">
      <c r="A601" s="3">
        <v>2024</v>
      </c>
      <c r="B601">
        <v>8</v>
      </c>
      <c r="C601" s="3">
        <v>19</v>
      </c>
      <c r="D601" s="2">
        <v>823</v>
      </c>
      <c r="E601" s="3" t="s">
        <v>305</v>
      </c>
      <c r="F601" s="3">
        <v>3</v>
      </c>
      <c r="G601" s="3" t="s">
        <v>225</v>
      </c>
      <c r="H601" s="3" t="str">
        <f t="shared" si="47"/>
        <v>2021</v>
      </c>
      <c r="I601" s="3">
        <v>3</v>
      </c>
      <c r="J601" s="69"/>
      <c r="K601">
        <v>3</v>
      </c>
      <c r="L601">
        <v>3</v>
      </c>
      <c r="M601">
        <v>117.9</v>
      </c>
      <c r="N601" s="3">
        <v>511</v>
      </c>
      <c r="O601" s="3" t="str">
        <f t="shared" si="46"/>
        <v>2021</v>
      </c>
      <c r="P601" s="2">
        <v>823</v>
      </c>
    </row>
    <row r="602" spans="1:25" x14ac:dyDescent="0.35">
      <c r="A602" s="3">
        <v>2024</v>
      </c>
      <c r="B602" s="3">
        <v>3</v>
      </c>
      <c r="C602" s="3">
        <v>28</v>
      </c>
      <c r="D602" s="2">
        <v>683</v>
      </c>
      <c r="E602" s="3" t="s">
        <v>1104</v>
      </c>
      <c r="F602" s="3">
        <v>2</v>
      </c>
      <c r="G602" s="3" t="s">
        <v>41</v>
      </c>
      <c r="H602" s="3" t="str">
        <f t="shared" si="47"/>
        <v>2013</v>
      </c>
      <c r="I602" s="3">
        <v>11</v>
      </c>
      <c r="J602" s="69"/>
      <c r="K602" t="s">
        <v>583</v>
      </c>
      <c r="L602" t="s">
        <v>318</v>
      </c>
      <c r="M602">
        <v>118.8</v>
      </c>
      <c r="N602" s="3">
        <v>512</v>
      </c>
      <c r="O602" s="3" t="str">
        <f t="shared" si="46"/>
        <v>2011</v>
      </c>
      <c r="P602" s="2">
        <v>683</v>
      </c>
      <c r="S602">
        <v>5.45</v>
      </c>
    </row>
    <row r="603" spans="1:25" x14ac:dyDescent="0.35">
      <c r="A603" s="3">
        <v>2022</v>
      </c>
      <c r="B603" s="3">
        <v>11</v>
      </c>
      <c r="C603" s="3">
        <v>1</v>
      </c>
      <c r="D603" s="2">
        <v>364</v>
      </c>
      <c r="E603" s="3" t="s">
        <v>830</v>
      </c>
      <c r="F603" s="3">
        <v>4</v>
      </c>
      <c r="G603" s="3" t="s">
        <v>41</v>
      </c>
      <c r="H603" s="3" t="str">
        <f t="shared" si="47"/>
        <v>2013</v>
      </c>
      <c r="I603" s="3">
        <v>9</v>
      </c>
      <c r="J603" s="69"/>
      <c r="K603" s="3" t="s">
        <v>583</v>
      </c>
      <c r="L603" s="3" t="s">
        <v>318</v>
      </c>
      <c r="M603" s="3">
        <v>105.2</v>
      </c>
      <c r="N603" s="3">
        <v>513</v>
      </c>
      <c r="O603" s="3" t="str">
        <f t="shared" si="46"/>
        <v>2011</v>
      </c>
      <c r="P603" s="2">
        <v>364</v>
      </c>
    </row>
    <row r="604" spans="1:25" x14ac:dyDescent="0.35">
      <c r="A604" s="3">
        <v>2021</v>
      </c>
      <c r="B604" s="3">
        <v>10</v>
      </c>
      <c r="C604" s="3">
        <v>11</v>
      </c>
      <c r="D604" s="2">
        <v>467</v>
      </c>
      <c r="E604" s="3" t="s">
        <v>105</v>
      </c>
      <c r="F604" s="3">
        <v>4</v>
      </c>
      <c r="G604" s="3" t="s">
        <v>226</v>
      </c>
      <c r="H604" s="3" t="str">
        <f t="shared" si="47"/>
        <v>2018</v>
      </c>
      <c r="I604" s="3">
        <v>3</v>
      </c>
      <c r="J604" s="69"/>
      <c r="K604" s="3" t="s">
        <v>51</v>
      </c>
      <c r="L604" s="3" t="s">
        <v>920</v>
      </c>
      <c r="M604" s="16">
        <v>120</v>
      </c>
      <c r="N604" s="3">
        <v>513</v>
      </c>
      <c r="O604" s="3" t="str">
        <f t="shared" si="46"/>
        <v>2017</v>
      </c>
      <c r="P604" s="2">
        <v>467</v>
      </c>
    </row>
    <row r="605" spans="1:25" x14ac:dyDescent="0.35">
      <c r="A605" s="3">
        <v>2021</v>
      </c>
      <c r="B605" s="3" t="s">
        <v>28</v>
      </c>
      <c r="C605" s="3" t="s">
        <v>28</v>
      </c>
      <c r="D605" s="2">
        <v>488</v>
      </c>
      <c r="E605" s="3" t="s">
        <v>112</v>
      </c>
      <c r="F605" s="3" t="s">
        <v>28</v>
      </c>
      <c r="G605" s="3" t="s">
        <v>226</v>
      </c>
      <c r="H605" s="3" t="str">
        <f t="shared" si="47"/>
        <v>2018</v>
      </c>
      <c r="I605" s="3">
        <v>3</v>
      </c>
      <c r="J605" s="69"/>
      <c r="K605" s="3" t="s">
        <v>51</v>
      </c>
      <c r="L605" s="3" t="s">
        <v>942</v>
      </c>
      <c r="M605" s="16">
        <v>140</v>
      </c>
      <c r="N605" s="3">
        <v>514</v>
      </c>
      <c r="O605" s="3" t="str">
        <f t="shared" si="46"/>
        <v>2017</v>
      </c>
      <c r="P605" s="2">
        <v>488</v>
      </c>
    </row>
    <row r="606" spans="1:25" x14ac:dyDescent="0.35">
      <c r="A606" s="3">
        <v>2024</v>
      </c>
      <c r="B606" s="3">
        <v>8</v>
      </c>
      <c r="C606" s="3">
        <v>19</v>
      </c>
      <c r="D606" s="2">
        <v>750</v>
      </c>
      <c r="E606" s="3" t="s">
        <v>262</v>
      </c>
      <c r="F606" s="3">
        <v>3</v>
      </c>
      <c r="G606" s="3" t="s">
        <v>225</v>
      </c>
      <c r="H606" s="3" t="str">
        <f t="shared" si="47"/>
        <v>2021</v>
      </c>
      <c r="I606" s="3">
        <v>3</v>
      </c>
      <c r="J606" s="69"/>
      <c r="K606">
        <v>3</v>
      </c>
      <c r="L606">
        <v>3</v>
      </c>
      <c r="M606">
        <v>150.19999999999999</v>
      </c>
      <c r="N606" s="3">
        <v>514</v>
      </c>
      <c r="O606" s="3" t="str">
        <f t="shared" si="46"/>
        <v>2021</v>
      </c>
      <c r="P606" s="2">
        <v>750</v>
      </c>
    </row>
    <row r="607" spans="1:25" x14ac:dyDescent="0.35">
      <c r="A607" s="3">
        <v>2023</v>
      </c>
      <c r="B607" s="3">
        <v>7</v>
      </c>
      <c r="C607" s="3">
        <v>19</v>
      </c>
      <c r="D607" s="2">
        <v>346</v>
      </c>
      <c r="E607" s="3" t="s">
        <v>812</v>
      </c>
      <c r="F607" s="3">
        <v>3</v>
      </c>
      <c r="G607" s="3" t="s">
        <v>41</v>
      </c>
      <c r="H607" s="3" t="str">
        <f t="shared" si="47"/>
        <v>2012</v>
      </c>
      <c r="I607" s="3">
        <v>11</v>
      </c>
      <c r="J607" s="69"/>
      <c r="K607" s="3" t="s">
        <v>541</v>
      </c>
      <c r="L607" s="3" t="s">
        <v>461</v>
      </c>
      <c r="M607" s="3">
        <v>119.3</v>
      </c>
      <c r="N607" s="3">
        <v>515</v>
      </c>
      <c r="O607" s="3" t="str">
        <f t="shared" si="46"/>
        <v>2011</v>
      </c>
      <c r="P607" s="2">
        <v>346</v>
      </c>
      <c r="T607">
        <v>4.21</v>
      </c>
    </row>
    <row r="608" spans="1:25" x14ac:dyDescent="0.35">
      <c r="A608" s="3">
        <v>2016</v>
      </c>
      <c r="B608" s="3">
        <v>9</v>
      </c>
      <c r="C608" s="3">
        <v>1</v>
      </c>
      <c r="D608" s="2">
        <v>263</v>
      </c>
      <c r="E608" s="3" t="s">
        <v>724</v>
      </c>
      <c r="F608" s="3">
        <v>3</v>
      </c>
      <c r="G608" s="3" t="s">
        <v>45</v>
      </c>
      <c r="H608" s="3" t="str">
        <f t="shared" si="47"/>
        <v>2011</v>
      </c>
      <c r="I608" s="3">
        <v>5</v>
      </c>
      <c r="J608" s="69"/>
      <c r="K608" s="3" t="s">
        <v>718</v>
      </c>
      <c r="L608" s="3" t="s">
        <v>317</v>
      </c>
      <c r="M608" s="3">
        <v>136.19999999999999</v>
      </c>
      <c r="N608" s="3">
        <v>515</v>
      </c>
      <c r="O608" s="3" t="str">
        <f t="shared" si="46"/>
        <v>2007</v>
      </c>
      <c r="P608" s="2">
        <v>263</v>
      </c>
    </row>
    <row r="609" spans="1:25" x14ac:dyDescent="0.35">
      <c r="A609" s="3">
        <v>2023</v>
      </c>
      <c r="B609" s="3">
        <v>7</v>
      </c>
      <c r="C609" s="3">
        <v>19</v>
      </c>
      <c r="D609" s="2">
        <v>374</v>
      </c>
      <c r="E609" s="3" t="s">
        <v>840</v>
      </c>
      <c r="F609" s="3">
        <v>3</v>
      </c>
      <c r="G609" s="3" t="s">
        <v>41</v>
      </c>
      <c r="H609" s="3" t="str">
        <f t="shared" si="47"/>
        <v>2012</v>
      </c>
      <c r="I609" s="3">
        <v>11</v>
      </c>
      <c r="J609" s="69"/>
      <c r="K609" s="3" t="s">
        <v>544</v>
      </c>
      <c r="L609" s="3" t="s">
        <v>461</v>
      </c>
      <c r="M609" s="3">
        <v>116.9</v>
      </c>
      <c r="N609" s="3">
        <v>515</v>
      </c>
      <c r="O609" s="3" t="str">
        <f t="shared" si="46"/>
        <v>2011</v>
      </c>
      <c r="P609" s="2">
        <v>374</v>
      </c>
    </row>
    <row r="610" spans="1:25" x14ac:dyDescent="0.35">
      <c r="A610" s="3">
        <v>2022</v>
      </c>
      <c r="B610" s="3">
        <v>11</v>
      </c>
      <c r="C610" s="3">
        <v>1</v>
      </c>
      <c r="D610" s="2">
        <v>373</v>
      </c>
      <c r="E610" s="3" t="s">
        <v>839</v>
      </c>
      <c r="F610" s="3">
        <v>4</v>
      </c>
      <c r="G610" s="3" t="s">
        <v>41</v>
      </c>
      <c r="H610" s="3" t="str">
        <f t="shared" si="47"/>
        <v>2013</v>
      </c>
      <c r="I610" s="3">
        <v>9</v>
      </c>
      <c r="J610" s="69"/>
      <c r="K610" s="3" t="s">
        <v>42</v>
      </c>
      <c r="L610" s="3" t="s">
        <v>318</v>
      </c>
      <c r="M610" s="3">
        <v>121.2</v>
      </c>
      <c r="N610" s="3">
        <v>516</v>
      </c>
      <c r="O610" s="3" t="str">
        <f t="shared" si="46"/>
        <v>2011</v>
      </c>
      <c r="P610" s="2">
        <v>373</v>
      </c>
    </row>
    <row r="611" spans="1:25" x14ac:dyDescent="0.35">
      <c r="A611" s="3">
        <v>2021</v>
      </c>
      <c r="B611" s="3">
        <v>10</v>
      </c>
      <c r="C611" s="3">
        <v>11</v>
      </c>
      <c r="D611" s="2">
        <v>469</v>
      </c>
      <c r="E611" s="3" t="s">
        <v>924</v>
      </c>
      <c r="F611" s="3">
        <v>4</v>
      </c>
      <c r="G611" s="3" t="s">
        <v>226</v>
      </c>
      <c r="H611" s="3" t="str">
        <f t="shared" si="47"/>
        <v>2018</v>
      </c>
      <c r="I611" s="3">
        <v>3</v>
      </c>
      <c r="J611" s="69"/>
      <c r="K611" s="3" t="s">
        <v>51</v>
      </c>
      <c r="L611" s="3" t="s">
        <v>920</v>
      </c>
      <c r="M611" s="16">
        <v>125</v>
      </c>
      <c r="N611" s="3">
        <v>516</v>
      </c>
      <c r="O611" s="3" t="str">
        <f t="shared" si="46"/>
        <v>2017</v>
      </c>
      <c r="P611" s="2">
        <v>469</v>
      </c>
    </row>
    <row r="612" spans="1:25" x14ac:dyDescent="0.35">
      <c r="A612" s="3">
        <v>2021</v>
      </c>
      <c r="B612" s="3">
        <v>10</v>
      </c>
      <c r="C612" s="3">
        <v>11</v>
      </c>
      <c r="D612" s="2">
        <v>462</v>
      </c>
      <c r="E612" s="3" t="s">
        <v>918</v>
      </c>
      <c r="F612" s="3">
        <v>4</v>
      </c>
      <c r="G612" s="3" t="s">
        <v>226</v>
      </c>
      <c r="H612" s="3" t="str">
        <f t="shared" si="47"/>
        <v>2018</v>
      </c>
      <c r="I612" s="3">
        <v>3</v>
      </c>
      <c r="J612" s="69"/>
      <c r="K612" s="3" t="s">
        <v>51</v>
      </c>
      <c r="L612" s="3" t="s">
        <v>916</v>
      </c>
      <c r="M612" s="16">
        <v>160</v>
      </c>
      <c r="N612" s="3">
        <v>517</v>
      </c>
      <c r="O612" s="3" t="str">
        <f t="shared" si="46"/>
        <v>2017</v>
      </c>
      <c r="P612" s="2">
        <v>462</v>
      </c>
    </row>
    <row r="613" spans="1:25" x14ac:dyDescent="0.35">
      <c r="A613" s="3">
        <v>2016</v>
      </c>
      <c r="B613" s="3">
        <v>9</v>
      </c>
      <c r="C613" s="3">
        <v>1</v>
      </c>
      <c r="D613" s="2">
        <v>258</v>
      </c>
      <c r="E613" s="3" t="s">
        <v>719</v>
      </c>
      <c r="F613" s="3">
        <v>3</v>
      </c>
      <c r="G613" s="3" t="s">
        <v>45</v>
      </c>
      <c r="H613" s="3" t="str">
        <f t="shared" si="47"/>
        <v>2011</v>
      </c>
      <c r="I613" s="3">
        <v>5</v>
      </c>
      <c r="J613" s="69"/>
      <c r="K613" s="3" t="s">
        <v>718</v>
      </c>
      <c r="L613" s="3" t="s">
        <v>317</v>
      </c>
      <c r="M613" s="3">
        <v>139.9</v>
      </c>
      <c r="N613" s="3">
        <v>519</v>
      </c>
      <c r="O613" s="3" t="str">
        <f t="shared" si="46"/>
        <v>2007</v>
      </c>
      <c r="P613" s="2">
        <v>258</v>
      </c>
      <c r="S613">
        <v>4.82</v>
      </c>
      <c r="W613">
        <v>2.87</v>
      </c>
      <c r="X613">
        <v>2.76</v>
      </c>
    </row>
    <row r="614" spans="1:25" x14ac:dyDescent="0.35">
      <c r="A614" s="3">
        <v>2021</v>
      </c>
      <c r="B614" s="3" t="s">
        <v>28</v>
      </c>
      <c r="C614" s="3" t="s">
        <v>28</v>
      </c>
      <c r="D614" s="2">
        <v>1</v>
      </c>
      <c r="E614" s="3" t="s">
        <v>444</v>
      </c>
      <c r="F614" s="3" t="s">
        <v>28</v>
      </c>
      <c r="G614" s="3" t="s">
        <v>45</v>
      </c>
      <c r="H614" s="3" t="str">
        <f t="shared" si="47"/>
        <v>2011</v>
      </c>
      <c r="I614" s="3">
        <v>10</v>
      </c>
      <c r="J614" s="69"/>
      <c r="K614" s="3" t="s">
        <v>317</v>
      </c>
      <c r="L614" s="3" t="s">
        <v>317</v>
      </c>
      <c r="M614" s="3">
        <v>138.80000000000001</v>
      </c>
      <c r="N614" s="3">
        <v>519</v>
      </c>
      <c r="O614" s="3" t="str">
        <f t="shared" si="46"/>
        <v>2007</v>
      </c>
      <c r="P614" s="2">
        <v>1</v>
      </c>
      <c r="Y614">
        <v>3.53</v>
      </c>
    </row>
    <row r="615" spans="1:25" x14ac:dyDescent="0.35">
      <c r="A615" s="3">
        <v>2021</v>
      </c>
      <c r="B615" s="3">
        <v>4</v>
      </c>
      <c r="C615" s="3">
        <v>13</v>
      </c>
      <c r="D615" s="2">
        <v>496</v>
      </c>
      <c r="E615" s="3" t="s">
        <v>950</v>
      </c>
      <c r="F615" s="3">
        <v>2</v>
      </c>
      <c r="G615" s="3" t="s">
        <v>226</v>
      </c>
      <c r="H615" s="3" t="str">
        <f t="shared" si="47"/>
        <v>2018</v>
      </c>
      <c r="I615" s="3">
        <v>3</v>
      </c>
      <c r="J615" s="69"/>
      <c r="K615" s="3" t="s">
        <v>51</v>
      </c>
      <c r="L615" s="3" t="s">
        <v>929</v>
      </c>
      <c r="M615" s="16">
        <v>165</v>
      </c>
      <c r="N615" s="3">
        <v>520</v>
      </c>
      <c r="O615" s="3" t="str">
        <f t="shared" si="46"/>
        <v>2017</v>
      </c>
      <c r="P615" s="2">
        <v>496</v>
      </c>
    </row>
    <row r="616" spans="1:25" x14ac:dyDescent="0.35">
      <c r="A616" s="3">
        <v>2024</v>
      </c>
      <c r="B616" s="3">
        <v>1</v>
      </c>
      <c r="C616" s="3">
        <v>17</v>
      </c>
      <c r="D616" s="2">
        <v>566</v>
      </c>
      <c r="E616" s="3" t="s">
        <v>1011</v>
      </c>
      <c r="F616" s="3">
        <v>1</v>
      </c>
      <c r="G616" s="3" t="s">
        <v>41</v>
      </c>
      <c r="H616" s="3" t="str">
        <f t="shared" si="47"/>
        <v>2013</v>
      </c>
      <c r="I616" s="3">
        <v>11</v>
      </c>
      <c r="J616" s="69"/>
      <c r="K616" t="s">
        <v>42</v>
      </c>
      <c r="L616" s="3" t="s">
        <v>318</v>
      </c>
      <c r="M616">
        <v>186</v>
      </c>
      <c r="N616" s="3">
        <v>521</v>
      </c>
      <c r="O616" s="3" t="str">
        <f t="shared" si="46"/>
        <v>2011</v>
      </c>
      <c r="P616" s="2">
        <v>566</v>
      </c>
    </row>
    <row r="617" spans="1:25" x14ac:dyDescent="0.35">
      <c r="A617" s="3">
        <v>2024</v>
      </c>
      <c r="B617" s="3">
        <v>1</v>
      </c>
      <c r="C617" s="3">
        <v>16</v>
      </c>
      <c r="D617" s="2">
        <v>595</v>
      </c>
      <c r="E617" s="3" t="s">
        <v>1039</v>
      </c>
      <c r="F617" s="3">
        <v>1</v>
      </c>
      <c r="G617" s="3" t="s">
        <v>45</v>
      </c>
      <c r="H617" s="3" t="str">
        <f t="shared" si="47"/>
        <v>2011</v>
      </c>
      <c r="I617" s="3">
        <v>13</v>
      </c>
      <c r="J617" s="69"/>
      <c r="K617" t="s">
        <v>990</v>
      </c>
      <c r="L617" s="3" t="s">
        <v>317</v>
      </c>
      <c r="M617">
        <v>141.80000000000001</v>
      </c>
      <c r="N617" s="3">
        <v>521</v>
      </c>
      <c r="O617" s="3" t="str">
        <f t="shared" si="46"/>
        <v>2007</v>
      </c>
      <c r="P617" s="2">
        <v>595</v>
      </c>
    </row>
    <row r="618" spans="1:25" x14ac:dyDescent="0.35">
      <c r="A618" s="3">
        <v>2023</v>
      </c>
      <c r="B618" s="3">
        <v>11</v>
      </c>
      <c r="C618" s="3">
        <v>3</v>
      </c>
      <c r="D618" s="2">
        <v>508</v>
      </c>
      <c r="E618" s="3" t="s">
        <v>962</v>
      </c>
      <c r="F618" s="3">
        <v>4</v>
      </c>
      <c r="G618" s="3" t="s">
        <v>226</v>
      </c>
      <c r="H618" s="3" t="str">
        <f t="shared" si="47"/>
        <v>2017</v>
      </c>
      <c r="I618" s="3">
        <v>6</v>
      </c>
      <c r="J618" s="69"/>
      <c r="K618" s="3" t="s">
        <v>783</v>
      </c>
      <c r="L618" s="3">
        <v>7</v>
      </c>
      <c r="M618" s="3">
        <v>124.3</v>
      </c>
      <c r="N618" s="3">
        <v>524</v>
      </c>
      <c r="O618" s="3" t="str">
        <f t="shared" si="46"/>
        <v>2017</v>
      </c>
      <c r="P618" s="2">
        <v>508</v>
      </c>
    </row>
    <row r="619" spans="1:25" x14ac:dyDescent="0.35">
      <c r="A619" s="3">
        <v>2024</v>
      </c>
      <c r="B619" s="3">
        <v>8</v>
      </c>
      <c r="C619" s="3">
        <v>9</v>
      </c>
      <c r="D619" s="2">
        <v>714</v>
      </c>
      <c r="E619" s="3" t="s">
        <v>1130</v>
      </c>
      <c r="F619" s="3">
        <v>3</v>
      </c>
      <c r="G619" s="3" t="s">
        <v>41</v>
      </c>
      <c r="H619" s="3" t="str">
        <f t="shared" si="47"/>
        <v>2013</v>
      </c>
      <c r="I619" s="3">
        <v>11</v>
      </c>
      <c r="J619" s="69"/>
      <c r="K619" t="s">
        <v>42</v>
      </c>
      <c r="L619" t="s">
        <v>318</v>
      </c>
      <c r="M619">
        <v>143.6</v>
      </c>
      <c r="N619" s="3">
        <v>524</v>
      </c>
      <c r="O619" s="3" t="str">
        <f t="shared" si="46"/>
        <v>2011</v>
      </c>
      <c r="P619" s="2">
        <v>714</v>
      </c>
    </row>
    <row r="620" spans="1:25" x14ac:dyDescent="0.35">
      <c r="A620" s="3">
        <v>2024</v>
      </c>
      <c r="B620" s="3">
        <v>6</v>
      </c>
      <c r="C620" s="3">
        <v>19</v>
      </c>
      <c r="D620" s="2">
        <v>800</v>
      </c>
      <c r="E620" s="3" t="s">
        <v>290</v>
      </c>
      <c r="F620" s="3">
        <v>3</v>
      </c>
      <c r="G620" s="3" t="s">
        <v>225</v>
      </c>
      <c r="H620" s="3" t="str">
        <f t="shared" si="47"/>
        <v>2021</v>
      </c>
      <c r="I620" s="3">
        <v>3</v>
      </c>
      <c r="J620" s="69"/>
      <c r="K620" t="s">
        <v>1162</v>
      </c>
      <c r="L620">
        <v>3</v>
      </c>
      <c r="M620">
        <v>182.5</v>
      </c>
      <c r="N620" s="3">
        <v>524</v>
      </c>
      <c r="O620" s="3" t="str">
        <f t="shared" si="46"/>
        <v>2021</v>
      </c>
      <c r="P620" s="2">
        <v>800</v>
      </c>
    </row>
    <row r="621" spans="1:25" x14ac:dyDescent="0.35">
      <c r="A621" s="3">
        <v>2017</v>
      </c>
      <c r="B621" s="3">
        <v>1</v>
      </c>
      <c r="C621" s="3">
        <v>20</v>
      </c>
      <c r="D621" s="2">
        <v>96</v>
      </c>
      <c r="E621" s="14" t="s">
        <v>542</v>
      </c>
      <c r="F621" s="15">
        <v>1</v>
      </c>
      <c r="G621" s="3" t="s">
        <v>41</v>
      </c>
      <c r="H621" s="3" t="str">
        <f t="shared" si="47"/>
        <v>2012</v>
      </c>
      <c r="I621" s="3">
        <v>5</v>
      </c>
      <c r="J621" s="69"/>
      <c r="K621" s="3" t="s">
        <v>541</v>
      </c>
      <c r="L621" s="3" t="s">
        <v>461</v>
      </c>
      <c r="M621" s="3">
        <v>128.80000000000001</v>
      </c>
      <c r="N621" s="3">
        <v>525</v>
      </c>
      <c r="O621" s="3" t="str">
        <f t="shared" si="46"/>
        <v>2011</v>
      </c>
      <c r="P621" s="2">
        <v>96</v>
      </c>
    </row>
    <row r="622" spans="1:25" x14ac:dyDescent="0.35">
      <c r="A622" s="3">
        <v>2024</v>
      </c>
      <c r="B622">
        <v>4</v>
      </c>
      <c r="C622" s="3">
        <v>9</v>
      </c>
      <c r="D622" s="2">
        <v>862</v>
      </c>
      <c r="E622" s="3" t="s">
        <v>316</v>
      </c>
      <c r="F622" s="3">
        <v>2</v>
      </c>
      <c r="G622" t="s">
        <v>225</v>
      </c>
      <c r="H622" s="3" t="str">
        <f t="shared" si="47"/>
        <v>2022</v>
      </c>
      <c r="I622" s="3">
        <v>2</v>
      </c>
      <c r="J622" s="69"/>
      <c r="K622" t="s">
        <v>234</v>
      </c>
      <c r="L622">
        <v>6</v>
      </c>
      <c r="M622">
        <v>174.1</v>
      </c>
      <c r="N622" s="3">
        <v>525</v>
      </c>
      <c r="O622" s="3" t="str">
        <f t="shared" si="46"/>
        <v>2021</v>
      </c>
      <c r="P622" s="2">
        <v>862</v>
      </c>
    </row>
    <row r="623" spans="1:25" x14ac:dyDescent="0.35">
      <c r="A623" s="3">
        <v>2016</v>
      </c>
      <c r="B623" s="3">
        <v>11</v>
      </c>
      <c r="C623" s="3">
        <v>16</v>
      </c>
      <c r="D623" s="2">
        <v>201</v>
      </c>
      <c r="E623" s="3" t="s">
        <v>654</v>
      </c>
      <c r="F623" s="3">
        <v>4</v>
      </c>
      <c r="G623" s="3" t="s">
        <v>41</v>
      </c>
      <c r="H623" s="3" t="str">
        <f t="shared" si="47"/>
        <v>2013</v>
      </c>
      <c r="I623" s="3">
        <v>3</v>
      </c>
      <c r="J623" s="69"/>
      <c r="K623" s="3" t="s">
        <v>42</v>
      </c>
      <c r="L623" s="3" t="s">
        <v>318</v>
      </c>
      <c r="M623" s="3">
        <v>139.80000000000001</v>
      </c>
      <c r="N623" s="3">
        <v>526</v>
      </c>
      <c r="O623" s="3" t="str">
        <f t="shared" si="46"/>
        <v>2011</v>
      </c>
      <c r="P623" s="2">
        <v>201</v>
      </c>
    </row>
    <row r="624" spans="1:25" x14ac:dyDescent="0.35">
      <c r="A624" s="3">
        <v>2024</v>
      </c>
      <c r="B624" s="3">
        <v>1</v>
      </c>
      <c r="C624" s="3">
        <v>17</v>
      </c>
      <c r="D624" s="2">
        <v>607</v>
      </c>
      <c r="E624" s="3" t="s">
        <v>1049</v>
      </c>
      <c r="F624" s="3">
        <v>1</v>
      </c>
      <c r="G624" s="3" t="s">
        <v>41</v>
      </c>
      <c r="H624" s="3" t="str">
        <f t="shared" si="47"/>
        <v>2013</v>
      </c>
      <c r="I624" s="3">
        <v>11</v>
      </c>
      <c r="J624" s="69"/>
      <c r="K624" t="s">
        <v>583</v>
      </c>
      <c r="L624" s="3" t="s">
        <v>318</v>
      </c>
      <c r="M624">
        <v>151.19999999999999</v>
      </c>
      <c r="N624" s="3">
        <v>527</v>
      </c>
      <c r="O624" s="3" t="str">
        <f t="shared" si="46"/>
        <v>2011</v>
      </c>
      <c r="P624" s="2">
        <v>607</v>
      </c>
      <c r="Y624">
        <v>5.15</v>
      </c>
    </row>
    <row r="625" spans="1:19" x14ac:dyDescent="0.35">
      <c r="A625" s="3">
        <v>2019</v>
      </c>
      <c r="B625" s="3">
        <v>10</v>
      </c>
      <c r="C625" s="3">
        <v>29</v>
      </c>
      <c r="D625" s="2">
        <v>370</v>
      </c>
      <c r="E625" s="3" t="s">
        <v>836</v>
      </c>
      <c r="F625" s="3">
        <v>4</v>
      </c>
      <c r="G625" s="3" t="s">
        <v>226</v>
      </c>
      <c r="H625" s="3" t="str">
        <f t="shared" si="47"/>
        <v>2017</v>
      </c>
      <c r="I625" s="3">
        <v>2</v>
      </c>
      <c r="J625" s="69"/>
      <c r="K625" s="3" t="s">
        <v>228</v>
      </c>
      <c r="L625" s="3">
        <v>7</v>
      </c>
      <c r="M625" s="3">
        <v>91.8</v>
      </c>
      <c r="N625" s="3">
        <v>528</v>
      </c>
      <c r="O625" s="3" t="str">
        <f t="shared" si="46"/>
        <v>2017</v>
      </c>
      <c r="P625" s="2">
        <v>370</v>
      </c>
    </row>
    <row r="626" spans="1:19" x14ac:dyDescent="0.35">
      <c r="A626" s="3">
        <v>2017</v>
      </c>
      <c r="B626" s="3">
        <v>8</v>
      </c>
      <c r="C626" s="3">
        <v>14</v>
      </c>
      <c r="D626" s="2">
        <v>123</v>
      </c>
      <c r="E626" s="14" t="s">
        <v>567</v>
      </c>
      <c r="F626" s="15">
        <v>3</v>
      </c>
      <c r="G626" s="3" t="s">
        <v>41</v>
      </c>
      <c r="H626" s="3" t="str">
        <f t="shared" si="47"/>
        <v>2012</v>
      </c>
      <c r="I626" s="3">
        <v>5</v>
      </c>
      <c r="J626" s="69"/>
      <c r="K626" s="3" t="s">
        <v>568</v>
      </c>
      <c r="L626" s="3" t="s">
        <v>461</v>
      </c>
      <c r="M626" s="3">
        <v>154.80000000000001</v>
      </c>
      <c r="N626" s="3">
        <v>530</v>
      </c>
      <c r="O626" s="3" t="str">
        <f t="shared" si="46"/>
        <v>2011</v>
      </c>
      <c r="P626" s="2">
        <v>123</v>
      </c>
    </row>
    <row r="627" spans="1:19" x14ac:dyDescent="0.35">
      <c r="A627" s="3">
        <v>2023</v>
      </c>
      <c r="B627" s="3">
        <v>7</v>
      </c>
      <c r="C627" s="3">
        <v>19</v>
      </c>
      <c r="D627" s="2">
        <v>356</v>
      </c>
      <c r="E627" s="3" t="s">
        <v>822</v>
      </c>
      <c r="F627" s="3">
        <v>3</v>
      </c>
      <c r="G627" s="3" t="s">
        <v>41</v>
      </c>
      <c r="H627" s="3" t="str">
        <f t="shared" si="47"/>
        <v>2013</v>
      </c>
      <c r="I627" s="3">
        <v>10</v>
      </c>
      <c r="J627" s="69"/>
      <c r="K627" s="3" t="s">
        <v>42</v>
      </c>
      <c r="L627" s="3" t="s">
        <v>318</v>
      </c>
      <c r="M627" s="3">
        <v>12.1</v>
      </c>
      <c r="N627" s="3">
        <v>534</v>
      </c>
      <c r="O627" s="3" t="str">
        <f t="shared" si="46"/>
        <v>2011</v>
      </c>
      <c r="P627" s="2">
        <v>356</v>
      </c>
      <c r="S627">
        <v>4.3600000000000003</v>
      </c>
    </row>
    <row r="628" spans="1:19" x14ac:dyDescent="0.35">
      <c r="A628" s="3">
        <v>2023</v>
      </c>
      <c r="B628" s="3">
        <v>7</v>
      </c>
      <c r="C628" s="3">
        <v>19</v>
      </c>
      <c r="D628" s="2">
        <v>356</v>
      </c>
      <c r="E628" s="3" t="s">
        <v>822</v>
      </c>
      <c r="F628" s="3">
        <v>3</v>
      </c>
      <c r="G628" s="3" t="s">
        <v>41</v>
      </c>
      <c r="H628" s="3" t="str">
        <f t="shared" si="47"/>
        <v>2013</v>
      </c>
      <c r="I628" s="3">
        <v>10</v>
      </c>
      <c r="J628" s="69"/>
      <c r="K628" s="3" t="s">
        <v>42</v>
      </c>
      <c r="L628" s="3" t="s">
        <v>318</v>
      </c>
      <c r="M628" s="3">
        <v>12.1</v>
      </c>
      <c r="N628" s="3">
        <v>534</v>
      </c>
      <c r="O628" s="3" t="str">
        <f t="shared" si="46"/>
        <v>2011</v>
      </c>
      <c r="P628" s="2">
        <v>356</v>
      </c>
      <c r="S628">
        <v>3.39</v>
      </c>
    </row>
    <row r="629" spans="1:19" x14ac:dyDescent="0.35">
      <c r="A629" s="3">
        <v>2018</v>
      </c>
      <c r="B629" s="3">
        <v>8</v>
      </c>
      <c r="C629" s="3">
        <v>15</v>
      </c>
      <c r="D629" s="2">
        <v>303</v>
      </c>
      <c r="E629" s="3" t="s">
        <v>769</v>
      </c>
      <c r="F629" s="3">
        <v>3</v>
      </c>
      <c r="G629" s="3" t="s">
        <v>41</v>
      </c>
      <c r="H629" s="3" t="str">
        <f t="shared" si="47"/>
        <v>2013</v>
      </c>
      <c r="I629" s="3">
        <v>5</v>
      </c>
      <c r="J629" s="69"/>
      <c r="K629" s="3" t="s">
        <v>49</v>
      </c>
      <c r="L629" s="3" t="s">
        <v>318</v>
      </c>
      <c r="M629" s="3">
        <v>151.6</v>
      </c>
      <c r="N629" s="3">
        <v>534</v>
      </c>
      <c r="O629" s="3" t="str">
        <f t="shared" si="46"/>
        <v>2011</v>
      </c>
      <c r="P629" s="2">
        <v>303</v>
      </c>
    </row>
    <row r="630" spans="1:19" x14ac:dyDescent="0.35">
      <c r="A630" s="3">
        <v>2022</v>
      </c>
      <c r="B630" s="3">
        <v>1</v>
      </c>
      <c r="C630" s="3" t="s">
        <v>28</v>
      </c>
      <c r="D630" s="2">
        <v>61</v>
      </c>
      <c r="E630" s="3" t="s">
        <v>504</v>
      </c>
      <c r="F630" s="3">
        <v>1</v>
      </c>
      <c r="G630" s="3" t="s">
        <v>41</v>
      </c>
      <c r="H630" s="3" t="str">
        <f t="shared" si="47"/>
        <v>2012</v>
      </c>
      <c r="I630" s="3">
        <v>10</v>
      </c>
      <c r="J630" s="69"/>
      <c r="K630" s="3" t="s">
        <v>461</v>
      </c>
      <c r="L630" s="3" t="s">
        <v>461</v>
      </c>
      <c r="M630" s="3">
        <v>223.2</v>
      </c>
      <c r="N630" s="3">
        <v>535</v>
      </c>
      <c r="O630" s="3" t="str">
        <f t="shared" si="46"/>
        <v>2011</v>
      </c>
      <c r="P630" s="2">
        <v>61</v>
      </c>
    </row>
    <row r="631" spans="1:19" x14ac:dyDescent="0.35">
      <c r="A631" s="3">
        <v>2017</v>
      </c>
      <c r="B631" s="3">
        <v>11</v>
      </c>
      <c r="C631" s="3">
        <v>8</v>
      </c>
      <c r="D631" s="2">
        <v>91</v>
      </c>
      <c r="E631" s="14" t="s">
        <v>536</v>
      </c>
      <c r="F631" s="15">
        <v>4</v>
      </c>
      <c r="G631" s="3" t="s">
        <v>45</v>
      </c>
      <c r="H631" s="3" t="str">
        <f t="shared" si="47"/>
        <v>2009</v>
      </c>
      <c r="I631" s="3">
        <v>8</v>
      </c>
      <c r="J631" s="69"/>
      <c r="K631" s="3" t="s">
        <v>488</v>
      </c>
      <c r="L631" s="3" t="s">
        <v>488</v>
      </c>
      <c r="M631" s="3">
        <v>20</v>
      </c>
      <c r="N631" s="3">
        <v>535</v>
      </c>
      <c r="O631" s="3" t="str">
        <f t="shared" si="46"/>
        <v>2007</v>
      </c>
      <c r="P631" s="2">
        <v>91</v>
      </c>
    </row>
    <row r="632" spans="1:19" x14ac:dyDescent="0.35">
      <c r="A632" s="3">
        <v>2016</v>
      </c>
      <c r="B632" s="3">
        <v>9</v>
      </c>
      <c r="C632" s="3">
        <v>2</v>
      </c>
      <c r="D632" s="2">
        <v>292</v>
      </c>
      <c r="E632" s="3" t="s">
        <v>758</v>
      </c>
      <c r="F632" s="3">
        <v>3</v>
      </c>
      <c r="G632" s="3" t="s">
        <v>41</v>
      </c>
      <c r="H632" s="3" t="str">
        <f t="shared" si="47"/>
        <v>2013</v>
      </c>
      <c r="I632" s="3">
        <v>3</v>
      </c>
      <c r="J632" s="69"/>
      <c r="K632" s="3" t="s">
        <v>42</v>
      </c>
      <c r="L632" s="3" t="s">
        <v>318</v>
      </c>
      <c r="M632" s="3">
        <v>175.5</v>
      </c>
      <c r="N632" s="3">
        <v>535</v>
      </c>
      <c r="O632" s="3" t="str">
        <f t="shared" si="46"/>
        <v>2011</v>
      </c>
      <c r="P632" s="2">
        <v>292</v>
      </c>
    </row>
    <row r="633" spans="1:19" x14ac:dyDescent="0.35">
      <c r="A633" s="3">
        <v>2024</v>
      </c>
      <c r="B633">
        <v>8</v>
      </c>
      <c r="C633" s="3">
        <v>16</v>
      </c>
      <c r="D633" s="2">
        <v>858</v>
      </c>
      <c r="E633" s="3" t="s">
        <v>313</v>
      </c>
      <c r="F633" s="3">
        <v>3</v>
      </c>
      <c r="G633" t="s">
        <v>225</v>
      </c>
      <c r="H633" s="3" t="str">
        <f t="shared" si="47"/>
        <v>2022</v>
      </c>
      <c r="I633" s="3">
        <v>2</v>
      </c>
      <c r="J633" s="69"/>
      <c r="K633" t="s">
        <v>235</v>
      </c>
      <c r="L633">
        <v>5</v>
      </c>
      <c r="M633">
        <v>183.7</v>
      </c>
      <c r="N633" s="3">
        <v>535</v>
      </c>
      <c r="O633" s="3" t="str">
        <f t="shared" si="46"/>
        <v>2021</v>
      </c>
      <c r="P633" s="2">
        <v>858</v>
      </c>
    </row>
    <row r="634" spans="1:19" x14ac:dyDescent="0.35">
      <c r="A634" s="3">
        <v>2016</v>
      </c>
      <c r="B634" s="3">
        <v>9</v>
      </c>
      <c r="C634" s="3">
        <v>1</v>
      </c>
      <c r="D634" s="2">
        <v>243</v>
      </c>
      <c r="E634" s="3" t="s">
        <v>701</v>
      </c>
      <c r="F634" s="3">
        <v>3</v>
      </c>
      <c r="G634" s="3" t="s">
        <v>45</v>
      </c>
      <c r="H634" s="3" t="str">
        <f t="shared" si="47"/>
        <v>2011</v>
      </c>
      <c r="I634" s="3">
        <v>5</v>
      </c>
      <c r="J634" s="69"/>
      <c r="K634" s="3" t="s">
        <v>647</v>
      </c>
      <c r="L634" s="3" t="s">
        <v>317</v>
      </c>
      <c r="M634" s="3">
        <v>212.8</v>
      </c>
      <c r="N634" s="3">
        <v>537</v>
      </c>
      <c r="O634" s="3" t="str">
        <f t="shared" si="46"/>
        <v>2007</v>
      </c>
      <c r="P634" s="2">
        <v>243</v>
      </c>
    </row>
    <row r="635" spans="1:19" x14ac:dyDescent="0.35">
      <c r="A635" s="3">
        <v>2021</v>
      </c>
      <c r="B635" s="3">
        <v>10</v>
      </c>
      <c r="C635" s="3">
        <v>11</v>
      </c>
      <c r="D635" s="2">
        <v>461</v>
      </c>
      <c r="E635" s="3" t="s">
        <v>917</v>
      </c>
      <c r="F635" s="3">
        <v>4</v>
      </c>
      <c r="G635" s="3" t="s">
        <v>226</v>
      </c>
      <c r="H635" s="3" t="str">
        <f t="shared" si="47"/>
        <v>2018</v>
      </c>
      <c r="I635" s="3">
        <v>3</v>
      </c>
      <c r="J635" s="69"/>
      <c r="K635" s="3" t="s">
        <v>51</v>
      </c>
      <c r="L635" s="3" t="s">
        <v>916</v>
      </c>
      <c r="M635" s="16">
        <v>135</v>
      </c>
      <c r="N635" s="3">
        <v>537</v>
      </c>
      <c r="O635" s="3" t="str">
        <f t="shared" si="46"/>
        <v>2017</v>
      </c>
      <c r="P635" s="2">
        <v>461</v>
      </c>
    </row>
    <row r="636" spans="1:19" x14ac:dyDescent="0.35">
      <c r="A636" s="3">
        <v>2016</v>
      </c>
      <c r="B636" s="3">
        <v>9</v>
      </c>
      <c r="C636" s="3">
        <v>1</v>
      </c>
      <c r="D636" s="2">
        <v>298</v>
      </c>
      <c r="E636" s="3" t="s">
        <v>764</v>
      </c>
      <c r="F636" s="3">
        <v>3</v>
      </c>
      <c r="G636" s="3" t="s">
        <v>45</v>
      </c>
      <c r="H636" s="3" t="str">
        <f t="shared" si="47"/>
        <v>2011</v>
      </c>
      <c r="I636" s="3">
        <v>5</v>
      </c>
      <c r="J636" s="69"/>
      <c r="K636" s="3" t="s">
        <v>632</v>
      </c>
      <c r="L636" s="3" t="s">
        <v>317</v>
      </c>
      <c r="M636" s="3">
        <v>20.3</v>
      </c>
      <c r="N636" s="3">
        <v>540</v>
      </c>
      <c r="O636" s="3" t="str">
        <f t="shared" si="46"/>
        <v>2007</v>
      </c>
      <c r="P636" s="2">
        <v>298</v>
      </c>
    </row>
    <row r="637" spans="1:19" x14ac:dyDescent="0.35">
      <c r="A637" s="3">
        <v>2021</v>
      </c>
      <c r="B637" s="3">
        <v>10</v>
      </c>
      <c r="C637" s="3" t="s">
        <v>28</v>
      </c>
      <c r="D637" s="2">
        <v>16</v>
      </c>
      <c r="E637" s="3" t="s">
        <v>459</v>
      </c>
      <c r="F637" s="3">
        <v>4</v>
      </c>
      <c r="G637" s="3" t="s">
        <v>41</v>
      </c>
      <c r="H637" s="3" t="str">
        <f t="shared" si="47"/>
        <v>2013</v>
      </c>
      <c r="I637" s="3">
        <v>8</v>
      </c>
      <c r="J637" s="69"/>
      <c r="K637" s="3" t="s">
        <v>458</v>
      </c>
      <c r="L637" s="3" t="s">
        <v>458</v>
      </c>
      <c r="M637" s="3">
        <v>160.6</v>
      </c>
      <c r="N637" s="3">
        <v>541</v>
      </c>
      <c r="O637" s="3" t="str">
        <f t="shared" si="46"/>
        <v>2011</v>
      </c>
      <c r="P637" s="2">
        <v>16</v>
      </c>
    </row>
    <row r="638" spans="1:19" x14ac:dyDescent="0.35">
      <c r="A638" s="3">
        <v>2024</v>
      </c>
      <c r="B638" s="3">
        <v>1</v>
      </c>
      <c r="C638" s="3">
        <v>24</v>
      </c>
      <c r="D638" s="2">
        <v>606</v>
      </c>
      <c r="E638" s="3" t="s">
        <v>99</v>
      </c>
      <c r="F638" s="3">
        <v>1</v>
      </c>
      <c r="G638" s="3" t="s">
        <v>20</v>
      </c>
      <c r="H638" s="3" t="str">
        <f t="shared" si="47"/>
        <v>2018</v>
      </c>
      <c r="I638" s="3">
        <v>6</v>
      </c>
      <c r="J638" s="69"/>
      <c r="K638" t="s">
        <v>234</v>
      </c>
      <c r="L638">
        <v>6</v>
      </c>
      <c r="M638">
        <v>212.1</v>
      </c>
      <c r="N638" s="3">
        <v>543</v>
      </c>
      <c r="O638" s="3" t="str">
        <f t="shared" si="46"/>
        <v>2018</v>
      </c>
      <c r="P638" s="2">
        <v>606</v>
      </c>
    </row>
    <row r="639" spans="1:19" x14ac:dyDescent="0.35">
      <c r="A639" s="3">
        <v>2024</v>
      </c>
      <c r="B639" s="3">
        <v>6</v>
      </c>
      <c r="C639" s="3">
        <v>19</v>
      </c>
      <c r="D639" s="2">
        <v>805</v>
      </c>
      <c r="E639" s="3" t="s">
        <v>1175</v>
      </c>
      <c r="F639" s="3">
        <v>3</v>
      </c>
      <c r="G639" s="3" t="s">
        <v>225</v>
      </c>
      <c r="H639" s="3" t="str">
        <f t="shared" si="47"/>
        <v>2021</v>
      </c>
      <c r="I639" s="3">
        <v>3</v>
      </c>
      <c r="J639" s="69"/>
      <c r="K639" t="s">
        <v>237</v>
      </c>
      <c r="L639">
        <v>3</v>
      </c>
      <c r="M639">
        <v>176.9</v>
      </c>
      <c r="N639" s="3">
        <v>543</v>
      </c>
      <c r="O639" s="3" t="str">
        <f t="shared" si="46"/>
        <v>2021</v>
      </c>
      <c r="P639" s="2">
        <v>805</v>
      </c>
    </row>
    <row r="640" spans="1:19" x14ac:dyDescent="0.35">
      <c r="A640" s="3">
        <v>2024</v>
      </c>
      <c r="B640" s="3">
        <v>1</v>
      </c>
      <c r="C640" s="3">
        <v>17</v>
      </c>
      <c r="D640" s="2">
        <v>565</v>
      </c>
      <c r="E640" s="3" t="s">
        <v>1010</v>
      </c>
      <c r="F640" s="3">
        <v>1</v>
      </c>
      <c r="G640" s="3" t="s">
        <v>41</v>
      </c>
      <c r="H640" s="3" t="str">
        <f t="shared" si="47"/>
        <v>2013</v>
      </c>
      <c r="I640" s="3">
        <v>11</v>
      </c>
      <c r="J640" s="69"/>
      <c r="K640" t="s">
        <v>42</v>
      </c>
      <c r="L640" s="3" t="s">
        <v>318</v>
      </c>
      <c r="M640">
        <v>192</v>
      </c>
      <c r="N640" s="3">
        <v>544</v>
      </c>
      <c r="O640" s="3" t="str">
        <f t="shared" si="46"/>
        <v>2011</v>
      </c>
      <c r="P640" s="2">
        <v>565</v>
      </c>
      <c r="S640">
        <v>5.15</v>
      </c>
    </row>
    <row r="641" spans="1:23" x14ac:dyDescent="0.35">
      <c r="A641" s="3">
        <v>2016</v>
      </c>
      <c r="B641" s="3">
        <v>11</v>
      </c>
      <c r="C641" s="3">
        <v>7</v>
      </c>
      <c r="D641" s="2">
        <v>193</v>
      </c>
      <c r="E641" s="3" t="s">
        <v>645</v>
      </c>
      <c r="F641" s="3">
        <v>4</v>
      </c>
      <c r="G641" s="3" t="s">
        <v>45</v>
      </c>
      <c r="H641" s="3" t="str">
        <f t="shared" si="47"/>
        <v>2011</v>
      </c>
      <c r="I641" s="3">
        <v>5</v>
      </c>
      <c r="J641" s="69"/>
      <c r="K641" s="3" t="s">
        <v>644</v>
      </c>
      <c r="L641" s="3" t="s">
        <v>317</v>
      </c>
      <c r="M641" s="3">
        <v>16.100000000000001</v>
      </c>
      <c r="N641" s="3">
        <v>545</v>
      </c>
      <c r="O641" s="3" t="str">
        <f t="shared" si="46"/>
        <v>2007</v>
      </c>
      <c r="P641" s="2">
        <v>193</v>
      </c>
    </row>
    <row r="642" spans="1:23" x14ac:dyDescent="0.35">
      <c r="A642" s="3">
        <v>2023</v>
      </c>
      <c r="B642" s="3">
        <v>2</v>
      </c>
      <c r="C642" s="3">
        <v>13</v>
      </c>
      <c r="D642" s="2">
        <v>151</v>
      </c>
      <c r="E642" s="3" t="s">
        <v>596</v>
      </c>
      <c r="F642" s="3">
        <v>1</v>
      </c>
      <c r="G642" s="3" t="s">
        <v>41</v>
      </c>
      <c r="H642" s="3" t="str">
        <f t="shared" si="47"/>
        <v>2012</v>
      </c>
      <c r="I642" s="3">
        <v>11</v>
      </c>
      <c r="J642" s="69"/>
      <c r="K642" s="3" t="s">
        <v>461</v>
      </c>
      <c r="L642" s="3" t="s">
        <v>461</v>
      </c>
      <c r="M642" s="3">
        <v>162.9</v>
      </c>
      <c r="N642" s="3">
        <v>548</v>
      </c>
      <c r="O642" s="3" t="str">
        <f t="shared" ref="O642:O705" si="48">IF(G642="PHD", "2007", IF(G642="TSL", "2011", IF(G642 = "SRS", "2018", IF(G642="WCA 3B", "2017", IF(G642="WCA 3A", "2021")))))</f>
        <v>2011</v>
      </c>
      <c r="P642" s="2">
        <v>151</v>
      </c>
      <c r="S642">
        <v>2.67</v>
      </c>
    </row>
    <row r="643" spans="1:23" x14ac:dyDescent="0.35">
      <c r="A643" s="3">
        <v>2016</v>
      </c>
      <c r="B643" s="3">
        <v>8</v>
      </c>
      <c r="C643" s="3">
        <v>31</v>
      </c>
      <c r="D643" s="2">
        <v>284</v>
      </c>
      <c r="E643" s="3" t="s">
        <v>748</v>
      </c>
      <c r="F643" s="3">
        <v>3</v>
      </c>
      <c r="G643" s="3" t="s">
        <v>45</v>
      </c>
      <c r="H643" s="3" t="str">
        <f t="shared" si="47"/>
        <v>2011</v>
      </c>
      <c r="I643" s="3">
        <v>5</v>
      </c>
      <c r="J643" s="69"/>
      <c r="K643" s="3" t="s">
        <v>749</v>
      </c>
      <c r="L643" s="3" t="s">
        <v>317</v>
      </c>
      <c r="M643" s="3">
        <v>168.7</v>
      </c>
      <c r="N643" s="3">
        <v>548</v>
      </c>
      <c r="O643" s="3" t="str">
        <f t="shared" si="48"/>
        <v>2007</v>
      </c>
      <c r="P643" s="2">
        <v>284</v>
      </c>
    </row>
    <row r="644" spans="1:23" x14ac:dyDescent="0.35">
      <c r="A644" s="3">
        <v>2016</v>
      </c>
      <c r="B644" s="3">
        <v>9</v>
      </c>
      <c r="C644" s="3">
        <v>1</v>
      </c>
      <c r="D644" s="2">
        <v>235</v>
      </c>
      <c r="E644" s="3" t="s">
        <v>693</v>
      </c>
      <c r="F644" s="3">
        <v>3</v>
      </c>
      <c r="G644" s="3" t="s">
        <v>45</v>
      </c>
      <c r="H644" s="3" t="str">
        <f t="shared" si="47"/>
        <v>2011</v>
      </c>
      <c r="I644" s="3">
        <v>5</v>
      </c>
      <c r="J644" s="69"/>
      <c r="K644" s="3" t="s">
        <v>647</v>
      </c>
      <c r="L644" s="3" t="s">
        <v>317</v>
      </c>
      <c r="M644" s="3">
        <v>179.3</v>
      </c>
      <c r="N644" s="3">
        <v>549</v>
      </c>
      <c r="O644" s="3" t="str">
        <f t="shared" si="48"/>
        <v>2007</v>
      </c>
      <c r="P644" s="2">
        <v>235</v>
      </c>
    </row>
    <row r="645" spans="1:23" x14ac:dyDescent="0.35">
      <c r="A645" s="3">
        <v>2023</v>
      </c>
      <c r="B645" s="3">
        <v>7</v>
      </c>
      <c r="C645" s="3">
        <v>19</v>
      </c>
      <c r="D645" s="2">
        <v>345</v>
      </c>
      <c r="E645" s="3" t="s">
        <v>811</v>
      </c>
      <c r="F645" s="3">
        <v>3</v>
      </c>
      <c r="G645" s="3" t="s">
        <v>41</v>
      </c>
      <c r="H645" s="3" t="str">
        <f t="shared" si="47"/>
        <v>2012</v>
      </c>
      <c r="I645" s="3">
        <v>11</v>
      </c>
      <c r="J645" s="69"/>
      <c r="K645" s="3" t="s">
        <v>541</v>
      </c>
      <c r="L645" s="3" t="s">
        <v>461</v>
      </c>
      <c r="M645" s="3">
        <v>143.69999999999999</v>
      </c>
      <c r="N645" s="3">
        <v>549</v>
      </c>
      <c r="O645" s="3" t="str">
        <f t="shared" si="48"/>
        <v>2011</v>
      </c>
      <c r="P645" s="2">
        <v>345</v>
      </c>
    </row>
    <row r="646" spans="1:23" x14ac:dyDescent="0.35">
      <c r="A646" s="3">
        <v>2016</v>
      </c>
      <c r="B646" s="3">
        <v>11</v>
      </c>
      <c r="C646" s="3">
        <v>8</v>
      </c>
      <c r="D646" s="2">
        <v>182</v>
      </c>
      <c r="E646" s="3" t="s">
        <v>633</v>
      </c>
      <c r="F646" s="3">
        <v>4</v>
      </c>
      <c r="G646" s="3" t="s">
        <v>45</v>
      </c>
      <c r="H646" s="3" t="str">
        <f t="shared" si="47"/>
        <v>2011</v>
      </c>
      <c r="I646" s="3">
        <v>5</v>
      </c>
      <c r="J646" s="69"/>
      <c r="K646" s="3" t="s">
        <v>632</v>
      </c>
      <c r="L646" s="3" t="s">
        <v>317</v>
      </c>
      <c r="M646" s="3">
        <v>196.4</v>
      </c>
      <c r="N646" s="3">
        <v>550</v>
      </c>
      <c r="O646" s="3" t="str">
        <f t="shared" si="48"/>
        <v>2007</v>
      </c>
      <c r="P646" s="2">
        <v>182</v>
      </c>
    </row>
    <row r="647" spans="1:23" x14ac:dyDescent="0.35">
      <c r="A647" s="3">
        <v>2016</v>
      </c>
      <c r="B647" s="3">
        <v>11</v>
      </c>
      <c r="C647" s="3">
        <v>8</v>
      </c>
      <c r="D647" s="2">
        <v>194</v>
      </c>
      <c r="E647" s="3" t="s">
        <v>646</v>
      </c>
      <c r="F647" s="3">
        <v>4</v>
      </c>
      <c r="G647" s="3" t="s">
        <v>45</v>
      </c>
      <c r="H647" s="3" t="str">
        <f t="shared" ref="H647:H710" si="49">IF(L647="A55","2009",IF(L647="A59","2009",IF(L647="A60","2010",IF(L647="A62","2011",IF(L647="CP","2013",IF(L647="MD","2012",IF(L647="TS","2013",IF(L647="DL","2018",IF(L647="SCU","2018",IF(L647="NCU","2018",IF(L647="C1C","2018",IF(L647="C1E","2018",IF(L647="RS1S","2018",IF(L647="C2B","2018",IF(L647="DB3","2018",IF(AND(L647=6,G647="SRS"),"2018",IF(AND(L647=7,G647="SRS"),"2020",IF(AND(L647=8,G647="SRS"),"2020",IF(L647=23,"2019",IF(AND(L647=7,G647="WCA 3B"),"2017",IF(AND(L647=8,G647="WCA 3B"),"2019",IF(L647=1,"2021",IF(L647=2,"2022",IF(L647=3,"2021",IF(L647=4,"2021",IF(L647=5,"2022",IF(AND(L647=6,G647="WCA 3A"),"2022",IF(L647=9,"2023",IF(L647=10,"2023",IF(L647=37,"2020"))))))))))))))))))))))))))))))</f>
        <v>2011</v>
      </c>
      <c r="I647" s="3">
        <v>5</v>
      </c>
      <c r="J647" s="69"/>
      <c r="K647" s="3" t="s">
        <v>647</v>
      </c>
      <c r="L647" s="3" t="s">
        <v>317</v>
      </c>
      <c r="M647" s="3">
        <v>16.899999999999999</v>
      </c>
      <c r="N647" s="3">
        <v>551</v>
      </c>
      <c r="O647" s="3" t="str">
        <f t="shared" si="48"/>
        <v>2007</v>
      </c>
      <c r="P647" s="2">
        <v>194</v>
      </c>
      <c r="W647">
        <v>5.35</v>
      </c>
    </row>
    <row r="648" spans="1:23" x14ac:dyDescent="0.35">
      <c r="A648" s="3">
        <v>2016</v>
      </c>
      <c r="B648" s="3">
        <v>11</v>
      </c>
      <c r="C648" s="3">
        <v>8</v>
      </c>
      <c r="D648" s="2">
        <v>194</v>
      </c>
      <c r="E648" s="3" t="s">
        <v>646</v>
      </c>
      <c r="F648" s="3">
        <v>4</v>
      </c>
      <c r="G648" s="3" t="s">
        <v>45</v>
      </c>
      <c r="H648" s="3" t="str">
        <f t="shared" si="49"/>
        <v>2011</v>
      </c>
      <c r="I648" s="3">
        <v>5</v>
      </c>
      <c r="J648" s="69"/>
      <c r="K648" s="3" t="s">
        <v>647</v>
      </c>
      <c r="L648" s="3" t="s">
        <v>317</v>
      </c>
      <c r="M648" s="3">
        <v>16.899999999999999</v>
      </c>
      <c r="N648" s="3">
        <v>551</v>
      </c>
      <c r="O648" s="3" t="str">
        <f t="shared" si="48"/>
        <v>2007</v>
      </c>
      <c r="P648" s="2">
        <v>194</v>
      </c>
      <c r="W648">
        <v>3.49</v>
      </c>
    </row>
    <row r="649" spans="1:23" x14ac:dyDescent="0.35">
      <c r="A649" s="3">
        <v>2016</v>
      </c>
      <c r="B649" s="3">
        <v>9</v>
      </c>
      <c r="C649" s="3">
        <v>1</v>
      </c>
      <c r="D649" s="2">
        <v>300</v>
      </c>
      <c r="E649" s="3" t="s">
        <v>766</v>
      </c>
      <c r="F649" s="3">
        <v>3</v>
      </c>
      <c r="G649" s="3" t="s">
        <v>45</v>
      </c>
      <c r="H649" s="3" t="str">
        <f t="shared" si="49"/>
        <v>2011</v>
      </c>
      <c r="I649" s="3">
        <v>5</v>
      </c>
      <c r="J649" s="69"/>
      <c r="K649" s="3" t="s">
        <v>632</v>
      </c>
      <c r="L649" s="3" t="s">
        <v>317</v>
      </c>
      <c r="M649" s="3">
        <v>182.3</v>
      </c>
      <c r="N649" s="3">
        <v>551</v>
      </c>
      <c r="O649" s="3" t="str">
        <f t="shared" si="48"/>
        <v>2007</v>
      </c>
      <c r="P649" s="2">
        <v>300</v>
      </c>
    </row>
    <row r="650" spans="1:23" x14ac:dyDescent="0.35">
      <c r="A650" s="3">
        <v>2019</v>
      </c>
      <c r="B650" s="3">
        <v>2</v>
      </c>
      <c r="C650" s="3">
        <v>21</v>
      </c>
      <c r="D650" s="2">
        <v>172</v>
      </c>
      <c r="E650" s="3" t="s">
        <v>621</v>
      </c>
      <c r="F650" s="3">
        <v>1</v>
      </c>
      <c r="G650" s="3" t="s">
        <v>45</v>
      </c>
      <c r="H650" s="3" t="str">
        <f t="shared" si="49"/>
        <v>2011</v>
      </c>
      <c r="I650" s="3">
        <v>8</v>
      </c>
      <c r="J650" s="69"/>
      <c r="K650" s="3" t="s">
        <v>615</v>
      </c>
      <c r="L650" s="3" t="s">
        <v>317</v>
      </c>
      <c r="M650" s="3">
        <v>195.7</v>
      </c>
      <c r="N650" s="3">
        <v>552</v>
      </c>
      <c r="O650" s="3" t="str">
        <f t="shared" si="48"/>
        <v>2007</v>
      </c>
      <c r="P650" s="2">
        <v>172</v>
      </c>
    </row>
    <row r="651" spans="1:23" x14ac:dyDescent="0.35">
      <c r="A651" s="3">
        <v>2016</v>
      </c>
      <c r="B651" s="3">
        <v>11</v>
      </c>
      <c r="C651" s="3">
        <v>16</v>
      </c>
      <c r="D651" s="2">
        <v>179</v>
      </c>
      <c r="E651" s="3" t="s">
        <v>629</v>
      </c>
      <c r="F651" s="3">
        <v>4</v>
      </c>
      <c r="G651" s="3" t="s">
        <v>41</v>
      </c>
      <c r="H651" s="3" t="str">
        <f t="shared" si="49"/>
        <v>2013</v>
      </c>
      <c r="I651" s="3">
        <v>3</v>
      </c>
      <c r="J651" s="69"/>
      <c r="K651" s="3" t="s">
        <v>583</v>
      </c>
      <c r="L651" s="3" t="s">
        <v>318</v>
      </c>
      <c r="M651" s="3">
        <v>180.1</v>
      </c>
      <c r="N651" s="3">
        <v>553</v>
      </c>
      <c r="O651" s="3" t="str">
        <f t="shared" si="48"/>
        <v>2011</v>
      </c>
      <c r="P651" s="2">
        <v>179</v>
      </c>
    </row>
    <row r="652" spans="1:23" x14ac:dyDescent="0.35">
      <c r="A652" s="3">
        <v>2021</v>
      </c>
      <c r="B652" s="3">
        <v>10</v>
      </c>
      <c r="C652" s="3">
        <v>11</v>
      </c>
      <c r="D652" s="2">
        <v>463</v>
      </c>
      <c r="E652" s="3" t="s">
        <v>919</v>
      </c>
      <c r="F652" s="3">
        <v>4</v>
      </c>
      <c r="G652" s="3" t="s">
        <v>226</v>
      </c>
      <c r="H652" s="3" t="str">
        <f t="shared" si="49"/>
        <v>2018</v>
      </c>
      <c r="I652" s="3">
        <v>3</v>
      </c>
      <c r="J652" s="69"/>
      <c r="K652" s="3" t="s">
        <v>51</v>
      </c>
      <c r="L652" s="3" t="s">
        <v>920</v>
      </c>
      <c r="M652" s="16">
        <v>160</v>
      </c>
      <c r="N652" s="3">
        <v>553</v>
      </c>
      <c r="O652" s="3" t="str">
        <f t="shared" si="48"/>
        <v>2017</v>
      </c>
      <c r="P652" s="2">
        <v>463</v>
      </c>
    </row>
    <row r="653" spans="1:23" x14ac:dyDescent="0.35">
      <c r="A653" s="3">
        <v>2024</v>
      </c>
      <c r="B653" s="3">
        <v>8</v>
      </c>
      <c r="C653" s="3">
        <v>9</v>
      </c>
      <c r="D653" s="2">
        <v>767</v>
      </c>
      <c r="E653" s="3" t="s">
        <v>1158</v>
      </c>
      <c r="F653" s="3">
        <v>3</v>
      </c>
      <c r="G653" s="3" t="s">
        <v>41</v>
      </c>
      <c r="H653" s="3" t="str">
        <f t="shared" si="49"/>
        <v>2013</v>
      </c>
      <c r="I653" s="3">
        <v>11</v>
      </c>
      <c r="J653" s="69"/>
      <c r="K653" s="6" t="s">
        <v>509</v>
      </c>
      <c r="L653" t="s">
        <v>458</v>
      </c>
      <c r="M653">
        <v>148.5</v>
      </c>
      <c r="N653" s="3">
        <v>553</v>
      </c>
      <c r="O653" s="3" t="str">
        <f t="shared" si="48"/>
        <v>2011</v>
      </c>
      <c r="P653" s="2">
        <v>767</v>
      </c>
    </row>
    <row r="654" spans="1:23" x14ac:dyDescent="0.35">
      <c r="A654" s="3">
        <v>2021</v>
      </c>
      <c r="B654" s="3">
        <v>10</v>
      </c>
      <c r="C654" s="3" t="s">
        <v>28</v>
      </c>
      <c r="D654" s="2">
        <v>36</v>
      </c>
      <c r="E654" s="3" t="s">
        <v>478</v>
      </c>
      <c r="F654" s="3">
        <v>4</v>
      </c>
      <c r="G654" s="3" t="s">
        <v>41</v>
      </c>
      <c r="H654" s="3" t="str">
        <f t="shared" si="49"/>
        <v>2012</v>
      </c>
      <c r="I654" s="3">
        <v>9</v>
      </c>
      <c r="J654" s="69"/>
      <c r="K654" s="3" t="s">
        <v>461</v>
      </c>
      <c r="L654" s="3" t="s">
        <v>461</v>
      </c>
      <c r="M654" s="3">
        <v>161.80000000000001</v>
      </c>
      <c r="N654" s="3">
        <v>554</v>
      </c>
      <c r="O654" s="3" t="str">
        <f t="shared" si="48"/>
        <v>2011</v>
      </c>
      <c r="P654" s="2">
        <v>36</v>
      </c>
    </row>
    <row r="655" spans="1:23" x14ac:dyDescent="0.35">
      <c r="A655" s="3">
        <v>2023</v>
      </c>
      <c r="B655" s="3">
        <v>7</v>
      </c>
      <c r="C655" s="3">
        <v>21</v>
      </c>
      <c r="D655" s="2">
        <v>447</v>
      </c>
      <c r="E655" s="3" t="s">
        <v>72</v>
      </c>
      <c r="F655" s="3">
        <v>3</v>
      </c>
      <c r="G655" s="3" t="s">
        <v>20</v>
      </c>
      <c r="H655" s="3" t="str">
        <f t="shared" si="49"/>
        <v>2020</v>
      </c>
      <c r="I655" s="3">
        <v>3</v>
      </c>
      <c r="J655" s="69"/>
      <c r="K655" s="3" t="s">
        <v>73</v>
      </c>
      <c r="L655" s="3">
        <v>37</v>
      </c>
      <c r="M655" s="3">
        <v>168.8</v>
      </c>
      <c r="N655" s="3">
        <v>555</v>
      </c>
      <c r="O655" s="3" t="str">
        <f t="shared" si="48"/>
        <v>2018</v>
      </c>
      <c r="P655" s="2">
        <v>447</v>
      </c>
    </row>
    <row r="656" spans="1:23" x14ac:dyDescent="0.35">
      <c r="A656" s="3">
        <v>2021</v>
      </c>
      <c r="B656" s="3">
        <v>10</v>
      </c>
      <c r="C656" s="3">
        <v>11</v>
      </c>
      <c r="D656" s="2">
        <v>470</v>
      </c>
      <c r="E656" s="3" t="s">
        <v>925</v>
      </c>
      <c r="F656" s="3">
        <v>4</v>
      </c>
      <c r="G656" s="3" t="s">
        <v>226</v>
      </c>
      <c r="H656" s="3" t="str">
        <f t="shared" si="49"/>
        <v>2018</v>
      </c>
      <c r="I656" s="3">
        <v>3</v>
      </c>
      <c r="J656" s="69"/>
      <c r="K656" s="3" t="s">
        <v>51</v>
      </c>
      <c r="L656" s="3" t="s">
        <v>920</v>
      </c>
      <c r="M656" s="16">
        <v>165</v>
      </c>
      <c r="N656" s="3">
        <v>555</v>
      </c>
      <c r="O656" s="3" t="str">
        <f t="shared" si="48"/>
        <v>2017</v>
      </c>
      <c r="P656" s="2">
        <v>470</v>
      </c>
    </row>
    <row r="657" spans="1:25" x14ac:dyDescent="0.35">
      <c r="A657" s="3">
        <v>2024</v>
      </c>
      <c r="B657" s="3">
        <v>2</v>
      </c>
      <c r="C657" s="3">
        <v>28</v>
      </c>
      <c r="D657" s="2">
        <v>669</v>
      </c>
      <c r="E657" s="3" t="s">
        <v>1089</v>
      </c>
      <c r="F657" s="3">
        <v>2</v>
      </c>
      <c r="G657" s="3" t="s">
        <v>225</v>
      </c>
      <c r="H657" s="3" t="str">
        <f t="shared" si="49"/>
        <v>2023</v>
      </c>
      <c r="I657" s="3">
        <v>1</v>
      </c>
      <c r="J657" s="69"/>
      <c r="K657" t="s">
        <v>1090</v>
      </c>
      <c r="L657">
        <v>9</v>
      </c>
      <c r="M657">
        <v>208.7</v>
      </c>
      <c r="N657" s="3">
        <v>555</v>
      </c>
      <c r="O657" s="3" t="str">
        <f t="shared" si="48"/>
        <v>2021</v>
      </c>
      <c r="P657" s="2">
        <v>669</v>
      </c>
    </row>
    <row r="658" spans="1:25" x14ac:dyDescent="0.35">
      <c r="A658" s="3">
        <v>2022</v>
      </c>
      <c r="B658" s="3">
        <v>1</v>
      </c>
      <c r="C658" s="3" t="s">
        <v>28</v>
      </c>
      <c r="D658" s="2">
        <v>18</v>
      </c>
      <c r="E658" s="3" t="s">
        <v>462</v>
      </c>
      <c r="F658" s="3">
        <v>1</v>
      </c>
      <c r="G658" s="3" t="s">
        <v>41</v>
      </c>
      <c r="H658" s="3" t="str">
        <f t="shared" si="49"/>
        <v>2012</v>
      </c>
      <c r="I658" s="3">
        <v>10</v>
      </c>
      <c r="J658" s="69"/>
      <c r="K658" s="3" t="s">
        <v>461</v>
      </c>
      <c r="L658" s="3" t="s">
        <v>461</v>
      </c>
      <c r="M658" s="3">
        <v>163.5</v>
      </c>
      <c r="N658" s="3">
        <v>556</v>
      </c>
      <c r="O658" s="3" t="str">
        <f t="shared" si="48"/>
        <v>2011</v>
      </c>
      <c r="P658" s="2">
        <v>18</v>
      </c>
      <c r="Y658">
        <v>3.45</v>
      </c>
    </row>
    <row r="659" spans="1:25" x14ac:dyDescent="0.35">
      <c r="A659" s="3">
        <v>2024</v>
      </c>
      <c r="B659" s="3">
        <v>8</v>
      </c>
      <c r="C659" s="3">
        <v>19</v>
      </c>
      <c r="D659" s="2">
        <v>751</v>
      </c>
      <c r="E659" s="3" t="s">
        <v>1150</v>
      </c>
      <c r="F659" s="3">
        <v>3</v>
      </c>
      <c r="G659" s="3" t="s">
        <v>225</v>
      </c>
      <c r="H659" s="3" t="str">
        <f t="shared" si="49"/>
        <v>2021</v>
      </c>
      <c r="I659" s="3">
        <v>3</v>
      </c>
      <c r="J659" s="69"/>
      <c r="K659">
        <v>3</v>
      </c>
      <c r="L659">
        <v>3</v>
      </c>
      <c r="M659">
        <v>182.8</v>
      </c>
      <c r="N659" s="3">
        <v>558</v>
      </c>
      <c r="O659" s="3" t="str">
        <f t="shared" si="48"/>
        <v>2021</v>
      </c>
      <c r="P659" s="2">
        <v>751</v>
      </c>
    </row>
    <row r="660" spans="1:25" x14ac:dyDescent="0.35">
      <c r="A660" s="3">
        <v>2019</v>
      </c>
      <c r="B660" s="3">
        <v>2</v>
      </c>
      <c r="C660" s="3">
        <v>18</v>
      </c>
      <c r="D660" s="2">
        <v>155</v>
      </c>
      <c r="E660" s="3" t="s">
        <v>600</v>
      </c>
      <c r="F660" s="3">
        <v>1</v>
      </c>
      <c r="G660" s="3" t="s">
        <v>41</v>
      </c>
      <c r="H660" s="3" t="str">
        <f t="shared" si="49"/>
        <v>2013</v>
      </c>
      <c r="I660" s="3">
        <v>6</v>
      </c>
      <c r="J660" s="69"/>
      <c r="K660" s="3" t="s">
        <v>91</v>
      </c>
      <c r="L660" s="3" t="s">
        <v>318</v>
      </c>
      <c r="M660" s="3">
        <v>189.6</v>
      </c>
      <c r="N660" s="3">
        <v>559</v>
      </c>
      <c r="O660" s="3" t="str">
        <f t="shared" si="48"/>
        <v>2011</v>
      </c>
      <c r="P660" s="2">
        <v>155</v>
      </c>
      <c r="W660">
        <v>2.8</v>
      </c>
    </row>
    <row r="661" spans="1:25" x14ac:dyDescent="0.35">
      <c r="A661" s="3">
        <v>2019</v>
      </c>
      <c r="B661" s="3">
        <v>11</v>
      </c>
      <c r="C661" s="3">
        <v>27</v>
      </c>
      <c r="D661" s="2">
        <v>43</v>
      </c>
      <c r="E661" s="3" t="s">
        <v>485</v>
      </c>
      <c r="F661" s="3">
        <v>4</v>
      </c>
      <c r="G661" s="3" t="s">
        <v>45</v>
      </c>
      <c r="H661" s="3" t="str">
        <f t="shared" si="49"/>
        <v>2011</v>
      </c>
      <c r="I661" s="3">
        <v>8</v>
      </c>
      <c r="J661" s="69"/>
      <c r="K661" s="3" t="s">
        <v>317</v>
      </c>
      <c r="L661" s="3" t="s">
        <v>317</v>
      </c>
      <c r="M661" s="3">
        <v>188.8</v>
      </c>
      <c r="N661" s="3">
        <v>560</v>
      </c>
      <c r="O661" s="3" t="str">
        <f t="shared" si="48"/>
        <v>2007</v>
      </c>
      <c r="P661" s="2">
        <v>43</v>
      </c>
    </row>
    <row r="662" spans="1:25" x14ac:dyDescent="0.35">
      <c r="A662" s="3">
        <v>2024</v>
      </c>
      <c r="B662" s="3">
        <v>2</v>
      </c>
      <c r="C662" s="3">
        <v>23</v>
      </c>
      <c r="D662" s="2">
        <v>640</v>
      </c>
      <c r="E662" s="3" t="s">
        <v>100</v>
      </c>
      <c r="F662" s="3">
        <v>1</v>
      </c>
      <c r="G662" s="3" t="s">
        <v>225</v>
      </c>
      <c r="H662" s="3" t="str">
        <f t="shared" si="49"/>
        <v>2022</v>
      </c>
      <c r="I662" s="3">
        <v>2</v>
      </c>
      <c r="J662" s="69"/>
      <c r="K662" t="s">
        <v>21</v>
      </c>
      <c r="L662" s="3">
        <v>2</v>
      </c>
      <c r="M662">
        <v>210.6</v>
      </c>
      <c r="N662" s="3">
        <v>561</v>
      </c>
      <c r="O662" s="3" t="str">
        <f t="shared" si="48"/>
        <v>2021</v>
      </c>
      <c r="P662" s="2">
        <v>640</v>
      </c>
      <c r="W662">
        <v>4.8600000000000003</v>
      </c>
    </row>
    <row r="663" spans="1:25" x14ac:dyDescent="0.35">
      <c r="A663" s="3">
        <v>2024</v>
      </c>
      <c r="B663" s="3">
        <v>1</v>
      </c>
      <c r="C663" s="3">
        <v>17</v>
      </c>
      <c r="D663" s="2">
        <v>563</v>
      </c>
      <c r="E663" s="3" t="s">
        <v>1008</v>
      </c>
      <c r="F663" s="3">
        <v>1</v>
      </c>
      <c r="G663" s="3" t="s">
        <v>41</v>
      </c>
      <c r="H663" s="3" t="str">
        <f t="shared" si="49"/>
        <v>2013</v>
      </c>
      <c r="I663" s="3">
        <v>11</v>
      </c>
      <c r="J663" s="69"/>
      <c r="K663" t="s">
        <v>42</v>
      </c>
      <c r="L663" s="3" t="s">
        <v>318</v>
      </c>
      <c r="M663">
        <v>180.6</v>
      </c>
      <c r="N663" s="3">
        <v>561</v>
      </c>
      <c r="O663" s="3" t="str">
        <f t="shared" si="48"/>
        <v>2011</v>
      </c>
      <c r="P663" s="2">
        <v>563</v>
      </c>
    </row>
    <row r="664" spans="1:25" x14ac:dyDescent="0.35">
      <c r="A664" s="3">
        <v>2024</v>
      </c>
      <c r="B664" s="3">
        <v>4</v>
      </c>
      <c r="C664" s="3">
        <v>5</v>
      </c>
      <c r="D664" s="2">
        <v>652</v>
      </c>
      <c r="E664" s="3" t="s">
        <v>1079</v>
      </c>
      <c r="F664" s="3">
        <v>2</v>
      </c>
      <c r="G664" s="3" t="s">
        <v>225</v>
      </c>
      <c r="H664" s="3" t="str">
        <f t="shared" si="49"/>
        <v>2021</v>
      </c>
      <c r="I664" s="3">
        <v>3</v>
      </c>
      <c r="J664" s="69"/>
      <c r="K664" t="s">
        <v>76</v>
      </c>
      <c r="L664" s="3">
        <v>1</v>
      </c>
      <c r="M664">
        <v>16.02</v>
      </c>
      <c r="N664" s="3">
        <v>561</v>
      </c>
      <c r="O664" s="3" t="str">
        <f t="shared" si="48"/>
        <v>2021</v>
      </c>
      <c r="P664" s="2">
        <v>652</v>
      </c>
    </row>
    <row r="665" spans="1:25" x14ac:dyDescent="0.35">
      <c r="A665" s="3">
        <v>2024</v>
      </c>
      <c r="B665" s="3">
        <v>8</v>
      </c>
      <c r="C665" s="3">
        <v>9</v>
      </c>
      <c r="D665" s="2">
        <v>769</v>
      </c>
      <c r="E665" s="3" t="s">
        <v>1160</v>
      </c>
      <c r="F665" s="3">
        <v>3</v>
      </c>
      <c r="G665" s="3" t="s">
        <v>41</v>
      </c>
      <c r="H665" s="3" t="str">
        <f t="shared" si="49"/>
        <v>2013</v>
      </c>
      <c r="I665" s="3">
        <v>11</v>
      </c>
      <c r="J665" s="69"/>
      <c r="K665" s="6" t="s">
        <v>509</v>
      </c>
      <c r="L665" t="s">
        <v>458</v>
      </c>
      <c r="M665">
        <v>176.8</v>
      </c>
      <c r="N665" s="3">
        <v>561</v>
      </c>
      <c r="O665" s="3" t="str">
        <f t="shared" si="48"/>
        <v>2011</v>
      </c>
      <c r="P665" s="2">
        <v>769</v>
      </c>
    </row>
    <row r="666" spans="1:25" x14ac:dyDescent="0.35">
      <c r="A666" s="3">
        <v>2024</v>
      </c>
      <c r="B666" s="3">
        <v>3</v>
      </c>
      <c r="C666" s="3">
        <v>12</v>
      </c>
      <c r="D666" s="2">
        <v>685</v>
      </c>
      <c r="E666" s="3" t="s">
        <v>1106</v>
      </c>
      <c r="F666" s="3">
        <v>2</v>
      </c>
      <c r="G666" s="3" t="s">
        <v>45</v>
      </c>
      <c r="H666" s="3" t="str">
        <f t="shared" si="49"/>
        <v>2011</v>
      </c>
      <c r="I666" s="3">
        <v>13</v>
      </c>
      <c r="J666" s="69"/>
      <c r="K666" t="s">
        <v>1105</v>
      </c>
      <c r="L666" t="s">
        <v>317</v>
      </c>
      <c r="M666">
        <v>215.5</v>
      </c>
      <c r="N666" s="3">
        <v>562</v>
      </c>
      <c r="O666" s="3" t="str">
        <f t="shared" si="48"/>
        <v>2007</v>
      </c>
      <c r="P666" s="2">
        <v>685</v>
      </c>
    </row>
    <row r="667" spans="1:25" x14ac:dyDescent="0.35">
      <c r="A667" s="3">
        <v>2024</v>
      </c>
      <c r="B667" s="3">
        <v>8</v>
      </c>
      <c r="C667" s="2">
        <v>20</v>
      </c>
      <c r="D667" s="2">
        <v>763</v>
      </c>
      <c r="E667" s="3" t="s">
        <v>1155</v>
      </c>
      <c r="F667" s="3">
        <v>3</v>
      </c>
      <c r="G667" s="3" t="s">
        <v>226</v>
      </c>
      <c r="H667" s="3" t="str">
        <f t="shared" si="49"/>
        <v>2017</v>
      </c>
      <c r="I667" s="3">
        <v>7</v>
      </c>
      <c r="J667" s="69"/>
      <c r="K667" s="6" t="s">
        <v>228</v>
      </c>
      <c r="L667">
        <v>7</v>
      </c>
      <c r="M667">
        <v>177.2</v>
      </c>
      <c r="N667" s="3">
        <v>562</v>
      </c>
      <c r="O667" s="3" t="str">
        <f t="shared" si="48"/>
        <v>2017</v>
      </c>
      <c r="P667" s="2">
        <v>763</v>
      </c>
    </row>
    <row r="668" spans="1:25" x14ac:dyDescent="0.35">
      <c r="A668" s="3">
        <v>2019</v>
      </c>
      <c r="B668" s="3">
        <v>2</v>
      </c>
      <c r="C668" s="3">
        <v>21</v>
      </c>
      <c r="D668" s="2">
        <v>171</v>
      </c>
      <c r="E668" s="3" t="s">
        <v>620</v>
      </c>
      <c r="F668" s="3">
        <v>1</v>
      </c>
      <c r="G668" s="3" t="s">
        <v>45</v>
      </c>
      <c r="H668" s="3" t="str">
        <f t="shared" si="49"/>
        <v>2011</v>
      </c>
      <c r="I668" s="3">
        <v>8</v>
      </c>
      <c r="J668" s="69"/>
      <c r="K668" s="3" t="s">
        <v>615</v>
      </c>
      <c r="L668" s="3" t="s">
        <v>317</v>
      </c>
      <c r="M668" s="3">
        <v>16.600000000000001</v>
      </c>
      <c r="N668" s="3">
        <v>563</v>
      </c>
      <c r="O668" s="3" t="str">
        <f t="shared" si="48"/>
        <v>2007</v>
      </c>
      <c r="P668" s="2">
        <v>171</v>
      </c>
      <c r="W668">
        <v>3.45</v>
      </c>
    </row>
    <row r="669" spans="1:25" x14ac:dyDescent="0.35">
      <c r="A669" s="3">
        <v>2021</v>
      </c>
      <c r="B669" s="3">
        <v>10</v>
      </c>
      <c r="C669" s="3">
        <v>11</v>
      </c>
      <c r="D669" s="2">
        <v>485</v>
      </c>
      <c r="E669" s="3" t="s">
        <v>940</v>
      </c>
      <c r="F669" s="3">
        <v>4</v>
      </c>
      <c r="G669" s="3" t="s">
        <v>226</v>
      </c>
      <c r="H669" s="3" t="str">
        <f t="shared" si="49"/>
        <v>2018</v>
      </c>
      <c r="I669" s="3">
        <v>3</v>
      </c>
      <c r="J669" s="69"/>
      <c r="K669" s="3" t="s">
        <v>51</v>
      </c>
      <c r="L669" s="3" t="s">
        <v>939</v>
      </c>
      <c r="M669" s="16">
        <v>210</v>
      </c>
      <c r="N669" s="3">
        <v>563</v>
      </c>
      <c r="O669" s="3" t="str">
        <f t="shared" si="48"/>
        <v>2017</v>
      </c>
      <c r="P669" s="2">
        <v>485</v>
      </c>
    </row>
    <row r="670" spans="1:25" x14ac:dyDescent="0.35">
      <c r="A670" s="3">
        <v>2023</v>
      </c>
      <c r="B670" s="3">
        <v>7</v>
      </c>
      <c r="C670" s="3">
        <v>31</v>
      </c>
      <c r="D670" s="2">
        <v>418</v>
      </c>
      <c r="E670" s="3" t="s">
        <v>881</v>
      </c>
      <c r="F670" s="3">
        <v>3</v>
      </c>
      <c r="G670" s="3" t="s">
        <v>225</v>
      </c>
      <c r="H670" s="3" t="str">
        <f t="shared" si="49"/>
        <v>2022</v>
      </c>
      <c r="I670" s="3">
        <v>1</v>
      </c>
      <c r="J670" s="69"/>
      <c r="K670" s="3" t="s">
        <v>58</v>
      </c>
      <c r="L670" s="3">
        <v>2</v>
      </c>
      <c r="M670" s="3">
        <v>212.9</v>
      </c>
      <c r="N670" s="3">
        <v>563.80000000000007</v>
      </c>
      <c r="O670" s="3" t="str">
        <f t="shared" si="48"/>
        <v>2021</v>
      </c>
      <c r="P670" s="2">
        <v>418</v>
      </c>
    </row>
    <row r="671" spans="1:25" x14ac:dyDescent="0.35">
      <c r="A671" s="3">
        <v>2016</v>
      </c>
      <c r="B671" s="3">
        <v>9</v>
      </c>
      <c r="C671" s="3">
        <v>2</v>
      </c>
      <c r="D671" s="2">
        <v>296</v>
      </c>
      <c r="E671" s="3" t="s">
        <v>762</v>
      </c>
      <c r="F671" s="3">
        <v>3</v>
      </c>
      <c r="G671" s="3" t="s">
        <v>41</v>
      </c>
      <c r="H671" s="3" t="str">
        <f t="shared" si="49"/>
        <v>2013</v>
      </c>
      <c r="I671" s="3">
        <v>3</v>
      </c>
      <c r="J671" s="69"/>
      <c r="K671" s="3" t="s">
        <v>583</v>
      </c>
      <c r="L671" s="3" t="s">
        <v>318</v>
      </c>
      <c r="M671" s="3">
        <v>168.6</v>
      </c>
      <c r="N671" s="3">
        <v>566</v>
      </c>
      <c r="O671" s="3" t="str">
        <f t="shared" si="48"/>
        <v>2011</v>
      </c>
      <c r="P671" s="2">
        <v>296</v>
      </c>
      <c r="S671">
        <v>5.28</v>
      </c>
    </row>
    <row r="672" spans="1:25" x14ac:dyDescent="0.35">
      <c r="A672" s="3">
        <v>2022</v>
      </c>
      <c r="B672" s="3">
        <v>1</v>
      </c>
      <c r="C672" s="3" t="s">
        <v>28</v>
      </c>
      <c r="D672" s="2">
        <v>10</v>
      </c>
      <c r="E672" s="3" t="s">
        <v>453</v>
      </c>
      <c r="F672" s="3">
        <v>1</v>
      </c>
      <c r="G672" s="3" t="s">
        <v>41</v>
      </c>
      <c r="H672" s="3" t="str">
        <f t="shared" si="49"/>
        <v>2013</v>
      </c>
      <c r="I672" s="3">
        <v>9</v>
      </c>
      <c r="J672" s="69"/>
      <c r="K672" s="3" t="s">
        <v>318</v>
      </c>
      <c r="L672" s="3" t="s">
        <v>318</v>
      </c>
      <c r="M672" s="3">
        <v>174.7</v>
      </c>
      <c r="N672" s="3">
        <v>566</v>
      </c>
      <c r="O672" s="3" t="str">
        <f t="shared" si="48"/>
        <v>2011</v>
      </c>
      <c r="P672" s="2">
        <v>10</v>
      </c>
    </row>
    <row r="673" spans="1:20" x14ac:dyDescent="0.35">
      <c r="A673" s="3">
        <v>2024</v>
      </c>
      <c r="B673" s="3">
        <v>8</v>
      </c>
      <c r="C673" s="3">
        <v>13</v>
      </c>
      <c r="D673" s="2">
        <v>758</v>
      </c>
      <c r="E673" s="3" t="s">
        <v>268</v>
      </c>
      <c r="F673" s="3">
        <v>3</v>
      </c>
      <c r="G673" s="3" t="s">
        <v>225</v>
      </c>
      <c r="H673" s="3" t="str">
        <f t="shared" si="49"/>
        <v>2021</v>
      </c>
      <c r="I673" s="3">
        <v>3</v>
      </c>
      <c r="J673" s="69"/>
      <c r="K673" s="6" t="s">
        <v>1076</v>
      </c>
      <c r="L673">
        <v>3</v>
      </c>
      <c r="M673">
        <v>205.8</v>
      </c>
      <c r="N673" s="3">
        <v>566</v>
      </c>
      <c r="O673" s="3" t="str">
        <f t="shared" si="48"/>
        <v>2021</v>
      </c>
      <c r="P673" s="2">
        <v>758</v>
      </c>
    </row>
    <row r="674" spans="1:20" x14ac:dyDescent="0.35">
      <c r="A674" s="3">
        <v>2019</v>
      </c>
      <c r="B674" s="3">
        <v>11</v>
      </c>
      <c r="C674" s="3">
        <v>27</v>
      </c>
      <c r="D674" s="2">
        <v>38</v>
      </c>
      <c r="E674" s="3" t="s">
        <v>480</v>
      </c>
      <c r="F674" s="3">
        <v>4</v>
      </c>
      <c r="G674" s="3" t="s">
        <v>45</v>
      </c>
      <c r="H674" s="3" t="str">
        <f t="shared" si="49"/>
        <v>2011</v>
      </c>
      <c r="I674" s="3">
        <v>8</v>
      </c>
      <c r="J674" s="69"/>
      <c r="K674" s="3" t="s">
        <v>317</v>
      </c>
      <c r="L674" s="3" t="s">
        <v>317</v>
      </c>
      <c r="M674" s="3">
        <v>187.2</v>
      </c>
      <c r="N674" s="3">
        <v>568</v>
      </c>
      <c r="O674" s="3" t="str">
        <f t="shared" si="48"/>
        <v>2007</v>
      </c>
      <c r="P674" s="2">
        <v>38</v>
      </c>
    </row>
    <row r="675" spans="1:20" x14ac:dyDescent="0.35">
      <c r="A675" s="3">
        <v>2016</v>
      </c>
      <c r="B675" s="3">
        <v>11</v>
      </c>
      <c r="C675" s="3">
        <v>7</v>
      </c>
      <c r="D675" s="2">
        <v>205</v>
      </c>
      <c r="E675" s="3" t="s">
        <v>659</v>
      </c>
      <c r="F675" s="3">
        <v>4</v>
      </c>
      <c r="G675" s="3" t="s">
        <v>45</v>
      </c>
      <c r="H675" s="3" t="str">
        <f t="shared" si="49"/>
        <v>2009</v>
      </c>
      <c r="I675" s="3">
        <v>7</v>
      </c>
      <c r="J675" s="69"/>
      <c r="K675" s="3" t="s">
        <v>657</v>
      </c>
      <c r="L675" s="3" t="s">
        <v>488</v>
      </c>
      <c r="M675" s="3">
        <v>197.1</v>
      </c>
      <c r="N675" s="3">
        <v>568</v>
      </c>
      <c r="O675" s="3" t="str">
        <f t="shared" si="48"/>
        <v>2007</v>
      </c>
      <c r="P675" s="2">
        <v>205</v>
      </c>
    </row>
    <row r="676" spans="1:20" x14ac:dyDescent="0.35">
      <c r="A676" s="3">
        <v>2017</v>
      </c>
      <c r="B676" s="3">
        <v>7</v>
      </c>
      <c r="C676" s="3">
        <v>8</v>
      </c>
      <c r="D676" s="2">
        <v>92</v>
      </c>
      <c r="E676" s="14" t="s">
        <v>537</v>
      </c>
      <c r="F676" s="15">
        <v>3</v>
      </c>
      <c r="G676" s="3" t="s">
        <v>41</v>
      </c>
      <c r="H676" s="3" t="str">
        <f t="shared" si="49"/>
        <v>2013</v>
      </c>
      <c r="I676" s="3">
        <v>4</v>
      </c>
      <c r="J676" s="69"/>
      <c r="K676" s="3" t="s">
        <v>318</v>
      </c>
      <c r="L676" s="3" t="s">
        <v>318</v>
      </c>
      <c r="M676" s="3">
        <v>168.6</v>
      </c>
      <c r="N676" s="3">
        <v>570</v>
      </c>
      <c r="O676" s="3" t="str">
        <f t="shared" si="48"/>
        <v>2011</v>
      </c>
      <c r="P676" s="2">
        <v>92</v>
      </c>
    </row>
    <row r="677" spans="1:20" x14ac:dyDescent="0.35">
      <c r="A677" s="3">
        <v>2016</v>
      </c>
      <c r="B677" s="3">
        <v>11</v>
      </c>
      <c r="C677" s="3">
        <v>8</v>
      </c>
      <c r="D677" s="2">
        <v>195</v>
      </c>
      <c r="E677" s="3" t="s">
        <v>648</v>
      </c>
      <c r="F677" s="3">
        <v>4</v>
      </c>
      <c r="G677" s="3" t="s">
        <v>45</v>
      </c>
      <c r="H677" s="3" t="str">
        <f t="shared" si="49"/>
        <v>2011</v>
      </c>
      <c r="I677" s="3">
        <v>5</v>
      </c>
      <c r="J677" s="69"/>
      <c r="K677" s="3" t="s">
        <v>647</v>
      </c>
      <c r="L677" s="3" t="s">
        <v>317</v>
      </c>
      <c r="M677" s="3">
        <v>199.7</v>
      </c>
      <c r="N677" s="3">
        <v>570</v>
      </c>
      <c r="O677" s="3" t="str">
        <f t="shared" si="48"/>
        <v>2007</v>
      </c>
      <c r="P677" s="2">
        <v>195</v>
      </c>
    </row>
    <row r="678" spans="1:20" x14ac:dyDescent="0.35">
      <c r="A678" s="3">
        <v>2023</v>
      </c>
      <c r="B678" s="3">
        <v>7</v>
      </c>
      <c r="C678" s="3">
        <v>31</v>
      </c>
      <c r="D678" s="2">
        <v>417</v>
      </c>
      <c r="E678" s="3" t="s">
        <v>57</v>
      </c>
      <c r="F678" s="3">
        <v>3</v>
      </c>
      <c r="G678" s="3" t="s">
        <v>225</v>
      </c>
      <c r="H678" s="3" t="str">
        <f t="shared" si="49"/>
        <v>2022</v>
      </c>
      <c r="I678" s="3">
        <v>1</v>
      </c>
      <c r="J678" s="69"/>
      <c r="K678" s="3" t="s">
        <v>58</v>
      </c>
      <c r="L678" s="3">
        <v>2</v>
      </c>
      <c r="M678" s="3">
        <v>20.6</v>
      </c>
      <c r="N678" s="3">
        <v>571.5</v>
      </c>
      <c r="O678" s="3" t="str">
        <f t="shared" si="48"/>
        <v>2021</v>
      </c>
      <c r="P678" s="2">
        <v>417</v>
      </c>
    </row>
    <row r="679" spans="1:20" x14ac:dyDescent="0.35">
      <c r="A679" s="3">
        <v>2016</v>
      </c>
      <c r="B679" s="3">
        <v>11</v>
      </c>
      <c r="C679" s="3">
        <v>8</v>
      </c>
      <c r="D679" s="2">
        <v>189</v>
      </c>
      <c r="E679" s="3" t="s">
        <v>640</v>
      </c>
      <c r="F679" s="3">
        <v>4</v>
      </c>
      <c r="G679" s="3" t="s">
        <v>45</v>
      </c>
      <c r="H679" s="3" t="str">
        <f t="shared" si="49"/>
        <v>2011</v>
      </c>
      <c r="I679" s="3">
        <v>5</v>
      </c>
      <c r="J679" s="69"/>
      <c r="K679" s="3" t="s">
        <v>46</v>
      </c>
      <c r="L679" s="3" t="s">
        <v>317</v>
      </c>
      <c r="M679" s="3">
        <v>188.3</v>
      </c>
      <c r="N679" s="3">
        <v>572</v>
      </c>
      <c r="O679" s="3" t="str">
        <f t="shared" si="48"/>
        <v>2007</v>
      </c>
      <c r="P679" s="2">
        <v>189</v>
      </c>
      <c r="S679">
        <v>3.24</v>
      </c>
    </row>
    <row r="680" spans="1:20" x14ac:dyDescent="0.35">
      <c r="A680" s="3">
        <v>2022</v>
      </c>
      <c r="B680" s="3">
        <v>1</v>
      </c>
      <c r="C680" s="3" t="s">
        <v>28</v>
      </c>
      <c r="D680" s="2">
        <v>9</v>
      </c>
      <c r="E680" s="3" t="s">
        <v>452</v>
      </c>
      <c r="F680" s="3">
        <v>1</v>
      </c>
      <c r="G680" s="3" t="s">
        <v>41</v>
      </c>
      <c r="H680" s="3" t="str">
        <f t="shared" si="49"/>
        <v>2013</v>
      </c>
      <c r="I680" s="3">
        <v>9</v>
      </c>
      <c r="J680" s="69"/>
      <c r="K680" s="3" t="s">
        <v>318</v>
      </c>
      <c r="L680" s="3" t="s">
        <v>318</v>
      </c>
      <c r="M680" s="3">
        <v>25</v>
      </c>
      <c r="N680" s="3">
        <v>572</v>
      </c>
      <c r="O680" s="3" t="str">
        <f t="shared" si="48"/>
        <v>2011</v>
      </c>
      <c r="P680" s="2">
        <v>9</v>
      </c>
    </row>
    <row r="681" spans="1:20" x14ac:dyDescent="0.35">
      <c r="A681" s="3">
        <v>2021</v>
      </c>
      <c r="B681" s="3">
        <v>10</v>
      </c>
      <c r="C681" s="3">
        <v>11</v>
      </c>
      <c r="D681" s="2">
        <v>476</v>
      </c>
      <c r="E681" s="3" t="s">
        <v>107</v>
      </c>
      <c r="F681" s="3">
        <v>4</v>
      </c>
      <c r="G681" s="3" t="s">
        <v>226</v>
      </c>
      <c r="H681" s="3" t="str">
        <f t="shared" si="49"/>
        <v>2018</v>
      </c>
      <c r="I681" s="3">
        <v>3</v>
      </c>
      <c r="J681" s="69"/>
      <c r="K681" s="3" t="s">
        <v>51</v>
      </c>
      <c r="L681" s="3" t="s">
        <v>929</v>
      </c>
      <c r="M681" s="16">
        <v>185</v>
      </c>
      <c r="N681" s="3">
        <v>572</v>
      </c>
      <c r="O681" s="3" t="str">
        <f t="shared" si="48"/>
        <v>2017</v>
      </c>
      <c r="P681" s="2">
        <v>476</v>
      </c>
    </row>
    <row r="682" spans="1:20" x14ac:dyDescent="0.35">
      <c r="A682" s="3">
        <v>2024</v>
      </c>
      <c r="B682" s="3">
        <v>3</v>
      </c>
      <c r="C682" s="3">
        <v>29</v>
      </c>
      <c r="D682" s="2">
        <v>663</v>
      </c>
      <c r="E682" s="3" t="s">
        <v>1084</v>
      </c>
      <c r="F682" s="3">
        <v>2</v>
      </c>
      <c r="G682" s="3" t="s">
        <v>41</v>
      </c>
      <c r="H682" s="3" t="str">
        <f t="shared" si="49"/>
        <v>2012</v>
      </c>
      <c r="I682" s="3">
        <v>12</v>
      </c>
      <c r="J682" s="69"/>
      <c r="K682" t="s">
        <v>551</v>
      </c>
      <c r="L682" t="s">
        <v>461</v>
      </c>
      <c r="M682">
        <v>208.4</v>
      </c>
      <c r="N682" s="3">
        <v>573</v>
      </c>
      <c r="O682" s="3" t="str">
        <f t="shared" si="48"/>
        <v>2011</v>
      </c>
      <c r="P682" s="2">
        <v>663</v>
      </c>
      <c r="T682">
        <v>4.74</v>
      </c>
    </row>
    <row r="683" spans="1:20" x14ac:dyDescent="0.35">
      <c r="A683" s="3">
        <v>2019</v>
      </c>
      <c r="B683" s="3">
        <v>10</v>
      </c>
      <c r="C683" s="3">
        <v>29</v>
      </c>
      <c r="D683" s="2">
        <v>405</v>
      </c>
      <c r="E683" s="3" t="s">
        <v>50</v>
      </c>
      <c r="F683" s="3">
        <v>4</v>
      </c>
      <c r="G683" s="3" t="s">
        <v>226</v>
      </c>
      <c r="H683" s="3" t="str">
        <f t="shared" si="49"/>
        <v>2017</v>
      </c>
      <c r="I683" s="3">
        <v>2</v>
      </c>
      <c r="J683" s="69"/>
      <c r="K683" s="3">
        <v>7</v>
      </c>
      <c r="L683" s="3">
        <v>7</v>
      </c>
      <c r="M683" s="3">
        <v>164.8</v>
      </c>
      <c r="N683" s="3">
        <v>574</v>
      </c>
      <c r="O683" s="3" t="str">
        <f t="shared" si="48"/>
        <v>2017</v>
      </c>
      <c r="P683" s="2">
        <v>405</v>
      </c>
    </row>
    <row r="684" spans="1:20" x14ac:dyDescent="0.35">
      <c r="A684" s="3">
        <v>2024</v>
      </c>
      <c r="B684">
        <v>8</v>
      </c>
      <c r="C684" s="3">
        <v>9</v>
      </c>
      <c r="D684" s="2">
        <v>856</v>
      </c>
      <c r="E684" s="3" t="s">
        <v>1186</v>
      </c>
      <c r="F684" s="3">
        <v>3</v>
      </c>
      <c r="G684" t="s">
        <v>41</v>
      </c>
      <c r="H684" s="3" t="str">
        <f t="shared" si="49"/>
        <v>2013</v>
      </c>
      <c r="I684" s="3">
        <v>11</v>
      </c>
      <c r="J684" s="69"/>
      <c r="K684" t="s">
        <v>42</v>
      </c>
      <c r="L684" t="s">
        <v>318</v>
      </c>
      <c r="M684">
        <v>210.7</v>
      </c>
      <c r="N684" s="3">
        <v>574</v>
      </c>
      <c r="O684" s="3" t="str">
        <f t="shared" si="48"/>
        <v>2011</v>
      </c>
      <c r="P684" s="2">
        <v>856</v>
      </c>
    </row>
    <row r="685" spans="1:20" x14ac:dyDescent="0.35">
      <c r="A685" s="3">
        <v>2016</v>
      </c>
      <c r="B685" s="3">
        <v>8</v>
      </c>
      <c r="C685" s="3">
        <v>30</v>
      </c>
      <c r="D685" s="2">
        <v>269</v>
      </c>
      <c r="E685" s="3" t="s">
        <v>730</v>
      </c>
      <c r="F685" s="3">
        <v>3</v>
      </c>
      <c r="G685" s="3" t="s">
        <v>45</v>
      </c>
      <c r="H685" s="3" t="str">
        <f t="shared" si="49"/>
        <v>2009</v>
      </c>
      <c r="I685" s="3">
        <v>7</v>
      </c>
      <c r="J685" s="69"/>
      <c r="K685" s="3" t="s">
        <v>731</v>
      </c>
      <c r="L685" s="3" t="s">
        <v>512</v>
      </c>
      <c r="M685" s="3">
        <v>202.3</v>
      </c>
      <c r="N685" s="3">
        <v>575</v>
      </c>
      <c r="O685" s="3" t="str">
        <f t="shared" si="48"/>
        <v>2007</v>
      </c>
      <c r="P685" s="2">
        <v>269</v>
      </c>
    </row>
    <row r="686" spans="1:20" x14ac:dyDescent="0.35">
      <c r="A686" s="3">
        <v>2024</v>
      </c>
      <c r="B686">
        <v>8</v>
      </c>
      <c r="C686" s="3">
        <v>19</v>
      </c>
      <c r="D686" s="2">
        <v>824</v>
      </c>
      <c r="E686" s="3" t="s">
        <v>306</v>
      </c>
      <c r="F686" s="3">
        <v>3</v>
      </c>
      <c r="G686" s="3" t="s">
        <v>225</v>
      </c>
      <c r="H686" s="3" t="str">
        <f t="shared" si="49"/>
        <v>2021</v>
      </c>
      <c r="I686" s="3">
        <v>3</v>
      </c>
      <c r="J686" s="69"/>
      <c r="K686">
        <v>3</v>
      </c>
      <c r="L686">
        <v>3</v>
      </c>
      <c r="M686">
        <v>217.5</v>
      </c>
      <c r="N686" s="3">
        <v>575</v>
      </c>
      <c r="O686" s="3" t="str">
        <f t="shared" si="48"/>
        <v>2021</v>
      </c>
      <c r="P686" s="2">
        <v>824</v>
      </c>
    </row>
    <row r="687" spans="1:20" x14ac:dyDescent="0.35">
      <c r="A687" s="3">
        <v>2024</v>
      </c>
      <c r="B687">
        <v>8</v>
      </c>
      <c r="C687" s="3">
        <v>16</v>
      </c>
      <c r="D687" s="2">
        <v>859</v>
      </c>
      <c r="E687" s="3" t="s">
        <v>314</v>
      </c>
      <c r="F687" s="3">
        <v>3</v>
      </c>
      <c r="G687" t="s">
        <v>225</v>
      </c>
      <c r="H687" s="3" t="str">
        <f t="shared" si="49"/>
        <v>2022</v>
      </c>
      <c r="I687" s="3">
        <v>2</v>
      </c>
      <c r="J687" s="69"/>
      <c r="K687" t="s">
        <v>896</v>
      </c>
      <c r="L687">
        <v>5</v>
      </c>
      <c r="M687">
        <v>196</v>
      </c>
      <c r="N687" s="3">
        <v>575</v>
      </c>
      <c r="O687" s="3" t="str">
        <f t="shared" si="48"/>
        <v>2021</v>
      </c>
      <c r="P687" s="2">
        <v>859</v>
      </c>
    </row>
    <row r="688" spans="1:20" x14ac:dyDescent="0.35">
      <c r="A688" s="3">
        <v>2018</v>
      </c>
      <c r="B688" s="3">
        <v>8</v>
      </c>
      <c r="C688" s="3">
        <v>16</v>
      </c>
      <c r="D688" s="2">
        <v>326</v>
      </c>
      <c r="E688" s="3" t="s">
        <v>793</v>
      </c>
      <c r="F688" s="3">
        <v>3</v>
      </c>
      <c r="G688" s="3" t="s">
        <v>45</v>
      </c>
      <c r="H688" s="3" t="str">
        <f t="shared" si="49"/>
        <v>2011</v>
      </c>
      <c r="I688" s="3">
        <v>7</v>
      </c>
      <c r="J688" s="69"/>
      <c r="K688" s="3" t="s">
        <v>647</v>
      </c>
      <c r="L688" s="3" t="s">
        <v>317</v>
      </c>
      <c r="M688" s="3">
        <v>157.69999999999999</v>
      </c>
      <c r="N688" s="3">
        <v>576</v>
      </c>
      <c r="O688" s="3" t="str">
        <f t="shared" si="48"/>
        <v>2007</v>
      </c>
      <c r="P688" s="2">
        <v>326</v>
      </c>
    </row>
    <row r="689" spans="1:25" x14ac:dyDescent="0.35">
      <c r="A689" s="3">
        <v>2023</v>
      </c>
      <c r="B689" s="3">
        <v>2</v>
      </c>
      <c r="C689" s="3">
        <v>8</v>
      </c>
      <c r="D689" s="2">
        <v>160</v>
      </c>
      <c r="E689" s="3" t="s">
        <v>606</v>
      </c>
      <c r="F689" s="3">
        <v>1</v>
      </c>
      <c r="G689" s="3" t="s">
        <v>225</v>
      </c>
      <c r="H689" s="3" t="str">
        <f t="shared" si="49"/>
        <v>2022</v>
      </c>
      <c r="I689" s="3">
        <v>1</v>
      </c>
      <c r="J689" s="69"/>
      <c r="K689" s="3">
        <v>5</v>
      </c>
      <c r="L689" s="3">
        <v>5</v>
      </c>
      <c r="M689" s="3">
        <v>221.8</v>
      </c>
      <c r="N689" s="3">
        <v>577</v>
      </c>
      <c r="O689" s="3" t="str">
        <f t="shared" si="48"/>
        <v>2021</v>
      </c>
      <c r="P689" s="2">
        <v>160</v>
      </c>
    </row>
    <row r="690" spans="1:25" x14ac:dyDescent="0.35">
      <c r="A690" s="3">
        <v>2017</v>
      </c>
      <c r="B690" s="3">
        <v>11</v>
      </c>
      <c r="C690" s="3">
        <v>13</v>
      </c>
      <c r="D690" s="2">
        <v>69</v>
      </c>
      <c r="E690" s="14" t="s">
        <v>514</v>
      </c>
      <c r="F690" s="15">
        <v>4</v>
      </c>
      <c r="G690" s="3" t="s">
        <v>41</v>
      </c>
      <c r="H690" s="3" t="str">
        <f t="shared" si="49"/>
        <v>2013</v>
      </c>
      <c r="I690" s="3">
        <v>4</v>
      </c>
      <c r="J690" s="69"/>
      <c r="K690" s="3" t="s">
        <v>42</v>
      </c>
      <c r="L690" s="3" t="s">
        <v>318</v>
      </c>
      <c r="M690" s="3">
        <v>189.4</v>
      </c>
      <c r="N690" s="3">
        <v>580</v>
      </c>
      <c r="O690" s="3" t="str">
        <f t="shared" si="48"/>
        <v>2011</v>
      </c>
      <c r="P690" s="2">
        <v>69</v>
      </c>
    </row>
    <row r="691" spans="1:25" x14ac:dyDescent="0.35">
      <c r="A691" s="3">
        <v>2016</v>
      </c>
      <c r="B691" s="3">
        <v>8</v>
      </c>
      <c r="C691" s="3">
        <v>31</v>
      </c>
      <c r="D691" s="2">
        <v>275</v>
      </c>
      <c r="E691" s="3" t="s">
        <v>737</v>
      </c>
      <c r="F691" s="3">
        <v>3</v>
      </c>
      <c r="G691" s="3" t="s">
        <v>45</v>
      </c>
      <c r="H691" s="3" t="str">
        <f t="shared" si="49"/>
        <v>2009</v>
      </c>
      <c r="I691" s="3">
        <v>7</v>
      </c>
      <c r="J691" s="69"/>
      <c r="K691" s="3" t="s">
        <v>644</v>
      </c>
      <c r="L691" s="3" t="s">
        <v>488</v>
      </c>
      <c r="M691" s="3">
        <v>188.6</v>
      </c>
      <c r="N691" s="3">
        <v>580</v>
      </c>
      <c r="O691" s="3" t="str">
        <f t="shared" si="48"/>
        <v>2007</v>
      </c>
      <c r="P691" s="2">
        <v>275</v>
      </c>
    </row>
    <row r="692" spans="1:25" x14ac:dyDescent="0.35">
      <c r="A692" s="3">
        <v>2018</v>
      </c>
      <c r="B692" s="3">
        <v>8</v>
      </c>
      <c r="C692" s="3">
        <v>15</v>
      </c>
      <c r="D692" s="2">
        <v>307</v>
      </c>
      <c r="E692" s="3" t="s">
        <v>773</v>
      </c>
      <c r="F692" s="3">
        <v>3</v>
      </c>
      <c r="G692" s="3" t="s">
        <v>41</v>
      </c>
      <c r="H692" s="3" t="str">
        <f t="shared" si="49"/>
        <v>2013</v>
      </c>
      <c r="I692" s="3">
        <v>5</v>
      </c>
      <c r="J692" s="69"/>
      <c r="K692" s="3" t="s">
        <v>49</v>
      </c>
      <c r="L692" s="3" t="s">
        <v>318</v>
      </c>
      <c r="M692" s="3">
        <v>199.3</v>
      </c>
      <c r="N692" s="3">
        <v>584</v>
      </c>
      <c r="O692" s="3" t="str">
        <f t="shared" si="48"/>
        <v>2011</v>
      </c>
      <c r="P692" s="2">
        <v>307</v>
      </c>
    </row>
    <row r="693" spans="1:25" x14ac:dyDescent="0.35">
      <c r="A693" s="3">
        <v>2021</v>
      </c>
      <c r="B693" s="3">
        <v>10</v>
      </c>
      <c r="C693" s="3" t="s">
        <v>28</v>
      </c>
      <c r="D693" s="2">
        <v>27</v>
      </c>
      <c r="E693" s="3" t="s">
        <v>469</v>
      </c>
      <c r="F693" s="3">
        <v>4</v>
      </c>
      <c r="G693" s="3" t="s">
        <v>41</v>
      </c>
      <c r="H693" s="3" t="str">
        <f t="shared" si="49"/>
        <v>2012</v>
      </c>
      <c r="I693" s="3">
        <v>9</v>
      </c>
      <c r="J693" s="69"/>
      <c r="K693" s="3" t="s">
        <v>461</v>
      </c>
      <c r="L693" s="3" t="s">
        <v>461</v>
      </c>
      <c r="M693" s="3">
        <v>205.7</v>
      </c>
      <c r="N693" s="3">
        <v>587</v>
      </c>
      <c r="O693" s="3" t="str">
        <f t="shared" si="48"/>
        <v>2011</v>
      </c>
      <c r="P693" s="2">
        <v>27</v>
      </c>
      <c r="Y693">
        <v>2.78</v>
      </c>
    </row>
    <row r="694" spans="1:25" x14ac:dyDescent="0.35">
      <c r="A694" s="3">
        <v>2024</v>
      </c>
      <c r="B694">
        <v>8</v>
      </c>
      <c r="C694" s="3">
        <v>19</v>
      </c>
      <c r="D694" s="2">
        <v>821</v>
      </c>
      <c r="E694" s="3" t="s">
        <v>303</v>
      </c>
      <c r="F694" s="3">
        <v>3</v>
      </c>
      <c r="G694" s="3" t="s">
        <v>225</v>
      </c>
      <c r="H694" s="3" t="str">
        <f t="shared" si="49"/>
        <v>2021</v>
      </c>
      <c r="I694" s="3">
        <v>3</v>
      </c>
      <c r="J694" s="69"/>
      <c r="K694">
        <v>3</v>
      </c>
      <c r="L694">
        <v>3</v>
      </c>
      <c r="M694">
        <v>243.9</v>
      </c>
      <c r="N694" s="3">
        <v>587</v>
      </c>
      <c r="O694" s="3" t="str">
        <f t="shared" si="48"/>
        <v>2021</v>
      </c>
      <c r="P694" s="2">
        <v>821</v>
      </c>
    </row>
    <row r="695" spans="1:25" x14ac:dyDescent="0.35">
      <c r="A695" s="3">
        <v>2021</v>
      </c>
      <c r="B695" s="3" t="s">
        <v>28</v>
      </c>
      <c r="C695" s="3" t="s">
        <v>28</v>
      </c>
      <c r="D695" s="2">
        <v>475</v>
      </c>
      <c r="E695" s="3" t="s">
        <v>932</v>
      </c>
      <c r="F695" s="3" t="s">
        <v>28</v>
      </c>
      <c r="G695" s="3" t="s">
        <v>226</v>
      </c>
      <c r="H695" s="3" t="str">
        <f t="shared" si="49"/>
        <v>2018</v>
      </c>
      <c r="I695" s="3">
        <v>3</v>
      </c>
      <c r="J695" s="69"/>
      <c r="K695" s="3" t="s">
        <v>51</v>
      </c>
      <c r="L695" s="3" t="s">
        <v>916</v>
      </c>
      <c r="M695" s="16">
        <v>235</v>
      </c>
      <c r="N695" s="3">
        <v>588</v>
      </c>
      <c r="O695" s="3" t="str">
        <f t="shared" si="48"/>
        <v>2017</v>
      </c>
      <c r="P695" s="2">
        <v>475</v>
      </c>
    </row>
    <row r="696" spans="1:25" x14ac:dyDescent="0.35">
      <c r="A696" s="3">
        <v>2024</v>
      </c>
      <c r="B696" s="3">
        <v>8</v>
      </c>
      <c r="C696" s="3">
        <v>14</v>
      </c>
      <c r="D696" s="2">
        <v>696</v>
      </c>
      <c r="E696" s="3" t="s">
        <v>1115</v>
      </c>
      <c r="F696" s="3">
        <v>3</v>
      </c>
      <c r="G696" s="3" t="s">
        <v>225</v>
      </c>
      <c r="H696" s="3" t="str">
        <f t="shared" si="49"/>
        <v>2021</v>
      </c>
      <c r="I696" s="3">
        <v>3</v>
      </c>
      <c r="J696" s="69"/>
      <c r="K696" t="s">
        <v>1018</v>
      </c>
      <c r="L696">
        <v>1</v>
      </c>
      <c r="M696">
        <v>179.2</v>
      </c>
      <c r="N696" s="3">
        <v>588</v>
      </c>
      <c r="O696" s="3" t="str">
        <f t="shared" si="48"/>
        <v>2021</v>
      </c>
      <c r="P696" s="2">
        <v>696</v>
      </c>
    </row>
    <row r="697" spans="1:25" x14ac:dyDescent="0.35">
      <c r="A697" s="3">
        <v>2019</v>
      </c>
      <c r="B697" s="3">
        <v>11</v>
      </c>
      <c r="C697" s="3">
        <v>27</v>
      </c>
      <c r="D697" s="2">
        <v>41</v>
      </c>
      <c r="E697" s="3" t="s">
        <v>483</v>
      </c>
      <c r="F697" s="3">
        <v>4</v>
      </c>
      <c r="G697" s="3" t="s">
        <v>45</v>
      </c>
      <c r="H697" s="3" t="str">
        <f t="shared" si="49"/>
        <v>2011</v>
      </c>
      <c r="I697" s="3">
        <v>8</v>
      </c>
      <c r="J697" s="69"/>
      <c r="K697" s="3" t="s">
        <v>317</v>
      </c>
      <c r="L697" s="3" t="s">
        <v>317</v>
      </c>
      <c r="M697" s="3">
        <v>229.6</v>
      </c>
      <c r="N697" s="3">
        <v>591</v>
      </c>
      <c r="O697" s="3" t="str">
        <f t="shared" si="48"/>
        <v>2007</v>
      </c>
      <c r="P697" s="2">
        <v>41</v>
      </c>
      <c r="Y697">
        <v>3.37</v>
      </c>
    </row>
    <row r="698" spans="1:25" x14ac:dyDescent="0.35">
      <c r="A698" s="3">
        <v>2023</v>
      </c>
      <c r="B698" s="3">
        <v>7</v>
      </c>
      <c r="C698" s="3">
        <v>31</v>
      </c>
      <c r="D698" s="2">
        <v>416</v>
      </c>
      <c r="E698" s="3" t="s">
        <v>880</v>
      </c>
      <c r="F698" s="3">
        <v>3</v>
      </c>
      <c r="G698" s="3" t="s">
        <v>225</v>
      </c>
      <c r="H698" s="3" t="str">
        <f t="shared" si="49"/>
        <v>2022</v>
      </c>
      <c r="I698" s="3">
        <v>1</v>
      </c>
      <c r="J698" s="69"/>
      <c r="K698" s="3" t="s">
        <v>58</v>
      </c>
      <c r="L698" s="3">
        <v>2</v>
      </c>
      <c r="M698" s="3">
        <v>24.9</v>
      </c>
      <c r="N698" s="3">
        <v>591</v>
      </c>
      <c r="O698" s="3" t="str">
        <f t="shared" si="48"/>
        <v>2021</v>
      </c>
      <c r="P698" s="2">
        <v>416</v>
      </c>
    </row>
    <row r="699" spans="1:25" x14ac:dyDescent="0.35">
      <c r="A699" s="3">
        <v>2022</v>
      </c>
      <c r="B699" s="3">
        <v>3</v>
      </c>
      <c r="C699" s="3" t="s">
        <v>28</v>
      </c>
      <c r="D699" s="2">
        <v>37</v>
      </c>
      <c r="E699" s="3" t="s">
        <v>479</v>
      </c>
      <c r="F699" s="3">
        <v>2</v>
      </c>
      <c r="G699" s="3" t="s">
        <v>20</v>
      </c>
      <c r="H699" s="3" t="str">
        <f t="shared" si="49"/>
        <v>2018</v>
      </c>
      <c r="I699" s="3">
        <v>4</v>
      </c>
      <c r="J699" s="69"/>
      <c r="K699" s="3">
        <v>6</v>
      </c>
      <c r="L699" s="3">
        <v>6</v>
      </c>
      <c r="M699" s="3">
        <v>297.3</v>
      </c>
      <c r="N699" s="3">
        <v>592</v>
      </c>
      <c r="O699" s="3" t="str">
        <f t="shared" si="48"/>
        <v>2018</v>
      </c>
      <c r="P699" s="2">
        <v>37</v>
      </c>
      <c r="S699">
        <v>4.5199999999999996</v>
      </c>
    </row>
    <row r="700" spans="1:25" x14ac:dyDescent="0.35">
      <c r="A700" s="3">
        <v>2019</v>
      </c>
      <c r="B700" s="3">
        <v>8</v>
      </c>
      <c r="C700" s="3">
        <v>6</v>
      </c>
      <c r="D700" s="2">
        <v>317</v>
      </c>
      <c r="E700" s="3" t="s">
        <v>784</v>
      </c>
      <c r="F700" s="3">
        <v>3</v>
      </c>
      <c r="G700" s="3" t="s">
        <v>226</v>
      </c>
      <c r="H700" s="3" t="str">
        <f t="shared" si="49"/>
        <v>2017</v>
      </c>
      <c r="I700" s="3">
        <v>2</v>
      </c>
      <c r="J700" s="69"/>
      <c r="K700" s="3" t="s">
        <v>783</v>
      </c>
      <c r="L700" s="3">
        <v>7</v>
      </c>
      <c r="M700" s="3">
        <v>173.3</v>
      </c>
      <c r="N700" s="3">
        <v>593</v>
      </c>
      <c r="O700" s="3" t="str">
        <f t="shared" si="48"/>
        <v>2017</v>
      </c>
      <c r="P700" s="2">
        <v>317</v>
      </c>
    </row>
    <row r="701" spans="1:25" x14ac:dyDescent="0.35">
      <c r="A701" s="3">
        <v>2024</v>
      </c>
      <c r="B701" s="3">
        <v>3</v>
      </c>
      <c r="C701" s="3">
        <v>28</v>
      </c>
      <c r="D701" s="2">
        <v>682</v>
      </c>
      <c r="E701" s="3" t="s">
        <v>1103</v>
      </c>
      <c r="F701" s="3">
        <v>2</v>
      </c>
      <c r="G701" s="3" t="s">
        <v>41</v>
      </c>
      <c r="H701" s="3" t="str">
        <f t="shared" si="49"/>
        <v>2013</v>
      </c>
      <c r="I701" s="3">
        <v>11</v>
      </c>
      <c r="J701" s="69"/>
      <c r="K701" t="s">
        <v>583</v>
      </c>
      <c r="L701" t="s">
        <v>318</v>
      </c>
      <c r="M701">
        <v>201.4</v>
      </c>
      <c r="N701" s="3">
        <v>595</v>
      </c>
      <c r="O701" s="3" t="str">
        <f t="shared" si="48"/>
        <v>2011</v>
      </c>
      <c r="P701" s="2">
        <v>682</v>
      </c>
    </row>
    <row r="702" spans="1:25" x14ac:dyDescent="0.35">
      <c r="A702" s="3">
        <v>2022</v>
      </c>
      <c r="B702" s="3">
        <v>1</v>
      </c>
      <c r="C702" s="3" t="s">
        <v>28</v>
      </c>
      <c r="D702" s="2">
        <v>21</v>
      </c>
      <c r="E702" s="3" t="s">
        <v>464</v>
      </c>
      <c r="F702" s="3">
        <v>1</v>
      </c>
      <c r="G702" s="3" t="s">
        <v>20</v>
      </c>
      <c r="H702" s="3" t="str">
        <f t="shared" si="49"/>
        <v>2020</v>
      </c>
      <c r="I702" s="3">
        <v>2</v>
      </c>
      <c r="J702" s="69"/>
      <c r="K702" s="3">
        <v>8</v>
      </c>
      <c r="L702" s="3">
        <v>8</v>
      </c>
      <c r="M702" s="3">
        <v>244.1</v>
      </c>
      <c r="N702" s="3">
        <v>596</v>
      </c>
      <c r="O702" s="3" t="str">
        <f t="shared" si="48"/>
        <v>2018</v>
      </c>
      <c r="P702" s="2">
        <v>21</v>
      </c>
    </row>
    <row r="703" spans="1:25" x14ac:dyDescent="0.35">
      <c r="A703" s="3">
        <v>2023</v>
      </c>
      <c r="B703" s="3">
        <v>6</v>
      </c>
      <c r="C703" s="3">
        <v>18</v>
      </c>
      <c r="D703" s="2">
        <v>338</v>
      </c>
      <c r="E703" s="3" t="s">
        <v>804</v>
      </c>
      <c r="F703" s="3">
        <v>3</v>
      </c>
      <c r="G703" s="3" t="s">
        <v>41</v>
      </c>
      <c r="H703" s="3" t="str">
        <f t="shared" si="49"/>
        <v>2013</v>
      </c>
      <c r="I703" s="3">
        <v>10</v>
      </c>
      <c r="J703" s="69"/>
      <c r="K703" s="3" t="s">
        <v>755</v>
      </c>
      <c r="L703" s="3" t="s">
        <v>458</v>
      </c>
      <c r="M703" s="3">
        <v>199.4</v>
      </c>
      <c r="N703" s="3">
        <v>597</v>
      </c>
      <c r="O703" s="3" t="str">
        <f t="shared" si="48"/>
        <v>2011</v>
      </c>
      <c r="P703" s="2">
        <v>338</v>
      </c>
      <c r="S703">
        <v>3.3</v>
      </c>
    </row>
    <row r="704" spans="1:25" x14ac:dyDescent="0.35">
      <c r="A704" s="3">
        <v>2023</v>
      </c>
      <c r="B704" s="3">
        <v>6</v>
      </c>
      <c r="C704" s="3">
        <v>18</v>
      </c>
      <c r="D704" s="2">
        <v>338</v>
      </c>
      <c r="E704" s="3" t="s">
        <v>804</v>
      </c>
      <c r="F704" s="3">
        <v>3</v>
      </c>
      <c r="G704" s="3" t="s">
        <v>41</v>
      </c>
      <c r="H704" s="3" t="str">
        <f t="shared" si="49"/>
        <v>2013</v>
      </c>
      <c r="I704" s="3">
        <v>10</v>
      </c>
      <c r="J704" s="69"/>
      <c r="K704" s="3" t="s">
        <v>755</v>
      </c>
      <c r="L704" s="3" t="s">
        <v>458</v>
      </c>
      <c r="M704" s="3">
        <v>199.4</v>
      </c>
      <c r="N704" s="3">
        <v>597</v>
      </c>
      <c r="O704" s="3" t="str">
        <f t="shared" si="48"/>
        <v>2011</v>
      </c>
      <c r="P704" s="2">
        <v>338</v>
      </c>
      <c r="S704">
        <v>3.27</v>
      </c>
    </row>
    <row r="705" spans="1:23" x14ac:dyDescent="0.35">
      <c r="A705" s="3">
        <v>2023</v>
      </c>
      <c r="B705" s="3">
        <v>6</v>
      </c>
      <c r="C705" s="3">
        <v>18</v>
      </c>
      <c r="D705" s="2">
        <v>338</v>
      </c>
      <c r="E705" s="3" t="s">
        <v>804</v>
      </c>
      <c r="F705" s="3">
        <v>3</v>
      </c>
      <c r="G705" s="3" t="s">
        <v>41</v>
      </c>
      <c r="H705" s="3" t="str">
        <f t="shared" si="49"/>
        <v>2013</v>
      </c>
      <c r="I705" s="3">
        <v>10</v>
      </c>
      <c r="J705" s="69"/>
      <c r="K705" s="3" t="s">
        <v>755</v>
      </c>
      <c r="L705" s="3" t="s">
        <v>458</v>
      </c>
      <c r="M705" s="3">
        <v>199.4</v>
      </c>
      <c r="N705" s="3">
        <v>597</v>
      </c>
      <c r="O705" s="3" t="str">
        <f t="shared" si="48"/>
        <v>2011</v>
      </c>
      <c r="P705" s="2">
        <v>338</v>
      </c>
      <c r="S705">
        <v>2.9</v>
      </c>
    </row>
    <row r="706" spans="1:23" x14ac:dyDescent="0.35">
      <c r="A706" s="3">
        <v>2023</v>
      </c>
      <c r="B706" s="3">
        <v>6</v>
      </c>
      <c r="C706" s="3">
        <v>18</v>
      </c>
      <c r="D706" s="2">
        <v>338</v>
      </c>
      <c r="E706" s="3" t="s">
        <v>804</v>
      </c>
      <c r="F706" s="3">
        <v>3</v>
      </c>
      <c r="G706" s="3" t="s">
        <v>41</v>
      </c>
      <c r="H706" s="3" t="str">
        <f t="shared" si="49"/>
        <v>2013</v>
      </c>
      <c r="I706" s="3">
        <v>10</v>
      </c>
      <c r="J706" s="69"/>
      <c r="K706" s="3" t="s">
        <v>755</v>
      </c>
      <c r="L706" s="3" t="s">
        <v>458</v>
      </c>
      <c r="M706" s="3">
        <v>199.4</v>
      </c>
      <c r="N706" s="3">
        <v>597</v>
      </c>
      <c r="O706" s="3" t="str">
        <f t="shared" ref="O706:O769" si="50">IF(G706="PHD", "2007", IF(G706="TSL", "2011", IF(G706 = "SRS", "2018", IF(G706="WCA 3B", "2017", IF(G706="WCA 3A", "2021")))))</f>
        <v>2011</v>
      </c>
      <c r="P706" s="2">
        <v>338</v>
      </c>
      <c r="S706">
        <v>2.79</v>
      </c>
    </row>
    <row r="707" spans="1:23" x14ac:dyDescent="0.35">
      <c r="A707" s="3">
        <v>2023</v>
      </c>
      <c r="B707" s="3">
        <v>6</v>
      </c>
      <c r="C707" s="3">
        <v>18</v>
      </c>
      <c r="D707" s="2">
        <v>338</v>
      </c>
      <c r="E707" s="3" t="s">
        <v>804</v>
      </c>
      <c r="F707" s="3">
        <v>3</v>
      </c>
      <c r="G707" s="3" t="s">
        <v>41</v>
      </c>
      <c r="H707" s="3" t="str">
        <f t="shared" si="49"/>
        <v>2013</v>
      </c>
      <c r="I707" s="3">
        <v>10</v>
      </c>
      <c r="J707" s="69"/>
      <c r="K707" s="3" t="s">
        <v>755</v>
      </c>
      <c r="L707" s="3" t="s">
        <v>458</v>
      </c>
      <c r="M707" s="3">
        <v>199.4</v>
      </c>
      <c r="N707" s="3">
        <v>597</v>
      </c>
      <c r="O707" s="3" t="str">
        <f t="shared" si="50"/>
        <v>2011</v>
      </c>
      <c r="P707" s="2">
        <v>338</v>
      </c>
      <c r="S707">
        <v>2.34</v>
      </c>
    </row>
    <row r="708" spans="1:23" x14ac:dyDescent="0.35">
      <c r="A708" s="3">
        <v>2016</v>
      </c>
      <c r="B708" s="3">
        <v>11</v>
      </c>
      <c r="C708" s="3">
        <v>7</v>
      </c>
      <c r="D708" s="2">
        <v>226</v>
      </c>
      <c r="E708" s="3" t="s">
        <v>684</v>
      </c>
      <c r="F708" s="3">
        <v>4</v>
      </c>
      <c r="G708" s="3" t="s">
        <v>45</v>
      </c>
      <c r="H708" s="3" t="str">
        <f t="shared" si="49"/>
        <v>2009</v>
      </c>
      <c r="I708" s="3">
        <v>7</v>
      </c>
      <c r="J708" s="69"/>
      <c r="K708" s="3" t="s">
        <v>671</v>
      </c>
      <c r="L708" s="3" t="s">
        <v>512</v>
      </c>
      <c r="M708" s="3">
        <v>211.2</v>
      </c>
      <c r="N708" s="3">
        <v>597</v>
      </c>
      <c r="O708" s="3" t="str">
        <f t="shared" si="50"/>
        <v>2007</v>
      </c>
      <c r="P708" s="2">
        <v>226</v>
      </c>
    </row>
    <row r="709" spans="1:23" x14ac:dyDescent="0.35">
      <c r="A709" s="3">
        <v>2023</v>
      </c>
      <c r="B709" s="3">
        <v>10</v>
      </c>
      <c r="C709" s="3">
        <v>31</v>
      </c>
      <c r="D709" s="2">
        <v>541</v>
      </c>
      <c r="E709" s="3" t="s">
        <v>121</v>
      </c>
      <c r="F709" s="3">
        <v>4</v>
      </c>
      <c r="G709" s="3" t="s">
        <v>225</v>
      </c>
      <c r="H709" s="3" t="str">
        <f t="shared" si="49"/>
        <v>2022</v>
      </c>
      <c r="I709" s="3">
        <v>1</v>
      </c>
      <c r="J709" s="69"/>
      <c r="K709" t="s">
        <v>67</v>
      </c>
      <c r="L709" s="3">
        <v>2</v>
      </c>
      <c r="M709" s="3">
        <v>215.3</v>
      </c>
      <c r="N709" s="3">
        <v>597</v>
      </c>
      <c r="O709" s="3" t="str">
        <f t="shared" si="50"/>
        <v>2021</v>
      </c>
      <c r="P709" s="2">
        <v>541</v>
      </c>
    </row>
    <row r="710" spans="1:23" x14ac:dyDescent="0.35">
      <c r="A710" s="3">
        <v>2024</v>
      </c>
      <c r="B710" s="3">
        <v>8</v>
      </c>
      <c r="C710" s="3">
        <v>15</v>
      </c>
      <c r="D710" s="2">
        <v>770</v>
      </c>
      <c r="E710" s="3" t="s">
        <v>271</v>
      </c>
      <c r="F710" s="3">
        <v>3</v>
      </c>
      <c r="G710" s="3" t="s">
        <v>225</v>
      </c>
      <c r="H710" s="3" t="str">
        <f t="shared" si="49"/>
        <v>2021</v>
      </c>
      <c r="I710" s="3">
        <v>3</v>
      </c>
      <c r="J710" s="69"/>
      <c r="K710">
        <v>3</v>
      </c>
      <c r="L710">
        <v>3</v>
      </c>
      <c r="M710">
        <v>275.89999999999998</v>
      </c>
      <c r="N710" s="3">
        <v>597</v>
      </c>
      <c r="O710" s="3" t="str">
        <f t="shared" si="50"/>
        <v>2021</v>
      </c>
      <c r="P710" s="2">
        <v>770</v>
      </c>
    </row>
    <row r="711" spans="1:23" x14ac:dyDescent="0.35">
      <c r="A711" s="3">
        <v>2016</v>
      </c>
      <c r="B711" s="3">
        <v>9</v>
      </c>
      <c r="C711" s="3">
        <v>1</v>
      </c>
      <c r="D711" s="2">
        <v>257</v>
      </c>
      <c r="E711" s="3" t="s">
        <v>717</v>
      </c>
      <c r="F711" s="3">
        <v>3</v>
      </c>
      <c r="G711" s="3" t="s">
        <v>45</v>
      </c>
      <c r="H711" s="3" t="str">
        <f t="shared" ref="H711:H774" si="51">IF(L711="A55","2009",IF(L711="A59","2009",IF(L711="A60","2010",IF(L711="A62","2011",IF(L711="CP","2013",IF(L711="MD","2012",IF(L711="TS","2013",IF(L711="DL","2018",IF(L711="SCU","2018",IF(L711="NCU","2018",IF(L711="C1C","2018",IF(L711="C1E","2018",IF(L711="RS1S","2018",IF(L711="C2B","2018",IF(L711="DB3","2018",IF(AND(L711=6,G711="SRS"),"2018",IF(AND(L711=7,G711="SRS"),"2020",IF(AND(L711=8,G711="SRS"),"2020",IF(L711=23,"2019",IF(AND(L711=7,G711="WCA 3B"),"2017",IF(AND(L711=8,G711="WCA 3B"),"2019",IF(L711=1,"2021",IF(L711=2,"2022",IF(L711=3,"2021",IF(L711=4,"2021",IF(L711=5,"2022",IF(AND(L711=6,G711="WCA 3A"),"2022",IF(L711=9,"2023",IF(L711=10,"2023",IF(L711=37,"2020"))))))))))))))))))))))))))))))</f>
        <v>2011</v>
      </c>
      <c r="I711" s="3">
        <v>5</v>
      </c>
      <c r="J711" s="69"/>
      <c r="K711" s="3" t="s">
        <v>718</v>
      </c>
      <c r="L711" s="3" t="s">
        <v>317</v>
      </c>
      <c r="M711" s="3">
        <v>207.5</v>
      </c>
      <c r="N711" s="3">
        <v>598</v>
      </c>
      <c r="O711" s="3" t="str">
        <f t="shared" si="50"/>
        <v>2007</v>
      </c>
      <c r="P711" s="2">
        <v>257</v>
      </c>
      <c r="S711">
        <v>4.91</v>
      </c>
    </row>
    <row r="712" spans="1:23" x14ac:dyDescent="0.35">
      <c r="A712" s="3">
        <v>2016</v>
      </c>
      <c r="B712" s="3">
        <v>9</v>
      </c>
      <c r="C712" s="3">
        <v>1</v>
      </c>
      <c r="D712" s="2">
        <v>256</v>
      </c>
      <c r="E712" s="3" t="s">
        <v>715</v>
      </c>
      <c r="F712" s="3">
        <v>3</v>
      </c>
      <c r="G712" s="3" t="s">
        <v>45</v>
      </c>
      <c r="H712" s="3" t="str">
        <f t="shared" si="51"/>
        <v>2009</v>
      </c>
      <c r="I712" s="3">
        <v>7</v>
      </c>
      <c r="J712" s="69"/>
      <c r="K712" s="3" t="s">
        <v>716</v>
      </c>
      <c r="L712" s="3" t="s">
        <v>512</v>
      </c>
      <c r="M712" s="3">
        <v>203.8</v>
      </c>
      <c r="N712" s="3">
        <v>598</v>
      </c>
      <c r="O712" s="3" t="str">
        <f t="shared" si="50"/>
        <v>2007</v>
      </c>
      <c r="P712" s="2">
        <v>256</v>
      </c>
    </row>
    <row r="713" spans="1:23" x14ac:dyDescent="0.35">
      <c r="A713" s="3">
        <v>2024</v>
      </c>
      <c r="B713" s="3">
        <v>4</v>
      </c>
      <c r="C713" s="3">
        <v>5</v>
      </c>
      <c r="D713" s="2">
        <v>656</v>
      </c>
      <c r="E713" s="3" t="s">
        <v>148</v>
      </c>
      <c r="F713" s="3">
        <v>2</v>
      </c>
      <c r="G713" s="3" t="s">
        <v>225</v>
      </c>
      <c r="H713" s="3" t="str">
        <f t="shared" si="51"/>
        <v>2021</v>
      </c>
      <c r="I713" s="3">
        <v>3</v>
      </c>
      <c r="J713" s="69"/>
      <c r="K713" t="s">
        <v>227</v>
      </c>
      <c r="L713" s="3">
        <v>4</v>
      </c>
      <c r="M713">
        <v>208.9</v>
      </c>
      <c r="N713" s="3">
        <v>600</v>
      </c>
      <c r="O713" s="3" t="str">
        <f t="shared" si="50"/>
        <v>2021</v>
      </c>
      <c r="P713" s="2">
        <v>656</v>
      </c>
      <c r="S713">
        <v>5.44</v>
      </c>
    </row>
    <row r="714" spans="1:23" x14ac:dyDescent="0.35">
      <c r="A714" s="3">
        <v>2024</v>
      </c>
      <c r="B714" s="3">
        <v>4</v>
      </c>
      <c r="C714" s="3">
        <v>5</v>
      </c>
      <c r="D714" s="2">
        <v>656</v>
      </c>
      <c r="E714" s="3" t="s">
        <v>148</v>
      </c>
      <c r="F714" s="3">
        <v>2</v>
      </c>
      <c r="G714" s="3" t="s">
        <v>225</v>
      </c>
      <c r="H714" s="3" t="str">
        <f t="shared" si="51"/>
        <v>2021</v>
      </c>
      <c r="I714" s="3">
        <v>3</v>
      </c>
      <c r="J714" s="69"/>
      <c r="K714" t="s">
        <v>227</v>
      </c>
      <c r="L714" s="3">
        <v>4</v>
      </c>
      <c r="M714">
        <v>208.9</v>
      </c>
      <c r="N714" s="3">
        <v>600</v>
      </c>
      <c r="O714" s="3" t="str">
        <f t="shared" si="50"/>
        <v>2021</v>
      </c>
      <c r="P714" s="2">
        <v>656</v>
      </c>
      <c r="S714">
        <v>4.8099999999999996</v>
      </c>
    </row>
    <row r="715" spans="1:23" x14ac:dyDescent="0.35">
      <c r="A715" s="3">
        <v>2023</v>
      </c>
      <c r="B715" s="3">
        <v>10</v>
      </c>
      <c r="C715" s="3">
        <v>31</v>
      </c>
      <c r="D715" s="2">
        <v>540</v>
      </c>
      <c r="E715" s="3" t="s">
        <v>120</v>
      </c>
      <c r="F715" s="3">
        <v>4</v>
      </c>
      <c r="G715" s="3" t="s">
        <v>225</v>
      </c>
      <c r="H715" s="3" t="str">
        <f t="shared" si="51"/>
        <v>2022</v>
      </c>
      <c r="I715" s="3">
        <v>1</v>
      </c>
      <c r="J715" s="69"/>
      <c r="K715" t="s">
        <v>67</v>
      </c>
      <c r="L715" s="3">
        <v>2</v>
      </c>
      <c r="M715" s="3">
        <v>230.2</v>
      </c>
      <c r="N715" s="3">
        <v>600</v>
      </c>
      <c r="O715" s="3" t="str">
        <f t="shared" si="50"/>
        <v>2021</v>
      </c>
      <c r="P715" s="2">
        <v>540</v>
      </c>
    </row>
    <row r="716" spans="1:23" x14ac:dyDescent="0.35">
      <c r="A716" s="3">
        <v>2024</v>
      </c>
      <c r="B716" s="3">
        <v>8</v>
      </c>
      <c r="C716" s="3">
        <v>19</v>
      </c>
      <c r="D716" s="2">
        <v>739</v>
      </c>
      <c r="E716" s="3" t="s">
        <v>1148</v>
      </c>
      <c r="F716" s="3">
        <v>3</v>
      </c>
      <c r="G716" s="3" t="s">
        <v>225</v>
      </c>
      <c r="H716" s="3" t="str">
        <f t="shared" si="51"/>
        <v>2021</v>
      </c>
      <c r="I716" s="3">
        <v>3</v>
      </c>
      <c r="J716" s="69"/>
      <c r="K716">
        <v>3</v>
      </c>
      <c r="L716">
        <v>3</v>
      </c>
      <c r="M716">
        <v>224.2</v>
      </c>
      <c r="N716" s="3">
        <v>600</v>
      </c>
      <c r="O716" s="3" t="str">
        <f t="shared" si="50"/>
        <v>2021</v>
      </c>
      <c r="P716" s="2">
        <v>739</v>
      </c>
    </row>
    <row r="717" spans="1:23" x14ac:dyDescent="0.35">
      <c r="A717" s="3">
        <v>2016</v>
      </c>
      <c r="B717" s="3">
        <v>11</v>
      </c>
      <c r="C717" s="3">
        <v>7</v>
      </c>
      <c r="D717" s="2">
        <v>209</v>
      </c>
      <c r="E717" s="3" t="s">
        <v>664</v>
      </c>
      <c r="F717" s="3">
        <v>4</v>
      </c>
      <c r="G717" s="3" t="s">
        <v>45</v>
      </c>
      <c r="H717" s="3" t="str">
        <f t="shared" si="51"/>
        <v>2009</v>
      </c>
      <c r="I717" s="3">
        <v>7</v>
      </c>
      <c r="J717" s="69"/>
      <c r="K717" s="3" t="s">
        <v>662</v>
      </c>
      <c r="L717" s="3" t="s">
        <v>488</v>
      </c>
      <c r="M717" s="3">
        <v>197.4</v>
      </c>
      <c r="N717" s="3">
        <v>601</v>
      </c>
      <c r="O717" s="3" t="str">
        <f t="shared" si="50"/>
        <v>2007</v>
      </c>
      <c r="P717" s="2">
        <v>209</v>
      </c>
    </row>
    <row r="718" spans="1:23" x14ac:dyDescent="0.35">
      <c r="A718" s="3">
        <v>2023</v>
      </c>
      <c r="B718" s="3">
        <v>7</v>
      </c>
      <c r="C718" s="3">
        <v>19</v>
      </c>
      <c r="D718" s="2">
        <v>353</v>
      </c>
      <c r="E718" s="3" t="s">
        <v>819</v>
      </c>
      <c r="F718" s="3">
        <v>3</v>
      </c>
      <c r="G718" s="3" t="s">
        <v>41</v>
      </c>
      <c r="H718" s="3" t="str">
        <f t="shared" si="51"/>
        <v>2013</v>
      </c>
      <c r="I718" s="3">
        <v>10</v>
      </c>
      <c r="J718" s="69"/>
      <c r="K718" s="3" t="s">
        <v>583</v>
      </c>
      <c r="L718" s="3" t="s">
        <v>318</v>
      </c>
      <c r="M718" s="3">
        <v>215.5</v>
      </c>
      <c r="N718" s="3">
        <v>602</v>
      </c>
      <c r="O718" s="3" t="str">
        <f t="shared" si="50"/>
        <v>2011</v>
      </c>
      <c r="P718" s="2">
        <v>353</v>
      </c>
    </row>
    <row r="719" spans="1:23" x14ac:dyDescent="0.35">
      <c r="A719" s="3">
        <v>2021</v>
      </c>
      <c r="B719" s="3" t="s">
        <v>28</v>
      </c>
      <c r="C719" s="3" t="s">
        <v>28</v>
      </c>
      <c r="D719" s="2">
        <v>483</v>
      </c>
      <c r="E719" s="3" t="s">
        <v>938</v>
      </c>
      <c r="F719" s="3" t="s">
        <v>28</v>
      </c>
      <c r="G719" s="3" t="s">
        <v>226</v>
      </c>
      <c r="H719" s="3" t="str">
        <f t="shared" si="51"/>
        <v>2018</v>
      </c>
      <c r="I719" s="3">
        <v>3</v>
      </c>
      <c r="J719" s="69"/>
      <c r="K719" s="3" t="s">
        <v>51</v>
      </c>
      <c r="L719" s="3" t="s">
        <v>929</v>
      </c>
      <c r="M719" s="16">
        <v>190</v>
      </c>
      <c r="N719" s="3">
        <v>603</v>
      </c>
      <c r="O719" s="3" t="str">
        <f t="shared" si="50"/>
        <v>2017</v>
      </c>
      <c r="P719" s="2">
        <v>483</v>
      </c>
      <c r="W719">
        <v>4.0999999999999996</v>
      </c>
    </row>
    <row r="720" spans="1:23" x14ac:dyDescent="0.35">
      <c r="A720" s="3">
        <v>2016</v>
      </c>
      <c r="B720" s="3">
        <v>9</v>
      </c>
      <c r="C720" s="3">
        <v>1</v>
      </c>
      <c r="D720" s="2">
        <v>233</v>
      </c>
      <c r="E720" s="3" t="s">
        <v>691</v>
      </c>
      <c r="F720" s="3">
        <v>3</v>
      </c>
      <c r="G720" s="3" t="s">
        <v>45</v>
      </c>
      <c r="H720" s="3" t="str">
        <f t="shared" si="51"/>
        <v>2011</v>
      </c>
      <c r="I720" s="3">
        <v>5</v>
      </c>
      <c r="J720" s="69"/>
      <c r="K720" s="3" t="s">
        <v>647</v>
      </c>
      <c r="L720" s="3" t="s">
        <v>317</v>
      </c>
      <c r="M720" s="3">
        <v>187.9</v>
      </c>
      <c r="N720" s="3">
        <v>603</v>
      </c>
      <c r="O720" s="3" t="str">
        <f t="shared" si="50"/>
        <v>2007</v>
      </c>
      <c r="P720" s="2">
        <v>233</v>
      </c>
    </row>
    <row r="721" spans="1:19" x14ac:dyDescent="0.35">
      <c r="A721" s="3">
        <v>2021</v>
      </c>
      <c r="B721" s="3">
        <v>4</v>
      </c>
      <c r="C721" s="3">
        <v>13</v>
      </c>
      <c r="D721" s="2">
        <v>490</v>
      </c>
      <c r="E721" s="3" t="s">
        <v>113</v>
      </c>
      <c r="F721" s="3">
        <v>2</v>
      </c>
      <c r="G721" s="3" t="s">
        <v>226</v>
      </c>
      <c r="H721" s="3" t="str">
        <f t="shared" si="51"/>
        <v>2018</v>
      </c>
      <c r="I721" s="3">
        <v>3</v>
      </c>
      <c r="J721" s="69"/>
      <c r="K721" s="3" t="s">
        <v>51</v>
      </c>
      <c r="L721" s="3" t="s">
        <v>944</v>
      </c>
      <c r="M721" s="16">
        <v>195</v>
      </c>
      <c r="N721" s="3">
        <v>603</v>
      </c>
      <c r="O721" s="3" t="str">
        <f t="shared" si="50"/>
        <v>2017</v>
      </c>
      <c r="P721" s="2">
        <v>490</v>
      </c>
    </row>
    <row r="722" spans="1:19" x14ac:dyDescent="0.35">
      <c r="A722" s="3">
        <v>2016</v>
      </c>
      <c r="B722" s="3">
        <v>11</v>
      </c>
      <c r="C722" s="3">
        <v>8</v>
      </c>
      <c r="D722" s="2">
        <v>187</v>
      </c>
      <c r="E722" s="3" t="s">
        <v>638</v>
      </c>
      <c r="F722" s="3">
        <v>4</v>
      </c>
      <c r="G722" s="3" t="s">
        <v>45</v>
      </c>
      <c r="H722" s="3" t="str">
        <f t="shared" si="51"/>
        <v>2011</v>
      </c>
      <c r="I722" s="3">
        <v>5</v>
      </c>
      <c r="J722" s="69"/>
      <c r="K722" s="3" t="s">
        <v>46</v>
      </c>
      <c r="L722" s="3" t="s">
        <v>317</v>
      </c>
      <c r="M722" s="3">
        <v>195.5</v>
      </c>
      <c r="N722" s="3">
        <v>606</v>
      </c>
      <c r="O722" s="3" t="str">
        <f t="shared" si="50"/>
        <v>2007</v>
      </c>
      <c r="P722" s="2">
        <v>187</v>
      </c>
    </row>
    <row r="723" spans="1:19" x14ac:dyDescent="0.35">
      <c r="A723" s="3">
        <v>2019</v>
      </c>
      <c r="B723" s="3">
        <v>11</v>
      </c>
      <c r="C723" s="3">
        <v>27</v>
      </c>
      <c r="D723" s="2">
        <v>45</v>
      </c>
      <c r="E723" s="3" t="s">
        <v>487</v>
      </c>
      <c r="F723" s="3">
        <v>4</v>
      </c>
      <c r="G723" s="3" t="s">
        <v>45</v>
      </c>
      <c r="H723" s="3" t="str">
        <f t="shared" si="51"/>
        <v>2009</v>
      </c>
      <c r="I723" s="3">
        <v>10</v>
      </c>
      <c r="J723" s="69"/>
      <c r="K723" s="3" t="s">
        <v>488</v>
      </c>
      <c r="L723" s="3" t="s">
        <v>488</v>
      </c>
      <c r="M723" s="3">
        <v>219.6</v>
      </c>
      <c r="N723" s="3">
        <v>608</v>
      </c>
      <c r="O723" s="3" t="str">
        <f t="shared" si="50"/>
        <v>2007</v>
      </c>
      <c r="P723" s="2">
        <v>45</v>
      </c>
      <c r="Q723" s="2">
        <v>1.55</v>
      </c>
    </row>
    <row r="724" spans="1:19" x14ac:dyDescent="0.35">
      <c r="A724" s="3">
        <v>2023</v>
      </c>
      <c r="B724" s="3">
        <v>11</v>
      </c>
      <c r="C724" s="3">
        <v>7</v>
      </c>
      <c r="D724" s="2">
        <v>546</v>
      </c>
      <c r="E724" s="3" t="s">
        <v>995</v>
      </c>
      <c r="F724" s="3">
        <v>4</v>
      </c>
      <c r="G724" s="3" t="s">
        <v>41</v>
      </c>
      <c r="H724" s="3" t="str">
        <f t="shared" si="51"/>
        <v>2013</v>
      </c>
      <c r="I724" s="3">
        <v>10</v>
      </c>
      <c r="J724" s="69"/>
      <c r="K724" t="s">
        <v>42</v>
      </c>
      <c r="L724" s="3" t="s">
        <v>318</v>
      </c>
      <c r="M724" s="3">
        <v>197.7</v>
      </c>
      <c r="N724" s="3">
        <v>608</v>
      </c>
      <c r="O724" s="3" t="str">
        <f t="shared" si="50"/>
        <v>2011</v>
      </c>
      <c r="P724" s="2">
        <v>546</v>
      </c>
    </row>
    <row r="725" spans="1:19" x14ac:dyDescent="0.35">
      <c r="A725" s="3">
        <v>2016</v>
      </c>
      <c r="B725" s="3">
        <v>11</v>
      </c>
      <c r="C725" s="3">
        <v>7</v>
      </c>
      <c r="D725" s="2">
        <v>225</v>
      </c>
      <c r="E725" s="3" t="s">
        <v>683</v>
      </c>
      <c r="F725" s="3">
        <v>4</v>
      </c>
      <c r="G725" s="3" t="s">
        <v>45</v>
      </c>
      <c r="H725" s="3" t="str">
        <f t="shared" si="51"/>
        <v>2009</v>
      </c>
      <c r="I725" s="3">
        <v>7</v>
      </c>
      <c r="J725" s="69"/>
      <c r="K725" s="3" t="s">
        <v>671</v>
      </c>
      <c r="L725" s="3" t="s">
        <v>512</v>
      </c>
      <c r="M725" s="3">
        <v>234.5</v>
      </c>
      <c r="N725" s="3">
        <v>610</v>
      </c>
      <c r="O725" s="3" t="str">
        <f t="shared" si="50"/>
        <v>2007</v>
      </c>
      <c r="P725" s="2">
        <v>225</v>
      </c>
    </row>
    <row r="726" spans="1:19" x14ac:dyDescent="0.35">
      <c r="A726" s="3">
        <v>2016</v>
      </c>
      <c r="B726" s="3">
        <v>9</v>
      </c>
      <c r="C726" s="3">
        <v>1</v>
      </c>
      <c r="D726" s="2">
        <v>242</v>
      </c>
      <c r="E726" s="3" t="s">
        <v>700</v>
      </c>
      <c r="F726" s="3">
        <v>3</v>
      </c>
      <c r="G726" s="3" t="s">
        <v>45</v>
      </c>
      <c r="H726" s="3" t="str">
        <f t="shared" si="51"/>
        <v>2011</v>
      </c>
      <c r="I726" s="3">
        <v>5</v>
      </c>
      <c r="J726" s="69"/>
      <c r="K726" s="3" t="s">
        <v>647</v>
      </c>
      <c r="L726" s="3" t="s">
        <v>317</v>
      </c>
      <c r="M726" s="3">
        <v>23</v>
      </c>
      <c r="N726" s="3">
        <v>610</v>
      </c>
      <c r="O726" s="3" t="str">
        <f t="shared" si="50"/>
        <v>2007</v>
      </c>
      <c r="P726" s="2">
        <v>242</v>
      </c>
    </row>
    <row r="727" spans="1:19" x14ac:dyDescent="0.35">
      <c r="A727" s="3">
        <v>2023</v>
      </c>
      <c r="B727" s="3">
        <v>7</v>
      </c>
      <c r="C727" s="3">
        <v>21</v>
      </c>
      <c r="D727" s="2">
        <v>410</v>
      </c>
      <c r="E727" s="3" t="s">
        <v>874</v>
      </c>
      <c r="F727" s="3">
        <v>3</v>
      </c>
      <c r="G727" s="3" t="s">
        <v>20</v>
      </c>
      <c r="H727" s="3" t="str">
        <f t="shared" si="51"/>
        <v>2020</v>
      </c>
      <c r="I727" s="3">
        <v>3</v>
      </c>
      <c r="J727" s="69"/>
      <c r="K727" s="3" t="s">
        <v>55</v>
      </c>
      <c r="L727" s="3">
        <v>8</v>
      </c>
      <c r="M727" s="3">
        <v>18.2</v>
      </c>
      <c r="N727" s="3">
        <v>610</v>
      </c>
      <c r="O727" s="3" t="str">
        <f t="shared" si="50"/>
        <v>2018</v>
      </c>
      <c r="P727" s="2">
        <v>410</v>
      </c>
    </row>
    <row r="728" spans="1:19" x14ac:dyDescent="0.35">
      <c r="A728" s="3">
        <v>2024</v>
      </c>
      <c r="B728" s="3">
        <v>2</v>
      </c>
      <c r="C728" s="3">
        <v>23</v>
      </c>
      <c r="D728" s="2">
        <v>647</v>
      </c>
      <c r="E728" s="3" t="s">
        <v>101</v>
      </c>
      <c r="F728" s="3">
        <v>1</v>
      </c>
      <c r="G728" s="3" t="s">
        <v>225</v>
      </c>
      <c r="H728" s="3" t="str">
        <f t="shared" si="51"/>
        <v>2022</v>
      </c>
      <c r="I728" s="3">
        <v>2</v>
      </c>
      <c r="J728" s="69"/>
      <c r="K728" t="s">
        <v>21</v>
      </c>
      <c r="L728" s="3">
        <v>2</v>
      </c>
      <c r="M728">
        <v>258.7</v>
      </c>
      <c r="N728" s="3">
        <v>610</v>
      </c>
      <c r="O728" s="3" t="str">
        <f t="shared" si="50"/>
        <v>2021</v>
      </c>
      <c r="P728" s="2">
        <v>647</v>
      </c>
    </row>
    <row r="729" spans="1:19" x14ac:dyDescent="0.35">
      <c r="A729" s="3">
        <v>2024</v>
      </c>
      <c r="B729" s="3">
        <v>8</v>
      </c>
      <c r="C729" s="3">
        <v>20</v>
      </c>
      <c r="D729" s="2">
        <v>725</v>
      </c>
      <c r="E729" s="3" t="s">
        <v>1141</v>
      </c>
      <c r="F729" s="3">
        <v>3</v>
      </c>
      <c r="G729" s="3" t="s">
        <v>226</v>
      </c>
      <c r="H729" s="3" t="str">
        <f t="shared" si="51"/>
        <v>2017</v>
      </c>
      <c r="I729" s="3">
        <v>7</v>
      </c>
      <c r="J729" s="69"/>
      <c r="K729" t="s">
        <v>783</v>
      </c>
      <c r="L729">
        <v>7</v>
      </c>
      <c r="M729">
        <v>226.9</v>
      </c>
      <c r="N729" s="3">
        <v>610</v>
      </c>
      <c r="O729" s="3" t="str">
        <f t="shared" si="50"/>
        <v>2017</v>
      </c>
      <c r="P729" s="2">
        <v>725</v>
      </c>
    </row>
    <row r="730" spans="1:19" x14ac:dyDescent="0.35">
      <c r="A730" s="3">
        <v>2023</v>
      </c>
      <c r="B730" s="3">
        <v>2</v>
      </c>
      <c r="C730" s="3">
        <v>13</v>
      </c>
      <c r="D730" s="2">
        <v>152</v>
      </c>
      <c r="E730" s="3" t="s">
        <v>597</v>
      </c>
      <c r="F730" s="3">
        <v>1</v>
      </c>
      <c r="G730" s="3" t="s">
        <v>41</v>
      </c>
      <c r="H730" s="3" t="str">
        <f t="shared" si="51"/>
        <v>2012</v>
      </c>
      <c r="I730" s="3">
        <v>11</v>
      </c>
      <c r="J730" s="69"/>
      <c r="K730" s="3" t="s">
        <v>461</v>
      </c>
      <c r="L730" s="3" t="s">
        <v>461</v>
      </c>
      <c r="M730" s="3">
        <v>195.5</v>
      </c>
      <c r="N730" s="3">
        <v>613</v>
      </c>
      <c r="O730" s="3" t="str">
        <f t="shared" si="50"/>
        <v>2011</v>
      </c>
      <c r="P730" s="2">
        <v>152</v>
      </c>
    </row>
    <row r="731" spans="1:19" x14ac:dyDescent="0.35">
      <c r="A731" s="3">
        <v>2023</v>
      </c>
      <c r="B731" s="3">
        <v>7</v>
      </c>
      <c r="C731" s="3">
        <v>17</v>
      </c>
      <c r="D731" s="2">
        <v>348</v>
      </c>
      <c r="E731" s="3" t="s">
        <v>814</v>
      </c>
      <c r="F731" s="3">
        <v>3</v>
      </c>
      <c r="G731" s="3" t="s">
        <v>45</v>
      </c>
      <c r="H731" s="3" t="str">
        <f t="shared" si="51"/>
        <v>2011</v>
      </c>
      <c r="I731" s="3">
        <v>12</v>
      </c>
      <c r="J731" s="69"/>
      <c r="K731" s="3" t="s">
        <v>236</v>
      </c>
      <c r="L731" s="3" t="s">
        <v>317</v>
      </c>
      <c r="M731" s="3">
        <v>217.2</v>
      </c>
      <c r="N731" s="3">
        <v>613</v>
      </c>
      <c r="O731" s="3" t="str">
        <f t="shared" si="50"/>
        <v>2007</v>
      </c>
      <c r="P731" s="2">
        <v>348</v>
      </c>
    </row>
    <row r="732" spans="1:19" x14ac:dyDescent="0.35">
      <c r="A732" s="3">
        <v>2023</v>
      </c>
      <c r="B732" s="3">
        <v>7</v>
      </c>
      <c r="C732" s="3">
        <v>19</v>
      </c>
      <c r="D732" s="2">
        <v>403</v>
      </c>
      <c r="E732" s="3" t="s">
        <v>48</v>
      </c>
      <c r="F732" s="3">
        <v>3</v>
      </c>
      <c r="G732" s="3" t="s">
        <v>41</v>
      </c>
      <c r="H732" s="3" t="str">
        <f t="shared" si="51"/>
        <v>2013</v>
      </c>
      <c r="I732" s="3">
        <v>10</v>
      </c>
      <c r="J732" s="69"/>
      <c r="K732" s="3" t="s">
        <v>49</v>
      </c>
      <c r="L732" s="3" t="s">
        <v>318</v>
      </c>
      <c r="M732" s="3">
        <v>185.5</v>
      </c>
      <c r="N732" s="3">
        <v>613</v>
      </c>
      <c r="O732" s="3" t="str">
        <f t="shared" si="50"/>
        <v>2011</v>
      </c>
      <c r="P732" s="2">
        <v>403</v>
      </c>
    </row>
    <row r="733" spans="1:19" x14ac:dyDescent="0.35">
      <c r="A733" s="3">
        <v>2024</v>
      </c>
      <c r="B733" s="3">
        <v>1</v>
      </c>
      <c r="C733" s="3">
        <v>22</v>
      </c>
      <c r="D733" s="2">
        <v>589</v>
      </c>
      <c r="E733" s="3" t="s">
        <v>131</v>
      </c>
      <c r="F733" s="3">
        <v>1</v>
      </c>
      <c r="G733" s="3" t="s">
        <v>20</v>
      </c>
      <c r="H733" s="3" t="str">
        <f t="shared" si="51"/>
        <v>2020</v>
      </c>
      <c r="I733" s="3">
        <v>4</v>
      </c>
      <c r="J733" s="69"/>
      <c r="K733" t="s">
        <v>55</v>
      </c>
      <c r="L733">
        <v>8</v>
      </c>
      <c r="M733">
        <v>484.2</v>
      </c>
      <c r="N733" s="3">
        <v>615</v>
      </c>
      <c r="O733" s="3" t="str">
        <f t="shared" si="50"/>
        <v>2018</v>
      </c>
      <c r="P733" s="2">
        <v>589</v>
      </c>
    </row>
    <row r="734" spans="1:19" x14ac:dyDescent="0.35">
      <c r="A734" s="3">
        <v>2024</v>
      </c>
      <c r="B734">
        <v>8</v>
      </c>
      <c r="C734" s="3">
        <v>19</v>
      </c>
      <c r="D734" s="2">
        <v>812</v>
      </c>
      <c r="E734" s="3" t="s">
        <v>298</v>
      </c>
      <c r="F734" s="3">
        <v>3</v>
      </c>
      <c r="G734" s="3" t="s">
        <v>225</v>
      </c>
      <c r="H734" s="3" t="str">
        <f t="shared" si="51"/>
        <v>2021</v>
      </c>
      <c r="I734" s="3">
        <v>3</v>
      </c>
      <c r="J734" s="69"/>
      <c r="K734">
        <v>3</v>
      </c>
      <c r="L734">
        <v>3</v>
      </c>
      <c r="M734">
        <v>266.89999999999998</v>
      </c>
      <c r="N734" s="3">
        <v>615</v>
      </c>
      <c r="O734" s="3" t="str">
        <f t="shared" si="50"/>
        <v>2021</v>
      </c>
      <c r="P734" s="2">
        <v>812</v>
      </c>
    </row>
    <row r="735" spans="1:19" x14ac:dyDescent="0.35">
      <c r="A735" s="3">
        <v>2024</v>
      </c>
      <c r="B735">
        <v>8</v>
      </c>
      <c r="C735" s="3">
        <v>19</v>
      </c>
      <c r="D735" s="2">
        <v>822</v>
      </c>
      <c r="E735" s="3" t="s">
        <v>304</v>
      </c>
      <c r="F735" s="3">
        <v>3</v>
      </c>
      <c r="G735" s="3" t="s">
        <v>225</v>
      </c>
      <c r="H735" s="3" t="str">
        <f t="shared" si="51"/>
        <v>2021</v>
      </c>
      <c r="I735" s="3">
        <v>3</v>
      </c>
      <c r="J735" s="69"/>
      <c r="K735">
        <v>3</v>
      </c>
      <c r="L735">
        <v>3</v>
      </c>
      <c r="M735">
        <v>269.7</v>
      </c>
      <c r="N735" s="3">
        <v>615</v>
      </c>
      <c r="O735" s="3" t="str">
        <f t="shared" si="50"/>
        <v>2021</v>
      </c>
      <c r="P735" s="2">
        <v>822</v>
      </c>
    </row>
    <row r="736" spans="1:19" x14ac:dyDescent="0.35">
      <c r="A736" s="3">
        <v>2019</v>
      </c>
      <c r="B736" s="3">
        <v>2</v>
      </c>
      <c r="C736" s="3">
        <v>21</v>
      </c>
      <c r="D736" s="2">
        <v>147</v>
      </c>
      <c r="E736" s="14" t="s">
        <v>592</v>
      </c>
      <c r="F736" s="15">
        <v>1</v>
      </c>
      <c r="G736" s="3" t="s">
        <v>41</v>
      </c>
      <c r="H736" s="3" t="str">
        <f t="shared" si="51"/>
        <v>2012</v>
      </c>
      <c r="I736" s="3">
        <v>7</v>
      </c>
      <c r="J736" s="69"/>
      <c r="K736" s="3" t="s">
        <v>551</v>
      </c>
      <c r="L736" s="3" t="s">
        <v>461</v>
      </c>
      <c r="M736" s="3">
        <v>247.3</v>
      </c>
      <c r="N736" s="3">
        <v>616</v>
      </c>
      <c r="O736" s="3" t="str">
        <f t="shared" si="50"/>
        <v>2011</v>
      </c>
      <c r="P736" s="2">
        <v>147</v>
      </c>
      <c r="S736">
        <v>4.71</v>
      </c>
    </row>
    <row r="737" spans="1:23" x14ac:dyDescent="0.35">
      <c r="A737" s="3">
        <v>2021</v>
      </c>
      <c r="B737" s="3">
        <v>10</v>
      </c>
      <c r="C737" s="3">
        <v>11</v>
      </c>
      <c r="D737" s="2">
        <v>480</v>
      </c>
      <c r="E737" s="3" t="s">
        <v>935</v>
      </c>
      <c r="F737" s="3">
        <v>4</v>
      </c>
      <c r="G737" s="3" t="s">
        <v>226</v>
      </c>
      <c r="H737" s="3" t="str">
        <f t="shared" si="51"/>
        <v>2018</v>
      </c>
      <c r="I737" s="3">
        <v>3</v>
      </c>
      <c r="J737" s="69"/>
      <c r="K737" s="3" t="s">
        <v>51</v>
      </c>
      <c r="L737" s="3" t="s">
        <v>929</v>
      </c>
      <c r="M737" s="16">
        <v>225</v>
      </c>
      <c r="N737" s="3">
        <v>618</v>
      </c>
      <c r="O737" s="3" t="str">
        <f t="shared" si="50"/>
        <v>2017</v>
      </c>
      <c r="P737" s="2">
        <v>480</v>
      </c>
      <c r="W737">
        <v>3.65</v>
      </c>
    </row>
    <row r="738" spans="1:23" x14ac:dyDescent="0.35">
      <c r="A738" s="3">
        <v>2019</v>
      </c>
      <c r="B738" s="3">
        <v>1</v>
      </c>
      <c r="C738" s="3" t="s">
        <v>28</v>
      </c>
      <c r="D738" s="2">
        <v>62</v>
      </c>
      <c r="E738" s="3" t="s">
        <v>505</v>
      </c>
      <c r="F738" s="3">
        <v>1</v>
      </c>
      <c r="G738" s="3" t="s">
        <v>41</v>
      </c>
      <c r="H738" s="3" t="str">
        <f t="shared" si="51"/>
        <v>2012</v>
      </c>
      <c r="I738" s="3">
        <v>7</v>
      </c>
      <c r="J738" s="69"/>
      <c r="K738" s="3" t="s">
        <v>461</v>
      </c>
      <c r="L738" s="3" t="s">
        <v>461</v>
      </c>
      <c r="M738" s="3">
        <v>260.8</v>
      </c>
      <c r="N738" s="3">
        <v>618</v>
      </c>
      <c r="O738" s="3" t="str">
        <f t="shared" si="50"/>
        <v>2011</v>
      </c>
      <c r="P738" s="2">
        <v>62</v>
      </c>
    </row>
    <row r="739" spans="1:23" x14ac:dyDescent="0.35">
      <c r="A739" s="3">
        <v>2024</v>
      </c>
      <c r="B739" s="3">
        <v>1</v>
      </c>
      <c r="C739" s="3">
        <v>22</v>
      </c>
      <c r="D739" s="2">
        <v>604</v>
      </c>
      <c r="E739" s="3" t="s">
        <v>98</v>
      </c>
      <c r="F739" s="3">
        <v>1</v>
      </c>
      <c r="G739" s="3" t="s">
        <v>20</v>
      </c>
      <c r="H739" s="3" t="str">
        <f t="shared" si="51"/>
        <v>2020</v>
      </c>
      <c r="I739" s="3">
        <v>4</v>
      </c>
      <c r="J739" s="69"/>
      <c r="K739" t="s">
        <v>233</v>
      </c>
      <c r="L739">
        <v>37</v>
      </c>
      <c r="M739">
        <v>286</v>
      </c>
      <c r="N739" s="3">
        <v>618</v>
      </c>
      <c r="O739" s="3" t="str">
        <f t="shared" si="50"/>
        <v>2018</v>
      </c>
      <c r="P739" s="2">
        <v>604</v>
      </c>
    </row>
    <row r="740" spans="1:23" x14ac:dyDescent="0.35">
      <c r="A740" s="3">
        <v>2017</v>
      </c>
      <c r="B740" s="3">
        <v>8</v>
      </c>
      <c r="C740" s="3">
        <v>14</v>
      </c>
      <c r="D740" s="2">
        <v>130</v>
      </c>
      <c r="E740" s="14" t="s">
        <v>575</v>
      </c>
      <c r="F740" s="15">
        <v>3</v>
      </c>
      <c r="G740" s="3" t="s">
        <v>45</v>
      </c>
      <c r="H740" s="3" t="str">
        <f t="shared" si="51"/>
        <v>2011</v>
      </c>
      <c r="I740" s="3">
        <v>6</v>
      </c>
      <c r="J740" s="69"/>
      <c r="K740" s="3" t="s">
        <v>317</v>
      </c>
      <c r="L740" s="3" t="s">
        <v>317</v>
      </c>
      <c r="M740" s="3">
        <v>236.4</v>
      </c>
      <c r="N740" s="3">
        <v>620</v>
      </c>
      <c r="O740" s="3" t="str">
        <f t="shared" si="50"/>
        <v>2007</v>
      </c>
      <c r="P740" s="2">
        <v>130</v>
      </c>
    </row>
    <row r="741" spans="1:23" x14ac:dyDescent="0.35">
      <c r="A741" s="3">
        <v>2023</v>
      </c>
      <c r="B741" s="3">
        <v>7</v>
      </c>
      <c r="C741" s="3">
        <v>19</v>
      </c>
      <c r="D741" s="2">
        <v>352</v>
      </c>
      <c r="E741" s="3" t="s">
        <v>818</v>
      </c>
      <c r="F741" s="3">
        <v>3</v>
      </c>
      <c r="G741" s="3" t="s">
        <v>41</v>
      </c>
      <c r="H741" s="3" t="str">
        <f t="shared" si="51"/>
        <v>2013</v>
      </c>
      <c r="I741" s="3">
        <v>10</v>
      </c>
      <c r="J741" s="69"/>
      <c r="K741" s="3" t="s">
        <v>583</v>
      </c>
      <c r="L741" s="3" t="s">
        <v>318</v>
      </c>
      <c r="M741" s="3">
        <v>223.2</v>
      </c>
      <c r="N741" s="3">
        <v>620</v>
      </c>
      <c r="O741" s="3" t="str">
        <f t="shared" si="50"/>
        <v>2011</v>
      </c>
      <c r="P741" s="2">
        <v>352</v>
      </c>
    </row>
    <row r="742" spans="1:23" x14ac:dyDescent="0.35">
      <c r="A742" s="3">
        <v>2017</v>
      </c>
      <c r="B742" s="3">
        <v>7</v>
      </c>
      <c r="C742" s="3">
        <v>8</v>
      </c>
      <c r="D742" s="2">
        <v>93</v>
      </c>
      <c r="E742" s="14" t="s">
        <v>538</v>
      </c>
      <c r="F742" s="15">
        <v>3</v>
      </c>
      <c r="G742" s="3" t="s">
        <v>41</v>
      </c>
      <c r="H742" s="3" t="str">
        <f t="shared" si="51"/>
        <v>2013</v>
      </c>
      <c r="I742" s="3">
        <v>4</v>
      </c>
      <c r="J742" s="69"/>
      <c r="K742" s="3" t="s">
        <v>318</v>
      </c>
      <c r="L742" s="3" t="s">
        <v>318</v>
      </c>
      <c r="M742" s="3">
        <v>229.8</v>
      </c>
      <c r="N742" s="3">
        <v>624</v>
      </c>
      <c r="O742" s="3" t="str">
        <f t="shared" si="50"/>
        <v>2011</v>
      </c>
      <c r="P742" s="2">
        <v>93</v>
      </c>
    </row>
    <row r="743" spans="1:23" x14ac:dyDescent="0.35">
      <c r="A743" s="3">
        <v>2024</v>
      </c>
      <c r="B743" s="3">
        <v>8</v>
      </c>
      <c r="C743" s="3">
        <v>9</v>
      </c>
      <c r="D743" s="2">
        <v>719</v>
      </c>
      <c r="E743" s="3" t="s">
        <v>1135</v>
      </c>
      <c r="F743" s="3">
        <v>3</v>
      </c>
      <c r="G743" s="3" t="s">
        <v>41</v>
      </c>
      <c r="H743" s="3" t="str">
        <f t="shared" si="51"/>
        <v>2013</v>
      </c>
      <c r="I743" s="3">
        <v>11</v>
      </c>
      <c r="J743" s="69"/>
      <c r="K743" t="s">
        <v>755</v>
      </c>
      <c r="L743" t="s">
        <v>458</v>
      </c>
      <c r="M743">
        <v>207.6</v>
      </c>
      <c r="N743" s="3">
        <v>625</v>
      </c>
      <c r="O743" s="3" t="str">
        <f t="shared" si="50"/>
        <v>2011</v>
      </c>
      <c r="P743" s="2">
        <v>719</v>
      </c>
      <c r="S743">
        <v>3.27</v>
      </c>
    </row>
    <row r="744" spans="1:23" x14ac:dyDescent="0.35">
      <c r="A744" s="3">
        <v>2024</v>
      </c>
      <c r="B744" s="3">
        <v>8</v>
      </c>
      <c r="C744" s="3">
        <v>19</v>
      </c>
      <c r="D744" s="2">
        <v>740</v>
      </c>
      <c r="E744" s="3" t="s">
        <v>253</v>
      </c>
      <c r="F744" s="3">
        <v>3</v>
      </c>
      <c r="G744" s="3" t="s">
        <v>225</v>
      </c>
      <c r="H744" s="3" t="str">
        <f t="shared" si="51"/>
        <v>2021</v>
      </c>
      <c r="I744" s="3">
        <v>3</v>
      </c>
      <c r="J744" s="69"/>
      <c r="K744">
        <v>3</v>
      </c>
      <c r="L744">
        <v>3</v>
      </c>
      <c r="M744">
        <v>258.10000000000002</v>
      </c>
      <c r="N744" s="3">
        <v>625</v>
      </c>
      <c r="O744" s="3" t="str">
        <f t="shared" si="50"/>
        <v>2021</v>
      </c>
      <c r="P744" s="2">
        <v>740</v>
      </c>
    </row>
    <row r="745" spans="1:23" x14ac:dyDescent="0.35">
      <c r="A745" s="3">
        <v>2024</v>
      </c>
      <c r="B745" s="3">
        <v>8</v>
      </c>
      <c r="C745" s="3">
        <v>9</v>
      </c>
      <c r="D745" s="2">
        <v>776</v>
      </c>
      <c r="E745" s="3" t="s">
        <v>1161</v>
      </c>
      <c r="F745" s="3">
        <v>3</v>
      </c>
      <c r="G745" s="3" t="s">
        <v>41</v>
      </c>
      <c r="H745" s="3" t="str">
        <f t="shared" si="51"/>
        <v>2013</v>
      </c>
      <c r="I745" s="3">
        <v>11</v>
      </c>
      <c r="J745" s="69"/>
      <c r="K745" t="s">
        <v>669</v>
      </c>
      <c r="L745" t="s">
        <v>458</v>
      </c>
      <c r="M745">
        <v>293.39999999999998</v>
      </c>
      <c r="N745" s="3">
        <v>626</v>
      </c>
      <c r="O745" s="3" t="str">
        <f t="shared" si="50"/>
        <v>2011</v>
      </c>
      <c r="P745" s="2">
        <v>776</v>
      </c>
    </row>
    <row r="746" spans="1:23" x14ac:dyDescent="0.35">
      <c r="A746" s="3">
        <v>2016</v>
      </c>
      <c r="B746" s="3">
        <v>11</v>
      </c>
      <c r="C746" s="3">
        <v>8</v>
      </c>
      <c r="D746" s="2">
        <v>184</v>
      </c>
      <c r="E746" s="3" t="s">
        <v>635</v>
      </c>
      <c r="F746" s="3">
        <v>4</v>
      </c>
      <c r="G746" s="3" t="s">
        <v>45</v>
      </c>
      <c r="H746" s="3" t="str">
        <f t="shared" si="51"/>
        <v>2011</v>
      </c>
      <c r="I746" s="3">
        <v>5</v>
      </c>
      <c r="J746" s="69"/>
      <c r="K746" s="3" t="s">
        <v>632</v>
      </c>
      <c r="L746" s="3" t="s">
        <v>317</v>
      </c>
      <c r="M746" s="3">
        <v>290.89999999999998</v>
      </c>
      <c r="N746" s="3">
        <v>627</v>
      </c>
      <c r="O746" s="3" t="str">
        <f t="shared" si="50"/>
        <v>2007</v>
      </c>
      <c r="P746" s="2">
        <v>184</v>
      </c>
    </row>
    <row r="747" spans="1:23" x14ac:dyDescent="0.35">
      <c r="A747" s="3">
        <v>2024</v>
      </c>
      <c r="B747" s="3">
        <v>8</v>
      </c>
      <c r="C747" s="3">
        <v>13</v>
      </c>
      <c r="D747" s="2">
        <v>777</v>
      </c>
      <c r="E747" s="3" t="s">
        <v>277</v>
      </c>
      <c r="F747" s="3">
        <v>3</v>
      </c>
      <c r="G747" s="3" t="s">
        <v>225</v>
      </c>
      <c r="H747" s="3" t="str">
        <f t="shared" si="51"/>
        <v>2021</v>
      </c>
      <c r="I747" s="3">
        <v>3</v>
      </c>
      <c r="J747" s="69"/>
      <c r="K747" t="s">
        <v>1162</v>
      </c>
      <c r="L747">
        <v>3</v>
      </c>
      <c r="M747">
        <v>264.60000000000002</v>
      </c>
      <c r="N747" s="3">
        <v>627</v>
      </c>
      <c r="O747" s="3" t="str">
        <f t="shared" si="50"/>
        <v>2021</v>
      </c>
      <c r="P747" s="2">
        <v>777</v>
      </c>
    </row>
    <row r="748" spans="1:23" x14ac:dyDescent="0.35">
      <c r="A748" s="3">
        <v>2019</v>
      </c>
      <c r="B748" s="3">
        <v>11</v>
      </c>
      <c r="C748" s="3">
        <v>27</v>
      </c>
      <c r="D748" s="2">
        <v>40</v>
      </c>
      <c r="E748" s="3" t="s">
        <v>482</v>
      </c>
      <c r="F748" s="3">
        <v>4</v>
      </c>
      <c r="G748" s="3" t="s">
        <v>45</v>
      </c>
      <c r="H748" s="3" t="str">
        <f t="shared" si="51"/>
        <v>2011</v>
      </c>
      <c r="I748" s="3">
        <v>8</v>
      </c>
      <c r="J748" s="69"/>
      <c r="K748" s="3" t="s">
        <v>317</v>
      </c>
      <c r="L748" s="3" t="s">
        <v>317</v>
      </c>
      <c r="M748" s="3">
        <v>226.3</v>
      </c>
      <c r="N748" s="3">
        <v>630</v>
      </c>
      <c r="O748" s="3" t="str">
        <f t="shared" si="50"/>
        <v>2007</v>
      </c>
      <c r="P748" s="2">
        <v>40</v>
      </c>
    </row>
    <row r="749" spans="1:23" x14ac:dyDescent="0.35">
      <c r="A749" s="3">
        <v>2017</v>
      </c>
      <c r="B749" s="3">
        <v>8</v>
      </c>
      <c r="C749" s="3">
        <v>8</v>
      </c>
      <c r="D749" s="2">
        <v>124</v>
      </c>
      <c r="E749" s="14" t="s">
        <v>569</v>
      </c>
      <c r="F749" s="15">
        <v>3</v>
      </c>
      <c r="G749" s="3" t="s">
        <v>45</v>
      </c>
      <c r="H749" s="3" t="str">
        <f t="shared" si="51"/>
        <v>2009</v>
      </c>
      <c r="I749" s="3">
        <v>8</v>
      </c>
      <c r="J749" s="69"/>
      <c r="K749" s="3" t="s">
        <v>512</v>
      </c>
      <c r="L749" s="3" t="s">
        <v>512</v>
      </c>
      <c r="M749" s="3">
        <v>249.7</v>
      </c>
      <c r="N749" s="3">
        <v>630</v>
      </c>
      <c r="O749" s="3" t="str">
        <f t="shared" si="50"/>
        <v>2007</v>
      </c>
      <c r="P749" s="2">
        <v>124</v>
      </c>
    </row>
    <row r="750" spans="1:23" x14ac:dyDescent="0.35">
      <c r="A750" s="3">
        <v>2024</v>
      </c>
      <c r="B750" s="3">
        <v>4</v>
      </c>
      <c r="C750" s="3">
        <v>5</v>
      </c>
      <c r="D750" s="2">
        <v>662</v>
      </c>
      <c r="E750" s="3" t="s">
        <v>152</v>
      </c>
      <c r="F750" s="3">
        <v>2</v>
      </c>
      <c r="G750" s="3" t="s">
        <v>225</v>
      </c>
      <c r="H750" s="3" t="str">
        <f t="shared" si="51"/>
        <v>2021</v>
      </c>
      <c r="I750" s="3">
        <v>3</v>
      </c>
      <c r="J750" s="69"/>
      <c r="K750" t="s">
        <v>94</v>
      </c>
      <c r="L750">
        <v>1</v>
      </c>
      <c r="M750">
        <v>281.7</v>
      </c>
      <c r="N750" s="3">
        <v>630</v>
      </c>
      <c r="O750" s="3" t="str">
        <f t="shared" si="50"/>
        <v>2021</v>
      </c>
      <c r="P750" s="2">
        <v>662</v>
      </c>
    </row>
    <row r="751" spans="1:23" x14ac:dyDescent="0.35">
      <c r="A751" s="3">
        <v>2021</v>
      </c>
      <c r="B751" s="3">
        <v>10</v>
      </c>
      <c r="C751" s="3" t="s">
        <v>28</v>
      </c>
      <c r="D751" s="2">
        <v>34</v>
      </c>
      <c r="E751" s="3" t="s">
        <v>476</v>
      </c>
      <c r="F751" s="3">
        <v>4</v>
      </c>
      <c r="G751" s="3" t="s">
        <v>41</v>
      </c>
      <c r="H751" s="3" t="str">
        <f t="shared" si="51"/>
        <v>2012</v>
      </c>
      <c r="I751" s="3">
        <v>9</v>
      </c>
      <c r="J751" s="69"/>
      <c r="K751" s="3" t="s">
        <v>461</v>
      </c>
      <c r="L751" s="3" t="s">
        <v>461</v>
      </c>
      <c r="M751" s="3">
        <v>216.4</v>
      </c>
      <c r="N751" s="3">
        <v>631</v>
      </c>
      <c r="O751" s="3" t="str">
        <f t="shared" si="50"/>
        <v>2011</v>
      </c>
      <c r="P751" s="2">
        <v>34</v>
      </c>
    </row>
    <row r="752" spans="1:23" x14ac:dyDescent="0.35">
      <c r="A752" s="3">
        <v>2017</v>
      </c>
      <c r="B752" s="3">
        <v>1</v>
      </c>
      <c r="C752" s="3">
        <v>20</v>
      </c>
      <c r="D752" s="2">
        <v>97</v>
      </c>
      <c r="E752" s="14" t="s">
        <v>543</v>
      </c>
      <c r="F752" s="15">
        <v>1</v>
      </c>
      <c r="G752" s="3" t="s">
        <v>41</v>
      </c>
      <c r="H752" s="3" t="str">
        <f t="shared" si="51"/>
        <v>2012</v>
      </c>
      <c r="I752" s="3">
        <v>5</v>
      </c>
      <c r="J752" s="69"/>
      <c r="K752" s="3" t="s">
        <v>544</v>
      </c>
      <c r="L752" s="3" t="s">
        <v>461</v>
      </c>
      <c r="M752" s="3">
        <v>243.1</v>
      </c>
      <c r="N752" s="3">
        <v>631</v>
      </c>
      <c r="O752" s="3" t="str">
        <f t="shared" si="50"/>
        <v>2011</v>
      </c>
      <c r="P752" s="2">
        <v>97</v>
      </c>
    </row>
    <row r="753" spans="1:19" x14ac:dyDescent="0.35">
      <c r="A753" s="3">
        <v>2019</v>
      </c>
      <c r="B753" s="3">
        <v>2</v>
      </c>
      <c r="C753" s="3">
        <v>21</v>
      </c>
      <c r="D753" s="2">
        <v>168</v>
      </c>
      <c r="E753" s="3" t="s">
        <v>617</v>
      </c>
      <c r="F753" s="3">
        <v>1</v>
      </c>
      <c r="G753" s="3" t="s">
        <v>45</v>
      </c>
      <c r="H753" s="3" t="str">
        <f t="shared" si="51"/>
        <v>2011</v>
      </c>
      <c r="I753" s="3">
        <v>8</v>
      </c>
      <c r="J753" s="69"/>
      <c r="K753" s="3" t="s">
        <v>615</v>
      </c>
      <c r="L753" s="3" t="s">
        <v>317</v>
      </c>
      <c r="M753" s="3">
        <v>282.2</v>
      </c>
      <c r="N753" s="3">
        <v>632</v>
      </c>
      <c r="O753" s="3" t="str">
        <f t="shared" si="50"/>
        <v>2007</v>
      </c>
      <c r="P753" s="2">
        <v>168</v>
      </c>
    </row>
    <row r="754" spans="1:19" x14ac:dyDescent="0.35">
      <c r="A754" s="3">
        <v>2018</v>
      </c>
      <c r="B754" s="3">
        <v>8</v>
      </c>
      <c r="C754" s="3">
        <v>16</v>
      </c>
      <c r="D754" s="2">
        <v>330</v>
      </c>
      <c r="E754" s="3" t="s">
        <v>797</v>
      </c>
      <c r="F754" s="3">
        <v>3</v>
      </c>
      <c r="G754" s="3" t="s">
        <v>45</v>
      </c>
      <c r="H754" s="3" t="str">
        <f t="shared" si="51"/>
        <v>2011</v>
      </c>
      <c r="I754" s="3">
        <v>7</v>
      </c>
      <c r="J754" s="69"/>
      <c r="K754" s="3" t="s">
        <v>632</v>
      </c>
      <c r="L754" s="3" t="s">
        <v>317</v>
      </c>
      <c r="M754" s="3">
        <v>211.2</v>
      </c>
      <c r="N754" s="3">
        <v>633</v>
      </c>
      <c r="O754" s="3" t="str">
        <f t="shared" si="50"/>
        <v>2007</v>
      </c>
      <c r="P754" s="2">
        <v>330</v>
      </c>
    </row>
    <row r="755" spans="1:19" x14ac:dyDescent="0.35">
      <c r="A755" s="3">
        <v>2021</v>
      </c>
      <c r="B755" s="3" t="s">
        <v>28</v>
      </c>
      <c r="C755" s="3" t="s">
        <v>28</v>
      </c>
      <c r="D755" s="2">
        <v>486</v>
      </c>
      <c r="E755" s="3" t="s">
        <v>111</v>
      </c>
      <c r="F755" s="3" t="s">
        <v>28</v>
      </c>
      <c r="G755" s="3" t="s">
        <v>226</v>
      </c>
      <c r="H755" s="3" t="str">
        <f t="shared" si="51"/>
        <v>2018</v>
      </c>
      <c r="I755" s="3">
        <v>3</v>
      </c>
      <c r="J755" s="69"/>
      <c r="K755" s="3" t="s">
        <v>51</v>
      </c>
      <c r="L755" s="3" t="s">
        <v>939</v>
      </c>
      <c r="M755" s="16">
        <v>210</v>
      </c>
      <c r="N755" s="3">
        <v>633</v>
      </c>
      <c r="O755" s="3" t="str">
        <f t="shared" si="50"/>
        <v>2017</v>
      </c>
      <c r="P755" s="2">
        <v>486</v>
      </c>
    </row>
    <row r="756" spans="1:19" x14ac:dyDescent="0.35">
      <c r="A756" s="3">
        <v>2023</v>
      </c>
      <c r="B756" s="3">
        <v>11</v>
      </c>
      <c r="C756" s="3">
        <v>17</v>
      </c>
      <c r="D756" s="2">
        <v>511</v>
      </c>
      <c r="E756" s="3" t="s">
        <v>964</v>
      </c>
      <c r="F756" s="3">
        <v>4</v>
      </c>
      <c r="G756" s="3" t="s">
        <v>225</v>
      </c>
      <c r="H756" s="3" t="str">
        <f t="shared" si="51"/>
        <v>2022</v>
      </c>
      <c r="I756" s="3">
        <v>1</v>
      </c>
      <c r="J756" s="69"/>
      <c r="K756" s="3" t="s">
        <v>896</v>
      </c>
      <c r="L756" s="3">
        <v>5</v>
      </c>
      <c r="M756" s="3">
        <v>316.10000000000002</v>
      </c>
      <c r="N756" s="3">
        <v>633</v>
      </c>
      <c r="O756" s="3" t="str">
        <f t="shared" si="50"/>
        <v>2021</v>
      </c>
      <c r="P756" s="2">
        <v>511</v>
      </c>
    </row>
    <row r="757" spans="1:19" x14ac:dyDescent="0.35">
      <c r="A757" s="3">
        <v>2011</v>
      </c>
      <c r="B757" s="3">
        <v>11</v>
      </c>
      <c r="C757" s="3">
        <v>14</v>
      </c>
      <c r="D757" s="2">
        <v>616</v>
      </c>
      <c r="E757" s="3" t="s">
        <v>135</v>
      </c>
      <c r="F757" s="3">
        <v>4</v>
      </c>
      <c r="G757" s="3" t="s">
        <v>45</v>
      </c>
      <c r="H757" s="3" t="str">
        <f t="shared" si="51"/>
        <v>2009</v>
      </c>
      <c r="I757" s="3">
        <v>2</v>
      </c>
      <c r="J757" s="69"/>
      <c r="K757" t="s">
        <v>671</v>
      </c>
      <c r="L757" s="3" t="s">
        <v>512</v>
      </c>
      <c r="M757">
        <v>225.4</v>
      </c>
      <c r="N757" s="3">
        <v>633</v>
      </c>
      <c r="O757" s="3" t="str">
        <f t="shared" si="50"/>
        <v>2007</v>
      </c>
      <c r="P757" s="2">
        <v>616</v>
      </c>
    </row>
    <row r="758" spans="1:19" x14ac:dyDescent="0.35">
      <c r="A758" s="3">
        <v>2024</v>
      </c>
      <c r="B758" s="3">
        <v>8</v>
      </c>
      <c r="C758" s="3">
        <v>19</v>
      </c>
      <c r="D758" s="2">
        <v>729</v>
      </c>
      <c r="E758" s="3" t="s">
        <v>1145</v>
      </c>
      <c r="F758" s="3">
        <v>3</v>
      </c>
      <c r="G758" s="3" t="s">
        <v>225</v>
      </c>
      <c r="H758" s="3" t="str">
        <f t="shared" si="51"/>
        <v>2021</v>
      </c>
      <c r="I758" s="3">
        <v>3</v>
      </c>
      <c r="J758" s="69"/>
      <c r="K758">
        <v>3</v>
      </c>
      <c r="L758">
        <v>3</v>
      </c>
      <c r="M758">
        <v>291.89999999999998</v>
      </c>
      <c r="N758" s="3">
        <v>634</v>
      </c>
      <c r="O758" s="3" t="str">
        <f t="shared" si="50"/>
        <v>2021</v>
      </c>
      <c r="P758" s="2">
        <v>729</v>
      </c>
    </row>
    <row r="759" spans="1:19" x14ac:dyDescent="0.35">
      <c r="A759" s="3">
        <v>2022</v>
      </c>
      <c r="B759" s="3">
        <v>1</v>
      </c>
      <c r="C759" s="3" t="s">
        <v>28</v>
      </c>
      <c r="D759" s="2">
        <v>11</v>
      </c>
      <c r="E759" s="3" t="s">
        <v>19</v>
      </c>
      <c r="F759" s="3">
        <v>1</v>
      </c>
      <c r="G759" s="3" t="s">
        <v>20</v>
      </c>
      <c r="H759" s="3" t="str">
        <f t="shared" si="51"/>
        <v>2020</v>
      </c>
      <c r="I759" s="3">
        <v>2</v>
      </c>
      <c r="J759" s="69"/>
      <c r="K759" s="3">
        <v>8</v>
      </c>
      <c r="L759" s="3">
        <v>8</v>
      </c>
      <c r="M759" s="3">
        <v>370.8</v>
      </c>
      <c r="N759" s="3">
        <v>637</v>
      </c>
      <c r="O759" s="3" t="str">
        <f t="shared" si="50"/>
        <v>2018</v>
      </c>
      <c r="P759" s="2">
        <v>11</v>
      </c>
    </row>
    <row r="760" spans="1:19" x14ac:dyDescent="0.35">
      <c r="A760" s="3">
        <v>2023</v>
      </c>
      <c r="B760" s="3">
        <v>11</v>
      </c>
      <c r="C760" s="3">
        <v>20</v>
      </c>
      <c r="D760" s="2">
        <v>538</v>
      </c>
      <c r="E760" s="3" t="s">
        <v>119</v>
      </c>
      <c r="F760" s="3">
        <v>4</v>
      </c>
      <c r="G760" s="3" t="s">
        <v>225</v>
      </c>
      <c r="H760" s="3" t="str">
        <f t="shared" si="51"/>
        <v>2023</v>
      </c>
      <c r="I760" s="3">
        <v>0</v>
      </c>
      <c r="J760" s="69"/>
      <c r="K760" t="s">
        <v>229</v>
      </c>
      <c r="L760" s="3">
        <v>10</v>
      </c>
      <c r="M760" s="3">
        <v>313.2</v>
      </c>
      <c r="N760" s="3">
        <v>638</v>
      </c>
      <c r="O760" s="3" t="str">
        <f t="shared" si="50"/>
        <v>2021</v>
      </c>
      <c r="P760" s="2">
        <v>538</v>
      </c>
    </row>
    <row r="761" spans="1:19" x14ac:dyDescent="0.35">
      <c r="A761" s="3">
        <v>2024</v>
      </c>
      <c r="B761">
        <v>8</v>
      </c>
      <c r="C761" s="3">
        <v>15</v>
      </c>
      <c r="D761" s="2">
        <v>827</v>
      </c>
      <c r="E761" s="3" t="s">
        <v>1181</v>
      </c>
      <c r="F761" s="3">
        <v>3</v>
      </c>
      <c r="G761" s="3" t="s">
        <v>225</v>
      </c>
      <c r="H761" s="3" t="str">
        <f t="shared" si="51"/>
        <v>2021</v>
      </c>
      <c r="I761" s="3">
        <v>3</v>
      </c>
      <c r="J761" s="69"/>
      <c r="K761" t="s">
        <v>237</v>
      </c>
      <c r="L761">
        <v>3</v>
      </c>
      <c r="M761">
        <v>309</v>
      </c>
      <c r="N761" s="3">
        <v>638</v>
      </c>
      <c r="O761" s="3" t="str">
        <f t="shared" si="50"/>
        <v>2021</v>
      </c>
      <c r="P761" s="2">
        <v>827</v>
      </c>
    </row>
    <row r="762" spans="1:19" x14ac:dyDescent="0.35">
      <c r="A762" s="3">
        <v>2024</v>
      </c>
      <c r="B762" s="3">
        <v>2</v>
      </c>
      <c r="C762" s="3">
        <v>23</v>
      </c>
      <c r="D762" s="2">
        <v>646</v>
      </c>
      <c r="E762" s="3" t="s">
        <v>143</v>
      </c>
      <c r="F762" s="3">
        <v>1</v>
      </c>
      <c r="G762" s="3" t="s">
        <v>225</v>
      </c>
      <c r="H762" s="3" t="str">
        <f t="shared" si="51"/>
        <v>2022</v>
      </c>
      <c r="I762" s="3">
        <v>2</v>
      </c>
      <c r="J762" s="69"/>
      <c r="K762" t="s">
        <v>21</v>
      </c>
      <c r="L762" s="3">
        <v>2</v>
      </c>
      <c r="M762">
        <v>249.8</v>
      </c>
      <c r="N762" s="3">
        <v>639</v>
      </c>
      <c r="O762" s="3" t="str">
        <f t="shared" si="50"/>
        <v>2021</v>
      </c>
      <c r="P762" s="2">
        <v>646</v>
      </c>
      <c r="S762">
        <v>5.26</v>
      </c>
    </row>
    <row r="763" spans="1:19" x14ac:dyDescent="0.35">
      <c r="A763" s="3">
        <v>2022</v>
      </c>
      <c r="B763" s="3">
        <v>11</v>
      </c>
      <c r="C763" s="3">
        <v>18</v>
      </c>
      <c r="D763" s="2">
        <v>109</v>
      </c>
      <c r="E763" s="14" t="s">
        <v>557</v>
      </c>
      <c r="F763" s="15">
        <v>4</v>
      </c>
      <c r="G763" s="3" t="s">
        <v>225</v>
      </c>
      <c r="H763" s="3" t="str">
        <f t="shared" si="51"/>
        <v>2021</v>
      </c>
      <c r="I763" s="3">
        <v>1</v>
      </c>
      <c r="J763" s="69"/>
      <c r="K763" s="3">
        <v>4</v>
      </c>
      <c r="L763" s="3">
        <v>4</v>
      </c>
      <c r="M763" s="3">
        <v>262.7</v>
      </c>
      <c r="N763" s="3">
        <v>640</v>
      </c>
      <c r="O763" s="3" t="str">
        <f t="shared" si="50"/>
        <v>2021</v>
      </c>
      <c r="P763" s="2">
        <v>109</v>
      </c>
    </row>
    <row r="764" spans="1:19" x14ac:dyDescent="0.35">
      <c r="A764" s="3">
        <v>2024</v>
      </c>
      <c r="B764" s="3">
        <v>8</v>
      </c>
      <c r="C764" s="3">
        <v>15</v>
      </c>
      <c r="D764" s="2">
        <v>737</v>
      </c>
      <c r="E764" s="3" t="s">
        <v>252</v>
      </c>
      <c r="F764" s="3">
        <v>3</v>
      </c>
      <c r="G764" s="3" t="s">
        <v>225</v>
      </c>
      <c r="H764" s="3" t="str">
        <f t="shared" si="51"/>
        <v>2021</v>
      </c>
      <c r="I764" s="3">
        <v>3</v>
      </c>
      <c r="J764" s="69"/>
      <c r="K764">
        <v>3</v>
      </c>
      <c r="L764">
        <v>3</v>
      </c>
      <c r="M764">
        <v>330.4</v>
      </c>
      <c r="N764" s="3">
        <v>641</v>
      </c>
      <c r="O764" s="3" t="str">
        <f t="shared" si="50"/>
        <v>2021</v>
      </c>
      <c r="P764" s="2">
        <v>737</v>
      </c>
    </row>
    <row r="765" spans="1:19" x14ac:dyDescent="0.35">
      <c r="A765" s="3">
        <v>2023</v>
      </c>
      <c r="B765" s="3">
        <v>8</v>
      </c>
      <c r="C765" s="3">
        <v>2</v>
      </c>
      <c r="D765" s="2">
        <v>425</v>
      </c>
      <c r="E765" s="3" t="s">
        <v>886</v>
      </c>
      <c r="F765" s="3">
        <v>3</v>
      </c>
      <c r="G765" s="3" t="s">
        <v>225</v>
      </c>
      <c r="H765" s="3" t="str">
        <f t="shared" si="51"/>
        <v>2022</v>
      </c>
      <c r="I765" s="3">
        <v>1</v>
      </c>
      <c r="J765" s="69"/>
      <c r="K765" s="3" t="s">
        <v>67</v>
      </c>
      <c r="L765" s="3">
        <v>2</v>
      </c>
      <c r="M765" s="3">
        <v>271.8</v>
      </c>
      <c r="N765" s="3">
        <v>641.35</v>
      </c>
      <c r="O765" s="3" t="str">
        <f t="shared" si="50"/>
        <v>2021</v>
      </c>
      <c r="P765" s="2">
        <v>425</v>
      </c>
    </row>
    <row r="766" spans="1:19" x14ac:dyDescent="0.35">
      <c r="A766" s="3">
        <v>2017</v>
      </c>
      <c r="B766" s="3">
        <v>3</v>
      </c>
      <c r="C766" s="3">
        <v>7</v>
      </c>
      <c r="D766" s="2">
        <v>133</v>
      </c>
      <c r="E766" s="14" t="s">
        <v>578</v>
      </c>
      <c r="F766" s="15">
        <v>2</v>
      </c>
      <c r="G766" s="3" t="s">
        <v>41</v>
      </c>
      <c r="H766" s="3" t="str">
        <f t="shared" si="51"/>
        <v>2012</v>
      </c>
      <c r="I766" s="3">
        <v>5</v>
      </c>
      <c r="J766" s="69"/>
      <c r="K766" s="3" t="s">
        <v>461</v>
      </c>
      <c r="L766" s="3" t="s">
        <v>461</v>
      </c>
      <c r="M766" s="3">
        <v>274.8</v>
      </c>
      <c r="N766" s="3">
        <v>643</v>
      </c>
      <c r="O766" s="3" t="str">
        <f t="shared" si="50"/>
        <v>2011</v>
      </c>
      <c r="P766" s="2">
        <v>133</v>
      </c>
    </row>
    <row r="767" spans="1:19" x14ac:dyDescent="0.35">
      <c r="A767" s="3">
        <v>2016</v>
      </c>
      <c r="B767" s="3">
        <v>11</v>
      </c>
      <c r="C767" s="3">
        <v>8</v>
      </c>
      <c r="D767" s="2">
        <v>185</v>
      </c>
      <c r="E767" s="3" t="s">
        <v>636</v>
      </c>
      <c r="F767" s="3">
        <v>4</v>
      </c>
      <c r="G767" s="3" t="s">
        <v>45</v>
      </c>
      <c r="H767" s="3" t="str">
        <f t="shared" si="51"/>
        <v>2011</v>
      </c>
      <c r="I767" s="3">
        <v>5</v>
      </c>
      <c r="J767" s="69"/>
      <c r="K767" s="3" t="s">
        <v>632</v>
      </c>
      <c r="L767" s="3" t="s">
        <v>317</v>
      </c>
      <c r="M767" s="3">
        <v>369.7</v>
      </c>
      <c r="N767" s="3">
        <v>643</v>
      </c>
      <c r="O767" s="3" t="str">
        <f t="shared" si="50"/>
        <v>2007</v>
      </c>
      <c r="P767" s="2">
        <v>185</v>
      </c>
    </row>
    <row r="768" spans="1:19" x14ac:dyDescent="0.35">
      <c r="A768" s="3">
        <v>2024</v>
      </c>
      <c r="B768" s="3">
        <v>8</v>
      </c>
      <c r="C768" s="3">
        <v>14</v>
      </c>
      <c r="D768" s="2">
        <v>723</v>
      </c>
      <c r="E768" s="3" t="s">
        <v>245</v>
      </c>
      <c r="F768" s="3">
        <v>3</v>
      </c>
      <c r="G768" s="3" t="s">
        <v>225</v>
      </c>
      <c r="H768" s="3" t="str">
        <f t="shared" si="51"/>
        <v>2021</v>
      </c>
      <c r="I768" s="3">
        <v>3</v>
      </c>
      <c r="J768" s="69"/>
      <c r="K768" t="s">
        <v>94</v>
      </c>
      <c r="L768">
        <v>1</v>
      </c>
      <c r="M768">
        <v>283.60000000000002</v>
      </c>
      <c r="N768" s="3">
        <v>643</v>
      </c>
      <c r="O768" s="3" t="str">
        <f t="shared" si="50"/>
        <v>2021</v>
      </c>
      <c r="P768" s="2">
        <v>723</v>
      </c>
    </row>
    <row r="769" spans="1:25" x14ac:dyDescent="0.35">
      <c r="A769" s="3">
        <v>2018</v>
      </c>
      <c r="B769" s="3">
        <v>8</v>
      </c>
      <c r="C769" s="3">
        <v>16</v>
      </c>
      <c r="D769" s="2">
        <v>324</v>
      </c>
      <c r="E769" s="3" t="s">
        <v>791</v>
      </c>
      <c r="F769" s="3">
        <v>3</v>
      </c>
      <c r="G769" s="3" t="s">
        <v>45</v>
      </c>
      <c r="H769" s="3" t="str">
        <f t="shared" si="51"/>
        <v>2011</v>
      </c>
      <c r="I769" s="3">
        <v>7</v>
      </c>
      <c r="J769" s="69"/>
      <c r="K769" s="3" t="s">
        <v>647</v>
      </c>
      <c r="L769" s="3" t="s">
        <v>317</v>
      </c>
      <c r="M769" s="3">
        <v>249.9</v>
      </c>
      <c r="N769" s="3">
        <v>646</v>
      </c>
      <c r="O769" s="3" t="str">
        <f t="shared" si="50"/>
        <v>2007</v>
      </c>
      <c r="P769" s="2">
        <v>324</v>
      </c>
    </row>
    <row r="770" spans="1:25" x14ac:dyDescent="0.35">
      <c r="A770" s="3">
        <v>2019</v>
      </c>
      <c r="B770" s="3">
        <v>2</v>
      </c>
      <c r="C770" s="3">
        <v>21</v>
      </c>
      <c r="D770" s="2">
        <v>167</v>
      </c>
      <c r="E770" s="3" t="s">
        <v>616</v>
      </c>
      <c r="F770" s="3">
        <v>1</v>
      </c>
      <c r="G770" s="3" t="s">
        <v>45</v>
      </c>
      <c r="H770" s="3" t="str">
        <f t="shared" si="51"/>
        <v>2011</v>
      </c>
      <c r="I770" s="3">
        <v>8</v>
      </c>
      <c r="J770" s="69"/>
      <c r="K770" s="3" t="s">
        <v>615</v>
      </c>
      <c r="L770" s="3" t="s">
        <v>317</v>
      </c>
      <c r="M770" s="3">
        <v>263.39999999999998</v>
      </c>
      <c r="N770" s="3">
        <v>648</v>
      </c>
      <c r="O770" s="3" t="str">
        <f t="shared" ref="O770:O833" si="52">IF(G770="PHD", "2007", IF(G770="TSL", "2011", IF(G770 = "SRS", "2018", IF(G770="WCA 3B", "2017", IF(G770="WCA 3A", "2021")))))</f>
        <v>2007</v>
      </c>
      <c r="P770" s="2">
        <v>167</v>
      </c>
      <c r="S770">
        <v>3.81</v>
      </c>
      <c r="T770">
        <v>2.94</v>
      </c>
      <c r="Y770">
        <v>2.72</v>
      </c>
    </row>
    <row r="771" spans="1:25" x14ac:dyDescent="0.35">
      <c r="A771" s="3">
        <v>2019</v>
      </c>
      <c r="B771" s="3">
        <v>2</v>
      </c>
      <c r="C771" s="3">
        <v>21</v>
      </c>
      <c r="D771" s="2">
        <v>167</v>
      </c>
      <c r="E771" s="3" t="s">
        <v>616</v>
      </c>
      <c r="F771" s="3">
        <v>1</v>
      </c>
      <c r="G771" s="3" t="s">
        <v>45</v>
      </c>
      <c r="H771" s="3" t="str">
        <f t="shared" si="51"/>
        <v>2011</v>
      </c>
      <c r="I771" s="3">
        <v>8</v>
      </c>
      <c r="J771" s="69"/>
      <c r="K771" s="3" t="s">
        <v>615</v>
      </c>
      <c r="L771" s="3" t="s">
        <v>317</v>
      </c>
      <c r="M771" s="3">
        <v>263.39999999999998</v>
      </c>
      <c r="N771" s="3">
        <v>648</v>
      </c>
      <c r="O771" s="3" t="str">
        <f t="shared" si="52"/>
        <v>2007</v>
      </c>
      <c r="P771" s="2">
        <v>167</v>
      </c>
      <c r="S771">
        <v>3.25</v>
      </c>
      <c r="T771">
        <v>3.37</v>
      </c>
    </row>
    <row r="772" spans="1:25" x14ac:dyDescent="0.35">
      <c r="A772" s="3">
        <v>2024</v>
      </c>
      <c r="B772" s="3">
        <v>1</v>
      </c>
      <c r="C772" s="3">
        <v>19</v>
      </c>
      <c r="D772" s="2">
        <v>584</v>
      </c>
      <c r="E772" s="3" t="s">
        <v>1028</v>
      </c>
      <c r="F772" s="3">
        <v>1</v>
      </c>
      <c r="G772" s="3" t="s">
        <v>41</v>
      </c>
      <c r="H772" s="3" t="str">
        <f t="shared" si="51"/>
        <v>2013</v>
      </c>
      <c r="I772" s="3">
        <v>11</v>
      </c>
      <c r="J772" s="69"/>
      <c r="K772" t="s">
        <v>42</v>
      </c>
      <c r="L772" s="3" t="s">
        <v>318</v>
      </c>
      <c r="M772">
        <v>280.8</v>
      </c>
      <c r="N772" s="3">
        <v>649</v>
      </c>
      <c r="O772" s="3" t="str">
        <f t="shared" si="52"/>
        <v>2011</v>
      </c>
      <c r="P772" s="2">
        <v>584</v>
      </c>
    </row>
    <row r="773" spans="1:25" x14ac:dyDescent="0.35">
      <c r="A773" s="3">
        <v>2023</v>
      </c>
      <c r="B773" s="3">
        <v>7</v>
      </c>
      <c r="C773" s="3">
        <v>17</v>
      </c>
      <c r="D773" s="2">
        <v>347</v>
      </c>
      <c r="E773" s="3" t="s">
        <v>813</v>
      </c>
      <c r="F773" s="3">
        <v>3</v>
      </c>
      <c r="G773" s="3" t="s">
        <v>45</v>
      </c>
      <c r="H773" s="3" t="str">
        <f t="shared" si="51"/>
        <v>2011</v>
      </c>
      <c r="I773" s="3">
        <v>12</v>
      </c>
      <c r="J773" s="69"/>
      <c r="K773" s="3" t="s">
        <v>236</v>
      </c>
      <c r="L773" s="3" t="s">
        <v>317</v>
      </c>
      <c r="M773" s="3">
        <v>245.9</v>
      </c>
      <c r="N773" s="3">
        <v>650</v>
      </c>
      <c r="O773" s="3" t="str">
        <f t="shared" si="52"/>
        <v>2007</v>
      </c>
      <c r="P773" s="2">
        <v>347</v>
      </c>
    </row>
    <row r="774" spans="1:25" x14ac:dyDescent="0.35">
      <c r="A774" s="3">
        <v>2024</v>
      </c>
      <c r="B774">
        <v>8</v>
      </c>
      <c r="C774" s="3">
        <v>19</v>
      </c>
      <c r="D774" s="2">
        <v>820</v>
      </c>
      <c r="E774" s="3" t="s">
        <v>302</v>
      </c>
      <c r="F774" s="3">
        <v>3</v>
      </c>
      <c r="G774" s="3" t="s">
        <v>225</v>
      </c>
      <c r="H774" s="3" t="str">
        <f t="shared" si="51"/>
        <v>2021</v>
      </c>
      <c r="I774" s="3">
        <v>3</v>
      </c>
      <c r="J774" s="69"/>
      <c r="K774">
        <v>3</v>
      </c>
      <c r="L774">
        <v>3</v>
      </c>
      <c r="M774">
        <v>304.10000000000002</v>
      </c>
      <c r="N774" s="3">
        <v>650</v>
      </c>
      <c r="O774" s="3" t="str">
        <f t="shared" si="52"/>
        <v>2021</v>
      </c>
      <c r="P774" s="2">
        <v>820</v>
      </c>
    </row>
    <row r="775" spans="1:25" x14ac:dyDescent="0.35">
      <c r="A775" s="3">
        <v>2021</v>
      </c>
      <c r="B775" s="3">
        <v>10</v>
      </c>
      <c r="C775" s="3" t="s">
        <v>28</v>
      </c>
      <c r="D775" s="2">
        <v>28</v>
      </c>
      <c r="E775" s="3" t="s">
        <v>470</v>
      </c>
      <c r="F775" s="3">
        <v>4</v>
      </c>
      <c r="G775" s="3" t="s">
        <v>41</v>
      </c>
      <c r="H775" s="3" t="str">
        <f t="shared" ref="H775:H838" si="53">IF(L775="A55","2009",IF(L775="A59","2009",IF(L775="A60","2010",IF(L775="A62","2011",IF(L775="CP","2013",IF(L775="MD","2012",IF(L775="TS","2013",IF(L775="DL","2018",IF(L775="SCU","2018",IF(L775="NCU","2018",IF(L775="C1C","2018",IF(L775="C1E","2018",IF(L775="RS1S","2018",IF(L775="C2B","2018",IF(L775="DB3","2018",IF(AND(L775=6,G775="SRS"),"2018",IF(AND(L775=7,G775="SRS"),"2020",IF(AND(L775=8,G775="SRS"),"2020",IF(L775=23,"2019",IF(AND(L775=7,G775="WCA 3B"),"2017",IF(AND(L775=8,G775="WCA 3B"),"2019",IF(L775=1,"2021",IF(L775=2,"2022",IF(L775=3,"2021",IF(L775=4,"2021",IF(L775=5,"2022",IF(AND(L775=6,G775="WCA 3A"),"2022",IF(L775=9,"2023",IF(L775=10,"2023",IF(L775=37,"2020"))))))))))))))))))))))))))))))</f>
        <v>2012</v>
      </c>
      <c r="I775" s="3">
        <v>9</v>
      </c>
      <c r="J775" s="69"/>
      <c r="K775" s="3" t="s">
        <v>461</v>
      </c>
      <c r="L775" s="3" t="s">
        <v>461</v>
      </c>
      <c r="M775" s="3">
        <v>283.2</v>
      </c>
      <c r="N775" s="3">
        <v>651</v>
      </c>
      <c r="O775" s="3" t="str">
        <f t="shared" si="52"/>
        <v>2011</v>
      </c>
      <c r="P775" s="2">
        <v>28</v>
      </c>
    </row>
    <row r="776" spans="1:25" x14ac:dyDescent="0.35">
      <c r="A776" s="3">
        <v>2017</v>
      </c>
      <c r="B776" s="3">
        <v>8</v>
      </c>
      <c r="C776" s="3">
        <v>14</v>
      </c>
      <c r="D776" s="2">
        <v>129</v>
      </c>
      <c r="E776" s="14" t="s">
        <v>574</v>
      </c>
      <c r="F776" s="15">
        <v>3</v>
      </c>
      <c r="G776" s="3" t="s">
        <v>45</v>
      </c>
      <c r="H776" s="3" t="str">
        <f t="shared" si="53"/>
        <v>2011</v>
      </c>
      <c r="I776" s="3">
        <v>6</v>
      </c>
      <c r="J776" s="69"/>
      <c r="K776" s="3" t="s">
        <v>317</v>
      </c>
      <c r="L776" s="3" t="s">
        <v>317</v>
      </c>
      <c r="M776" s="3">
        <v>229.6</v>
      </c>
      <c r="N776" s="3">
        <v>652</v>
      </c>
      <c r="O776" s="3" t="str">
        <f t="shared" si="52"/>
        <v>2007</v>
      </c>
      <c r="P776" s="2">
        <v>129</v>
      </c>
    </row>
    <row r="777" spans="1:25" x14ac:dyDescent="0.35">
      <c r="A777" s="3">
        <v>2024</v>
      </c>
      <c r="B777" s="3">
        <v>8</v>
      </c>
      <c r="C777" s="3">
        <v>9</v>
      </c>
      <c r="D777" s="2">
        <v>718</v>
      </c>
      <c r="E777" s="3" t="s">
        <v>1134</v>
      </c>
      <c r="F777" s="3">
        <v>3</v>
      </c>
      <c r="G777" s="3" t="s">
        <v>41</v>
      </c>
      <c r="H777" s="3" t="str">
        <f t="shared" si="53"/>
        <v>2013</v>
      </c>
      <c r="I777" s="3">
        <v>11</v>
      </c>
      <c r="J777" s="69"/>
      <c r="K777" t="s">
        <v>755</v>
      </c>
      <c r="L777" t="s">
        <v>458</v>
      </c>
      <c r="M777">
        <v>305</v>
      </c>
      <c r="N777" s="3">
        <v>653</v>
      </c>
      <c r="O777" s="3" t="str">
        <f t="shared" si="52"/>
        <v>2011</v>
      </c>
      <c r="P777" s="2">
        <v>718</v>
      </c>
      <c r="Y777">
        <v>4.87</v>
      </c>
    </row>
    <row r="778" spans="1:25" x14ac:dyDescent="0.35">
      <c r="A778" s="3">
        <v>2021</v>
      </c>
      <c r="B778" s="3">
        <v>10</v>
      </c>
      <c r="C778" s="3" t="s">
        <v>28</v>
      </c>
      <c r="D778" s="2">
        <v>5</v>
      </c>
      <c r="E778" s="3" t="s">
        <v>448</v>
      </c>
      <c r="F778" s="3">
        <v>4</v>
      </c>
      <c r="G778" s="3" t="s">
        <v>41</v>
      </c>
      <c r="H778" s="3" t="str">
        <f t="shared" si="53"/>
        <v>2013</v>
      </c>
      <c r="I778" s="3">
        <v>8</v>
      </c>
      <c r="J778" s="69"/>
      <c r="K778" s="3" t="s">
        <v>318</v>
      </c>
      <c r="L778" s="3" t="s">
        <v>318</v>
      </c>
      <c r="M778" s="3">
        <v>291.5</v>
      </c>
      <c r="N778" s="3">
        <v>655</v>
      </c>
      <c r="O778" s="3" t="str">
        <f t="shared" si="52"/>
        <v>2011</v>
      </c>
      <c r="P778" s="2">
        <v>5</v>
      </c>
    </row>
    <row r="779" spans="1:25" x14ac:dyDescent="0.35">
      <c r="A779" s="3">
        <v>2016</v>
      </c>
      <c r="B779" s="3">
        <v>11</v>
      </c>
      <c r="C779" s="3">
        <v>7</v>
      </c>
      <c r="D779" s="2">
        <v>203</v>
      </c>
      <c r="E779" s="3" t="s">
        <v>656</v>
      </c>
      <c r="F779" s="3">
        <v>4</v>
      </c>
      <c r="G779" s="3" t="s">
        <v>45</v>
      </c>
      <c r="H779" s="3" t="str">
        <f t="shared" si="53"/>
        <v>2009</v>
      </c>
      <c r="I779" s="3">
        <v>7</v>
      </c>
      <c r="J779" s="69"/>
      <c r="K779" s="3" t="s">
        <v>657</v>
      </c>
      <c r="L779" s="3" t="s">
        <v>488</v>
      </c>
      <c r="M779" s="3">
        <v>350.6</v>
      </c>
      <c r="N779" s="3">
        <v>655</v>
      </c>
      <c r="O779" s="3" t="str">
        <f t="shared" si="52"/>
        <v>2007</v>
      </c>
      <c r="P779" s="2">
        <v>203</v>
      </c>
    </row>
    <row r="780" spans="1:25" x14ac:dyDescent="0.35">
      <c r="A780" s="3">
        <v>2024</v>
      </c>
      <c r="B780" s="3">
        <v>8</v>
      </c>
      <c r="C780" s="3">
        <v>19</v>
      </c>
      <c r="D780" s="2">
        <v>799</v>
      </c>
      <c r="E780" s="3" t="s">
        <v>289</v>
      </c>
      <c r="F780" s="3">
        <v>3</v>
      </c>
      <c r="G780" s="3" t="s">
        <v>225</v>
      </c>
      <c r="H780" s="3" t="str">
        <f t="shared" si="53"/>
        <v>2021</v>
      </c>
      <c r="I780" s="3">
        <v>3</v>
      </c>
      <c r="J780" s="69"/>
      <c r="K780">
        <v>3</v>
      </c>
      <c r="L780">
        <v>3</v>
      </c>
      <c r="M780">
        <v>319.3</v>
      </c>
      <c r="N780" s="3">
        <v>655</v>
      </c>
      <c r="O780" s="3" t="str">
        <f t="shared" si="52"/>
        <v>2021</v>
      </c>
      <c r="P780" s="2">
        <v>799</v>
      </c>
    </row>
    <row r="781" spans="1:25" x14ac:dyDescent="0.35">
      <c r="A781" s="3">
        <v>2022</v>
      </c>
      <c r="B781" s="3">
        <v>1</v>
      </c>
      <c r="C781" s="3" t="s">
        <v>28</v>
      </c>
      <c r="D781" s="2">
        <v>25</v>
      </c>
      <c r="E781" s="3" t="s">
        <v>467</v>
      </c>
      <c r="F781" s="3">
        <v>1</v>
      </c>
      <c r="G781" s="3" t="s">
        <v>20</v>
      </c>
      <c r="H781" s="3" t="str">
        <f t="shared" si="53"/>
        <v>2019</v>
      </c>
      <c r="I781" s="3">
        <v>3</v>
      </c>
      <c r="J781" s="69"/>
      <c r="K781" s="3">
        <v>23</v>
      </c>
      <c r="L781" s="3">
        <v>23</v>
      </c>
      <c r="M781" s="3">
        <v>345.8</v>
      </c>
      <c r="N781" s="3">
        <v>656</v>
      </c>
      <c r="O781" s="3" t="str">
        <f t="shared" si="52"/>
        <v>2018</v>
      </c>
      <c r="P781" s="2">
        <v>25</v>
      </c>
      <c r="W781">
        <v>4.41</v>
      </c>
    </row>
    <row r="782" spans="1:25" x14ac:dyDescent="0.35">
      <c r="A782" s="3">
        <v>2017</v>
      </c>
      <c r="B782" s="3">
        <v>8</v>
      </c>
      <c r="C782" s="3">
        <v>14</v>
      </c>
      <c r="D782" s="2">
        <v>88</v>
      </c>
      <c r="E782" s="14" t="s">
        <v>533</v>
      </c>
      <c r="F782" s="15">
        <v>3</v>
      </c>
      <c r="G782" s="3" t="s">
        <v>45</v>
      </c>
      <c r="H782" s="3" t="str">
        <f t="shared" si="53"/>
        <v>2011</v>
      </c>
      <c r="I782" s="3">
        <v>6</v>
      </c>
      <c r="J782" s="69"/>
      <c r="K782" s="3" t="s">
        <v>317</v>
      </c>
      <c r="L782" s="3" t="s">
        <v>317</v>
      </c>
      <c r="M782" s="3">
        <v>310.7</v>
      </c>
      <c r="N782" s="3">
        <v>656</v>
      </c>
      <c r="O782" s="3" t="str">
        <f t="shared" si="52"/>
        <v>2007</v>
      </c>
      <c r="P782" s="2">
        <v>88</v>
      </c>
    </row>
    <row r="783" spans="1:25" x14ac:dyDescent="0.35">
      <c r="A783" s="3">
        <v>2016</v>
      </c>
      <c r="B783" s="3">
        <v>9</v>
      </c>
      <c r="C783" s="3">
        <v>1</v>
      </c>
      <c r="D783" s="2">
        <v>301</v>
      </c>
      <c r="E783" s="3" t="s">
        <v>767</v>
      </c>
      <c r="F783" s="3">
        <v>3</v>
      </c>
      <c r="G783" s="3" t="s">
        <v>45</v>
      </c>
      <c r="H783" s="3" t="str">
        <f t="shared" si="53"/>
        <v>2011</v>
      </c>
      <c r="I783" s="3">
        <v>5</v>
      </c>
      <c r="J783" s="69"/>
      <c r="K783" s="3" t="s">
        <v>632</v>
      </c>
      <c r="L783" s="3" t="s">
        <v>317</v>
      </c>
      <c r="M783" s="3">
        <v>285.7</v>
      </c>
      <c r="N783" s="3">
        <v>657</v>
      </c>
      <c r="O783" s="3" t="str">
        <f t="shared" si="52"/>
        <v>2007</v>
      </c>
      <c r="P783" s="2">
        <v>301</v>
      </c>
    </row>
    <row r="784" spans="1:25" x14ac:dyDescent="0.35">
      <c r="A784" s="3">
        <v>2016</v>
      </c>
      <c r="B784" s="3">
        <v>11</v>
      </c>
      <c r="C784" s="3">
        <v>8</v>
      </c>
      <c r="D784" s="2">
        <v>197</v>
      </c>
      <c r="E784" s="3" t="s">
        <v>650</v>
      </c>
      <c r="F784" s="3">
        <v>4</v>
      </c>
      <c r="G784" s="3" t="s">
        <v>45</v>
      </c>
      <c r="H784" s="3" t="str">
        <f t="shared" si="53"/>
        <v>2011</v>
      </c>
      <c r="I784" s="3">
        <v>5</v>
      </c>
      <c r="J784" s="69"/>
      <c r="K784" s="3" t="s">
        <v>647</v>
      </c>
      <c r="L784" s="3" t="s">
        <v>317</v>
      </c>
      <c r="M784" s="3">
        <v>314.3</v>
      </c>
      <c r="N784" s="3">
        <v>662</v>
      </c>
      <c r="O784" s="3" t="str">
        <f t="shared" si="52"/>
        <v>2007</v>
      </c>
      <c r="P784" s="2">
        <v>197</v>
      </c>
      <c r="Y784">
        <v>5.0599999999999996</v>
      </c>
    </row>
    <row r="785" spans="1:25" x14ac:dyDescent="0.35">
      <c r="A785" s="3">
        <v>2023</v>
      </c>
      <c r="B785" s="3">
        <v>11</v>
      </c>
      <c r="C785" s="3">
        <v>6</v>
      </c>
      <c r="D785" s="2">
        <v>510</v>
      </c>
      <c r="E785" s="3" t="s">
        <v>963</v>
      </c>
      <c r="F785" s="3">
        <v>4</v>
      </c>
      <c r="G785" s="3" t="s">
        <v>41</v>
      </c>
      <c r="H785" s="3" t="str">
        <f t="shared" si="53"/>
        <v>2013</v>
      </c>
      <c r="I785" s="3">
        <v>10</v>
      </c>
      <c r="J785" s="69"/>
      <c r="K785" s="3" t="s">
        <v>509</v>
      </c>
      <c r="L785" s="3" t="s">
        <v>458</v>
      </c>
      <c r="M785" s="3">
        <v>310.10000000000002</v>
      </c>
      <c r="N785" s="3">
        <v>664</v>
      </c>
      <c r="O785" s="3" t="str">
        <f t="shared" si="52"/>
        <v>2011</v>
      </c>
      <c r="P785" s="2">
        <v>510</v>
      </c>
      <c r="Y785">
        <v>5.22</v>
      </c>
    </row>
    <row r="786" spans="1:25" x14ac:dyDescent="0.35">
      <c r="A786" s="3">
        <v>2016</v>
      </c>
      <c r="B786" s="3">
        <v>11</v>
      </c>
      <c r="C786" s="3">
        <v>8</v>
      </c>
      <c r="D786" s="2">
        <v>183</v>
      </c>
      <c r="E786" s="3" t="s">
        <v>634</v>
      </c>
      <c r="F786" s="3">
        <v>4</v>
      </c>
      <c r="G786" s="3" t="s">
        <v>45</v>
      </c>
      <c r="H786" s="3" t="str">
        <f t="shared" si="53"/>
        <v>2011</v>
      </c>
      <c r="I786" s="3">
        <v>5</v>
      </c>
      <c r="J786" s="69"/>
      <c r="K786" s="3" t="s">
        <v>632</v>
      </c>
      <c r="L786" s="3" t="s">
        <v>317</v>
      </c>
      <c r="M786" s="3">
        <v>450.4</v>
      </c>
      <c r="N786" s="3">
        <v>665</v>
      </c>
      <c r="O786" s="3" t="str">
        <f t="shared" si="52"/>
        <v>2007</v>
      </c>
      <c r="P786" s="2">
        <v>183</v>
      </c>
    </row>
    <row r="787" spans="1:25" x14ac:dyDescent="0.35">
      <c r="A787" s="3">
        <v>2016</v>
      </c>
      <c r="B787" s="3">
        <v>9</v>
      </c>
      <c r="C787" s="3">
        <v>1</v>
      </c>
      <c r="D787" s="2">
        <v>245</v>
      </c>
      <c r="E787" s="3" t="s">
        <v>703</v>
      </c>
      <c r="F787" s="3">
        <v>3</v>
      </c>
      <c r="G787" s="3" t="s">
        <v>41</v>
      </c>
      <c r="H787" s="3" t="str">
        <f t="shared" si="53"/>
        <v>2012</v>
      </c>
      <c r="I787" s="3">
        <v>4</v>
      </c>
      <c r="J787" s="69"/>
      <c r="K787" s="3" t="s">
        <v>544</v>
      </c>
      <c r="L787" s="3" t="s">
        <v>461</v>
      </c>
      <c r="M787" s="3">
        <v>277.60000000000002</v>
      </c>
      <c r="N787" s="3">
        <v>666</v>
      </c>
      <c r="O787" s="3" t="str">
        <f t="shared" si="52"/>
        <v>2011</v>
      </c>
      <c r="P787" s="2">
        <v>245</v>
      </c>
      <c r="W787">
        <v>3.82</v>
      </c>
    </row>
    <row r="788" spans="1:25" x14ac:dyDescent="0.35">
      <c r="A788" s="3">
        <v>2021</v>
      </c>
      <c r="B788" s="3">
        <v>10</v>
      </c>
      <c r="C788" s="3">
        <v>11</v>
      </c>
      <c r="D788" s="2">
        <v>482</v>
      </c>
      <c r="E788" s="3" t="s">
        <v>937</v>
      </c>
      <c r="F788" s="3">
        <v>4</v>
      </c>
      <c r="G788" s="3" t="s">
        <v>226</v>
      </c>
      <c r="H788" s="3" t="str">
        <f t="shared" si="53"/>
        <v>2018</v>
      </c>
      <c r="I788" s="3">
        <v>3</v>
      </c>
      <c r="J788" s="69"/>
      <c r="K788" s="3" t="s">
        <v>51</v>
      </c>
      <c r="L788" s="3" t="s">
        <v>929</v>
      </c>
      <c r="M788" s="16">
        <v>290</v>
      </c>
      <c r="N788" s="3">
        <v>666</v>
      </c>
      <c r="O788" s="3" t="str">
        <f t="shared" si="52"/>
        <v>2017</v>
      </c>
      <c r="P788" s="2">
        <v>482</v>
      </c>
    </row>
    <row r="789" spans="1:25" x14ac:dyDescent="0.35">
      <c r="A789" s="3">
        <v>2024</v>
      </c>
      <c r="B789" s="3">
        <v>3</v>
      </c>
      <c r="C789" s="3">
        <v>1</v>
      </c>
      <c r="D789" s="2">
        <v>666</v>
      </c>
      <c r="E789" s="3" t="s">
        <v>1086</v>
      </c>
      <c r="F789" s="3">
        <v>2</v>
      </c>
      <c r="G789" s="3" t="s">
        <v>20</v>
      </c>
      <c r="H789" s="3" t="str">
        <f t="shared" si="53"/>
        <v>2020</v>
      </c>
      <c r="I789" s="3">
        <v>4</v>
      </c>
      <c r="J789" s="69"/>
      <c r="K789" t="s">
        <v>70</v>
      </c>
      <c r="L789">
        <v>37</v>
      </c>
      <c r="M789">
        <v>357.7</v>
      </c>
      <c r="N789" s="3">
        <v>667</v>
      </c>
      <c r="O789" s="3" t="str">
        <f t="shared" si="52"/>
        <v>2018</v>
      </c>
      <c r="P789" s="2">
        <v>666</v>
      </c>
    </row>
    <row r="790" spans="1:25" x14ac:dyDescent="0.35">
      <c r="A790" s="3">
        <v>2024</v>
      </c>
      <c r="B790" s="3">
        <v>8</v>
      </c>
      <c r="C790" s="3">
        <v>9</v>
      </c>
      <c r="D790" s="2">
        <v>766</v>
      </c>
      <c r="E790" s="3" t="s">
        <v>270</v>
      </c>
      <c r="F790" s="3">
        <v>3</v>
      </c>
      <c r="G790" s="3" t="s">
        <v>41</v>
      </c>
      <c r="H790" s="3" t="str">
        <f t="shared" si="53"/>
        <v>2013</v>
      </c>
      <c r="I790" s="3">
        <v>11</v>
      </c>
      <c r="J790" s="69"/>
      <c r="K790" s="6" t="s">
        <v>49</v>
      </c>
      <c r="L790" s="6" t="s">
        <v>318</v>
      </c>
      <c r="M790">
        <v>295.39999999999998</v>
      </c>
      <c r="N790" s="3">
        <v>667</v>
      </c>
      <c r="O790" s="3" t="str">
        <f t="shared" si="52"/>
        <v>2011</v>
      </c>
      <c r="P790" s="2">
        <v>766</v>
      </c>
    </row>
    <row r="791" spans="1:25" x14ac:dyDescent="0.35">
      <c r="A791" s="3">
        <v>2017</v>
      </c>
      <c r="B791" s="3">
        <v>8</v>
      </c>
      <c r="C791" s="3">
        <v>14</v>
      </c>
      <c r="D791" s="2">
        <v>134</v>
      </c>
      <c r="E791" s="14" t="s">
        <v>579</v>
      </c>
      <c r="F791" s="15">
        <v>3</v>
      </c>
      <c r="G791" s="3" t="s">
        <v>45</v>
      </c>
      <c r="H791" s="3" t="str">
        <f t="shared" si="53"/>
        <v>2011</v>
      </c>
      <c r="I791" s="3">
        <v>6</v>
      </c>
      <c r="J791" s="69"/>
      <c r="K791" s="3" t="s">
        <v>317</v>
      </c>
      <c r="L791" s="3" t="s">
        <v>317</v>
      </c>
      <c r="M791" s="3">
        <v>272.10000000000002</v>
      </c>
      <c r="N791" s="3">
        <v>668</v>
      </c>
      <c r="O791" s="3" t="str">
        <f t="shared" si="52"/>
        <v>2007</v>
      </c>
      <c r="P791" s="2">
        <v>134</v>
      </c>
    </row>
    <row r="792" spans="1:25" x14ac:dyDescent="0.35">
      <c r="A792" s="3">
        <v>2024</v>
      </c>
      <c r="B792" s="3">
        <v>8</v>
      </c>
      <c r="C792" s="3">
        <v>19</v>
      </c>
      <c r="D792" s="2">
        <v>792</v>
      </c>
      <c r="E792" s="3" t="s">
        <v>283</v>
      </c>
      <c r="F792" s="3">
        <v>3</v>
      </c>
      <c r="G792" s="3" t="s">
        <v>225</v>
      </c>
      <c r="H792" s="3" t="str">
        <f t="shared" si="53"/>
        <v>2021</v>
      </c>
      <c r="I792" s="3">
        <v>3</v>
      </c>
      <c r="J792" s="69"/>
      <c r="K792">
        <v>3</v>
      </c>
      <c r="L792">
        <v>3</v>
      </c>
      <c r="M792">
        <v>350.4</v>
      </c>
      <c r="N792" s="3">
        <v>669</v>
      </c>
      <c r="O792" s="3" t="str">
        <f t="shared" si="52"/>
        <v>2021</v>
      </c>
      <c r="P792" s="2">
        <v>792</v>
      </c>
    </row>
    <row r="793" spans="1:25" x14ac:dyDescent="0.35">
      <c r="A793" s="3">
        <v>2016</v>
      </c>
      <c r="B793" s="3">
        <v>11</v>
      </c>
      <c r="C793" s="3">
        <v>7</v>
      </c>
      <c r="D793" s="2">
        <v>252</v>
      </c>
      <c r="E793" s="3" t="s">
        <v>710</v>
      </c>
      <c r="F793" s="3">
        <v>4</v>
      </c>
      <c r="G793" s="3" t="s">
        <v>45</v>
      </c>
      <c r="H793" s="3" t="str">
        <f t="shared" si="53"/>
        <v>2009</v>
      </c>
      <c r="I793" s="3">
        <v>7</v>
      </c>
      <c r="J793" s="69"/>
      <c r="K793" s="3" t="s">
        <v>711</v>
      </c>
      <c r="L793" s="3" t="s">
        <v>512</v>
      </c>
      <c r="M793" s="3">
        <v>337.5</v>
      </c>
      <c r="N793" s="3">
        <v>670</v>
      </c>
      <c r="O793" s="3" t="str">
        <f t="shared" si="52"/>
        <v>2007</v>
      </c>
      <c r="P793" s="2">
        <v>252</v>
      </c>
    </row>
    <row r="794" spans="1:25" x14ac:dyDescent="0.35">
      <c r="A794" s="3">
        <v>2022</v>
      </c>
      <c r="B794" s="3">
        <v>1</v>
      </c>
      <c r="C794" s="3" t="s">
        <v>28</v>
      </c>
      <c r="D794" s="2">
        <v>4</v>
      </c>
      <c r="E794" s="3" t="s">
        <v>447</v>
      </c>
      <c r="F794" s="3">
        <v>1</v>
      </c>
      <c r="G794" s="3" t="s">
        <v>41</v>
      </c>
      <c r="H794" s="3" t="str">
        <f t="shared" si="53"/>
        <v>2013</v>
      </c>
      <c r="I794" s="3">
        <v>9</v>
      </c>
      <c r="J794" s="69"/>
      <c r="K794" s="3" t="s">
        <v>318</v>
      </c>
      <c r="L794" s="3" t="s">
        <v>318</v>
      </c>
      <c r="M794" s="3">
        <v>369.6</v>
      </c>
      <c r="N794" s="3">
        <v>672</v>
      </c>
      <c r="O794" s="3" t="str">
        <f t="shared" si="52"/>
        <v>2011</v>
      </c>
      <c r="P794" s="2">
        <v>4</v>
      </c>
    </row>
    <row r="795" spans="1:25" x14ac:dyDescent="0.35">
      <c r="A795" s="3">
        <v>2016</v>
      </c>
      <c r="B795" s="3">
        <v>11</v>
      </c>
      <c r="C795" s="3">
        <v>8</v>
      </c>
      <c r="D795" s="2">
        <v>198</v>
      </c>
      <c r="E795" s="3" t="s">
        <v>651</v>
      </c>
      <c r="F795" s="3">
        <v>4</v>
      </c>
      <c r="G795" s="3" t="s">
        <v>41</v>
      </c>
      <c r="H795" s="3" t="str">
        <f t="shared" si="53"/>
        <v>2012</v>
      </c>
      <c r="I795" s="3">
        <v>4</v>
      </c>
      <c r="J795" s="69"/>
      <c r="K795" s="3" t="s">
        <v>551</v>
      </c>
      <c r="L795" s="3" t="s">
        <v>461</v>
      </c>
      <c r="M795" s="3">
        <v>425.6</v>
      </c>
      <c r="N795" s="3">
        <v>673</v>
      </c>
      <c r="O795" s="3" t="str">
        <f t="shared" si="52"/>
        <v>2011</v>
      </c>
      <c r="P795" s="2">
        <v>198</v>
      </c>
      <c r="S795">
        <v>3.13</v>
      </c>
    </row>
    <row r="796" spans="1:25" x14ac:dyDescent="0.35">
      <c r="A796" s="3">
        <v>2016</v>
      </c>
      <c r="B796" s="3">
        <v>11</v>
      </c>
      <c r="C796" s="3">
        <v>8</v>
      </c>
      <c r="D796" s="2">
        <v>196</v>
      </c>
      <c r="E796" s="3" t="s">
        <v>649</v>
      </c>
      <c r="F796" s="3">
        <v>4</v>
      </c>
      <c r="G796" s="3" t="s">
        <v>45</v>
      </c>
      <c r="H796" s="3" t="str">
        <f t="shared" si="53"/>
        <v>2011</v>
      </c>
      <c r="I796" s="3">
        <v>5</v>
      </c>
      <c r="J796" s="69"/>
      <c r="K796" s="3" t="s">
        <v>647</v>
      </c>
      <c r="L796" s="3" t="s">
        <v>317</v>
      </c>
      <c r="M796" s="3">
        <v>483.8</v>
      </c>
      <c r="N796" s="3">
        <v>673</v>
      </c>
      <c r="O796" s="3" t="str">
        <f t="shared" si="52"/>
        <v>2007</v>
      </c>
      <c r="P796" s="2">
        <v>196</v>
      </c>
    </row>
    <row r="797" spans="1:25" x14ac:dyDescent="0.35">
      <c r="A797" s="3">
        <v>2016</v>
      </c>
      <c r="B797" s="3">
        <v>11</v>
      </c>
      <c r="C797" s="3">
        <v>7</v>
      </c>
      <c r="D797" s="2">
        <v>208</v>
      </c>
      <c r="E797" s="3" t="s">
        <v>663</v>
      </c>
      <c r="F797" s="3">
        <v>4</v>
      </c>
      <c r="G797" s="3" t="s">
        <v>45</v>
      </c>
      <c r="H797" s="3" t="str">
        <f t="shared" si="53"/>
        <v>2009</v>
      </c>
      <c r="I797" s="3">
        <v>7</v>
      </c>
      <c r="J797" s="69"/>
      <c r="K797" s="3" t="s">
        <v>662</v>
      </c>
      <c r="L797" s="3" t="s">
        <v>488</v>
      </c>
      <c r="M797" s="3">
        <v>294.3</v>
      </c>
      <c r="N797" s="3">
        <v>674</v>
      </c>
      <c r="O797" s="3" t="str">
        <f t="shared" si="52"/>
        <v>2007</v>
      </c>
      <c r="P797" s="2">
        <v>208</v>
      </c>
    </row>
    <row r="798" spans="1:25" x14ac:dyDescent="0.35">
      <c r="A798" s="3">
        <v>2019</v>
      </c>
      <c r="B798" s="3">
        <v>2</v>
      </c>
      <c r="C798" s="3">
        <v>18</v>
      </c>
      <c r="D798" s="2">
        <v>174</v>
      </c>
      <c r="E798" s="3" t="s">
        <v>624</v>
      </c>
      <c r="F798" s="3">
        <v>1</v>
      </c>
      <c r="G798" s="3" t="s">
        <v>41</v>
      </c>
      <c r="H798" s="3" t="str">
        <f t="shared" si="53"/>
        <v>2013</v>
      </c>
      <c r="I798" s="3">
        <v>6</v>
      </c>
      <c r="J798" s="69"/>
      <c r="K798" s="3" t="s">
        <v>42</v>
      </c>
      <c r="L798" s="3" t="s">
        <v>318</v>
      </c>
      <c r="M798" s="3">
        <v>290.89999999999998</v>
      </c>
      <c r="N798" s="3">
        <v>676</v>
      </c>
      <c r="O798" s="3" t="str">
        <f t="shared" si="52"/>
        <v>2011</v>
      </c>
      <c r="P798" s="2">
        <v>174</v>
      </c>
      <c r="S798">
        <v>3.38</v>
      </c>
      <c r="Y798">
        <v>3.22</v>
      </c>
    </row>
    <row r="799" spans="1:25" x14ac:dyDescent="0.35">
      <c r="A799" s="3">
        <v>2019</v>
      </c>
      <c r="B799" s="3">
        <v>2</v>
      </c>
      <c r="C799" s="3">
        <v>18</v>
      </c>
      <c r="D799" s="2">
        <v>174</v>
      </c>
      <c r="E799" s="3" t="s">
        <v>624</v>
      </c>
      <c r="F799" s="3">
        <v>1</v>
      </c>
      <c r="G799" s="3" t="s">
        <v>41</v>
      </c>
      <c r="H799" s="3" t="str">
        <f t="shared" si="53"/>
        <v>2013</v>
      </c>
      <c r="I799" s="3">
        <v>6</v>
      </c>
      <c r="J799" s="69"/>
      <c r="K799" s="3" t="s">
        <v>42</v>
      </c>
      <c r="L799" s="3" t="s">
        <v>318</v>
      </c>
      <c r="M799" s="3">
        <v>290.89999999999998</v>
      </c>
      <c r="N799" s="3">
        <v>676</v>
      </c>
      <c r="O799" s="3" t="str">
        <f t="shared" si="52"/>
        <v>2011</v>
      </c>
      <c r="P799" s="2">
        <v>174</v>
      </c>
      <c r="S799">
        <v>3.23</v>
      </c>
    </row>
    <row r="800" spans="1:25" x14ac:dyDescent="0.35">
      <c r="A800" s="3">
        <v>2023</v>
      </c>
      <c r="B800" s="3">
        <v>2</v>
      </c>
      <c r="C800" s="3">
        <v>10</v>
      </c>
      <c r="D800" s="2">
        <v>148</v>
      </c>
      <c r="E800" s="3" t="s">
        <v>593</v>
      </c>
      <c r="F800" s="3">
        <v>1</v>
      </c>
      <c r="G800" s="3" t="s">
        <v>41</v>
      </c>
      <c r="H800" s="3" t="str">
        <f t="shared" si="53"/>
        <v>2013</v>
      </c>
      <c r="I800" s="3">
        <v>10</v>
      </c>
      <c r="J800" s="69"/>
      <c r="K800" s="3" t="s">
        <v>91</v>
      </c>
      <c r="L800" s="3" t="s">
        <v>318</v>
      </c>
      <c r="M800" s="3">
        <v>616.70000000000005</v>
      </c>
      <c r="N800" s="3">
        <v>678</v>
      </c>
      <c r="O800" s="3" t="str">
        <f t="shared" si="52"/>
        <v>2011</v>
      </c>
      <c r="P800" s="2">
        <v>148</v>
      </c>
    </row>
    <row r="801" spans="1:25" x14ac:dyDescent="0.35">
      <c r="A801" s="3">
        <v>2023</v>
      </c>
      <c r="B801" s="3">
        <v>11</v>
      </c>
      <c r="C801" s="3">
        <v>14</v>
      </c>
      <c r="D801" s="2">
        <v>515</v>
      </c>
      <c r="E801" s="3" t="s">
        <v>116</v>
      </c>
      <c r="F801" s="3">
        <v>4</v>
      </c>
      <c r="G801" s="3" t="s">
        <v>225</v>
      </c>
      <c r="H801" s="3" t="str">
        <f t="shared" si="53"/>
        <v>2021</v>
      </c>
      <c r="I801" s="3">
        <v>2</v>
      </c>
      <c r="J801" s="69"/>
      <c r="K801" s="3" t="s">
        <v>227</v>
      </c>
      <c r="L801" s="3">
        <v>4</v>
      </c>
      <c r="M801" s="3">
        <v>370</v>
      </c>
      <c r="N801" s="3">
        <v>679</v>
      </c>
      <c r="O801" s="3" t="str">
        <f t="shared" si="52"/>
        <v>2021</v>
      </c>
      <c r="P801" s="2">
        <v>515</v>
      </c>
    </row>
    <row r="802" spans="1:25" x14ac:dyDescent="0.35">
      <c r="A802" s="3">
        <v>2016</v>
      </c>
      <c r="B802" s="3">
        <v>9</v>
      </c>
      <c r="C802" s="3">
        <v>1</v>
      </c>
      <c r="D802" s="2">
        <v>232</v>
      </c>
      <c r="E802" s="3" t="s">
        <v>690</v>
      </c>
      <c r="F802" s="3">
        <v>3</v>
      </c>
      <c r="G802" s="3" t="s">
        <v>45</v>
      </c>
      <c r="H802" s="3" t="str">
        <f t="shared" si="53"/>
        <v>2011</v>
      </c>
      <c r="I802" s="3">
        <v>5</v>
      </c>
      <c r="J802" s="69"/>
      <c r="K802" s="3" t="s">
        <v>647</v>
      </c>
      <c r="L802" s="3" t="s">
        <v>317</v>
      </c>
      <c r="M802" s="3">
        <v>33.200000000000003</v>
      </c>
      <c r="N802" s="3">
        <v>680</v>
      </c>
      <c r="O802" s="3" t="str">
        <f t="shared" si="52"/>
        <v>2007</v>
      </c>
      <c r="P802" s="2">
        <v>232</v>
      </c>
    </row>
    <row r="803" spans="1:25" x14ac:dyDescent="0.35">
      <c r="A803" s="3">
        <v>2017</v>
      </c>
      <c r="B803" s="3">
        <v>11</v>
      </c>
      <c r="C803" s="3">
        <v>9</v>
      </c>
      <c r="D803" s="2">
        <v>77</v>
      </c>
      <c r="E803" s="14" t="s">
        <v>522</v>
      </c>
      <c r="F803" s="15">
        <v>4</v>
      </c>
      <c r="G803" s="3" t="s">
        <v>45</v>
      </c>
      <c r="H803" s="3" t="str">
        <f t="shared" si="53"/>
        <v>2011</v>
      </c>
      <c r="I803" s="3">
        <v>6</v>
      </c>
      <c r="J803" s="69"/>
      <c r="K803" s="3" t="s">
        <v>317</v>
      </c>
      <c r="L803" s="3" t="s">
        <v>317</v>
      </c>
      <c r="M803" s="3">
        <v>37.5</v>
      </c>
      <c r="N803" s="3">
        <v>687</v>
      </c>
      <c r="O803" s="3" t="str">
        <f t="shared" si="52"/>
        <v>2007</v>
      </c>
      <c r="P803" s="2">
        <v>77</v>
      </c>
    </row>
    <row r="804" spans="1:25" x14ac:dyDescent="0.35">
      <c r="A804" s="3">
        <v>2022</v>
      </c>
      <c r="B804" s="3">
        <v>1</v>
      </c>
      <c r="C804" s="3" t="s">
        <v>28</v>
      </c>
      <c r="D804" s="2">
        <v>17</v>
      </c>
      <c r="E804" s="3" t="s">
        <v>460</v>
      </c>
      <c r="F804" s="3">
        <v>1</v>
      </c>
      <c r="G804" s="3" t="s">
        <v>41</v>
      </c>
      <c r="H804" s="3" t="str">
        <f t="shared" si="53"/>
        <v>2012</v>
      </c>
      <c r="I804" s="3">
        <v>10</v>
      </c>
      <c r="J804" s="69"/>
      <c r="K804" s="3" t="s">
        <v>461</v>
      </c>
      <c r="L804" s="3" t="s">
        <v>461</v>
      </c>
      <c r="M804" s="3">
        <v>360.6</v>
      </c>
      <c r="N804" s="3">
        <v>690</v>
      </c>
      <c r="O804" s="3" t="str">
        <f t="shared" si="52"/>
        <v>2011</v>
      </c>
      <c r="P804" s="2">
        <v>17</v>
      </c>
    </row>
    <row r="805" spans="1:25" x14ac:dyDescent="0.35">
      <c r="A805" s="3">
        <v>2024</v>
      </c>
      <c r="B805" s="3">
        <v>4</v>
      </c>
      <c r="C805" s="3">
        <v>1</v>
      </c>
      <c r="D805" s="2">
        <v>688</v>
      </c>
      <c r="E805" s="3" t="s">
        <v>158</v>
      </c>
      <c r="F805" s="3">
        <v>2</v>
      </c>
      <c r="G805" s="3" t="s">
        <v>20</v>
      </c>
      <c r="H805" s="3" t="str">
        <f t="shared" si="53"/>
        <v>2020</v>
      </c>
      <c r="I805" s="3">
        <v>4</v>
      </c>
      <c r="J805" s="69"/>
      <c r="K805" t="s">
        <v>73</v>
      </c>
      <c r="L805">
        <v>37</v>
      </c>
      <c r="M805">
        <v>352.3</v>
      </c>
      <c r="N805" s="3">
        <v>690</v>
      </c>
      <c r="O805" s="3" t="str">
        <f t="shared" si="52"/>
        <v>2018</v>
      </c>
      <c r="P805" s="2">
        <v>688</v>
      </c>
    </row>
    <row r="806" spans="1:25" x14ac:dyDescent="0.35">
      <c r="A806" s="3">
        <v>2016</v>
      </c>
      <c r="B806" s="3">
        <v>11</v>
      </c>
      <c r="C806" s="3">
        <v>7</v>
      </c>
      <c r="D806" s="2">
        <v>254</v>
      </c>
      <c r="E806" s="3" t="s">
        <v>713</v>
      </c>
      <c r="F806" s="3">
        <v>4</v>
      </c>
      <c r="G806" s="3" t="s">
        <v>45</v>
      </c>
      <c r="H806" s="3" t="str">
        <f t="shared" si="53"/>
        <v>2009</v>
      </c>
      <c r="I806" s="3">
        <v>7</v>
      </c>
      <c r="J806" s="69"/>
      <c r="K806" s="3" t="s">
        <v>711</v>
      </c>
      <c r="L806" s="3" t="s">
        <v>512</v>
      </c>
      <c r="M806" s="3">
        <v>345.1</v>
      </c>
      <c r="N806" s="3">
        <v>693</v>
      </c>
      <c r="O806" s="3" t="str">
        <f t="shared" si="52"/>
        <v>2007</v>
      </c>
      <c r="P806" s="2">
        <v>254</v>
      </c>
    </row>
    <row r="807" spans="1:25" x14ac:dyDescent="0.35">
      <c r="A807" s="3">
        <v>2022</v>
      </c>
      <c r="B807" s="3">
        <v>1</v>
      </c>
      <c r="C807" s="3" t="s">
        <v>28</v>
      </c>
      <c r="D807" s="2">
        <v>22</v>
      </c>
      <c r="E807" s="3" t="s">
        <v>465</v>
      </c>
      <c r="F807" s="3">
        <v>1</v>
      </c>
      <c r="G807" s="3" t="s">
        <v>20</v>
      </c>
      <c r="H807" s="3" t="str">
        <f t="shared" si="53"/>
        <v>2020</v>
      </c>
      <c r="I807" s="3">
        <v>2</v>
      </c>
      <c r="J807" s="69"/>
      <c r="K807" s="3">
        <v>37</v>
      </c>
      <c r="L807" s="3">
        <v>37</v>
      </c>
      <c r="M807" s="3">
        <v>39.5</v>
      </c>
      <c r="N807" s="3">
        <v>694</v>
      </c>
      <c r="O807" s="3" t="str">
        <f t="shared" si="52"/>
        <v>2018</v>
      </c>
      <c r="P807" s="2">
        <v>22</v>
      </c>
      <c r="Y807">
        <v>5.38</v>
      </c>
    </row>
    <row r="808" spans="1:25" x14ac:dyDescent="0.35">
      <c r="A808" s="3">
        <v>2023</v>
      </c>
      <c r="B808" s="3">
        <v>11</v>
      </c>
      <c r="C808" s="3">
        <v>2</v>
      </c>
      <c r="D808" s="2">
        <v>545</v>
      </c>
      <c r="E808" s="3" t="s">
        <v>994</v>
      </c>
      <c r="F808" s="3">
        <v>4</v>
      </c>
      <c r="G808" s="3" t="s">
        <v>45</v>
      </c>
      <c r="H808" s="3" t="str">
        <f t="shared" si="53"/>
        <v>2011</v>
      </c>
      <c r="I808" s="3">
        <v>12</v>
      </c>
      <c r="J808" s="69"/>
      <c r="K808" t="s">
        <v>236</v>
      </c>
      <c r="L808" s="3" t="s">
        <v>317</v>
      </c>
      <c r="M808" s="3">
        <v>368.9</v>
      </c>
      <c r="N808" s="3">
        <v>696</v>
      </c>
      <c r="O808" s="3" t="str">
        <f t="shared" si="52"/>
        <v>2007</v>
      </c>
      <c r="P808" s="2">
        <v>545</v>
      </c>
    </row>
    <row r="809" spans="1:25" x14ac:dyDescent="0.35">
      <c r="A809" s="3">
        <v>2016</v>
      </c>
      <c r="B809" s="3">
        <v>11</v>
      </c>
      <c r="C809" s="3">
        <v>7</v>
      </c>
      <c r="D809" s="2">
        <v>229</v>
      </c>
      <c r="E809" s="3" t="s">
        <v>687</v>
      </c>
      <c r="F809" s="3">
        <v>4</v>
      </c>
      <c r="G809" s="3" t="s">
        <v>45</v>
      </c>
      <c r="H809" s="3" t="str">
        <f t="shared" si="53"/>
        <v>2009</v>
      </c>
      <c r="I809" s="3">
        <v>7</v>
      </c>
      <c r="J809" s="69"/>
      <c r="K809" s="3" t="s">
        <v>671</v>
      </c>
      <c r="L809" s="3" t="s">
        <v>512</v>
      </c>
      <c r="M809" s="3">
        <v>345.3</v>
      </c>
      <c r="N809" s="3">
        <v>699</v>
      </c>
      <c r="O809" s="3" t="str">
        <f t="shared" si="52"/>
        <v>2007</v>
      </c>
      <c r="P809" s="2">
        <v>229</v>
      </c>
    </row>
    <row r="810" spans="1:25" x14ac:dyDescent="0.35">
      <c r="A810" s="3">
        <v>2024</v>
      </c>
      <c r="B810" s="3">
        <v>1</v>
      </c>
      <c r="C810" s="3">
        <v>17</v>
      </c>
      <c r="D810" s="2">
        <v>555</v>
      </c>
      <c r="E810" s="3" t="s">
        <v>127</v>
      </c>
      <c r="F810" s="3">
        <v>1</v>
      </c>
      <c r="G810" s="3" t="s">
        <v>41</v>
      </c>
      <c r="H810" s="3" t="str">
        <f t="shared" si="53"/>
        <v>2013</v>
      </c>
      <c r="I810" s="3">
        <v>11</v>
      </c>
      <c r="J810" s="69"/>
      <c r="K810" t="s">
        <v>49</v>
      </c>
      <c r="L810" s="3" t="s">
        <v>318</v>
      </c>
      <c r="M810">
        <v>351.5</v>
      </c>
      <c r="N810" s="3">
        <v>700</v>
      </c>
      <c r="O810" s="3" t="str">
        <f t="shared" si="52"/>
        <v>2011</v>
      </c>
      <c r="P810" s="2">
        <v>555</v>
      </c>
    </row>
    <row r="811" spans="1:25" x14ac:dyDescent="0.35">
      <c r="A811" s="3">
        <v>2017</v>
      </c>
      <c r="B811" s="3">
        <v>1</v>
      </c>
      <c r="C811" s="3">
        <v>20</v>
      </c>
      <c r="D811" s="2">
        <v>95</v>
      </c>
      <c r="E811" s="14" t="s">
        <v>540</v>
      </c>
      <c r="F811" s="15">
        <v>1</v>
      </c>
      <c r="G811" s="3" t="s">
        <v>41</v>
      </c>
      <c r="H811" s="3" t="str">
        <f t="shared" si="53"/>
        <v>2012</v>
      </c>
      <c r="I811" s="3">
        <v>5</v>
      </c>
      <c r="J811" s="69"/>
      <c r="K811" s="3" t="s">
        <v>541</v>
      </c>
      <c r="L811" s="3" t="s">
        <v>461</v>
      </c>
      <c r="M811" s="3">
        <v>342.4</v>
      </c>
      <c r="N811" s="3">
        <v>703</v>
      </c>
      <c r="O811" s="3" t="str">
        <f t="shared" si="52"/>
        <v>2011</v>
      </c>
      <c r="P811" s="2">
        <v>95</v>
      </c>
      <c r="S811">
        <v>3.93</v>
      </c>
    </row>
    <row r="812" spans="1:25" x14ac:dyDescent="0.35">
      <c r="A812" s="3">
        <v>2017</v>
      </c>
      <c r="B812" s="3">
        <v>1</v>
      </c>
      <c r="C812" s="3">
        <v>20</v>
      </c>
      <c r="D812" s="2">
        <v>95</v>
      </c>
      <c r="E812" s="14" t="s">
        <v>540</v>
      </c>
      <c r="F812" s="15">
        <v>1</v>
      </c>
      <c r="G812" s="3" t="s">
        <v>41</v>
      </c>
      <c r="H812" s="3" t="str">
        <f t="shared" si="53"/>
        <v>2012</v>
      </c>
      <c r="I812" s="3">
        <v>5</v>
      </c>
      <c r="J812" s="69"/>
      <c r="K812" s="3" t="s">
        <v>541</v>
      </c>
      <c r="L812" s="3" t="s">
        <v>461</v>
      </c>
      <c r="M812" s="3">
        <v>342.4</v>
      </c>
      <c r="N812" s="3">
        <v>703</v>
      </c>
      <c r="O812" s="3" t="str">
        <f t="shared" si="52"/>
        <v>2011</v>
      </c>
      <c r="P812" s="2">
        <v>95</v>
      </c>
      <c r="S812">
        <v>3.46</v>
      </c>
    </row>
    <row r="813" spans="1:25" x14ac:dyDescent="0.35">
      <c r="A813" s="3">
        <v>2024</v>
      </c>
      <c r="B813" s="3">
        <v>8</v>
      </c>
      <c r="C813" s="3">
        <v>5</v>
      </c>
      <c r="D813" s="2">
        <v>761</v>
      </c>
      <c r="E813" s="3" t="s">
        <v>269</v>
      </c>
      <c r="F813" s="3">
        <v>3</v>
      </c>
      <c r="G813" s="3" t="s">
        <v>20</v>
      </c>
      <c r="H813" s="3" t="str">
        <f t="shared" si="53"/>
        <v>2020</v>
      </c>
      <c r="I813" s="3">
        <v>4</v>
      </c>
      <c r="J813" s="69"/>
      <c r="K813" s="6" t="s">
        <v>783</v>
      </c>
      <c r="L813">
        <v>7</v>
      </c>
      <c r="M813">
        <v>446.9</v>
      </c>
      <c r="N813" s="3">
        <v>704</v>
      </c>
      <c r="O813" s="3" t="str">
        <f t="shared" si="52"/>
        <v>2018</v>
      </c>
      <c r="P813" s="2">
        <v>761</v>
      </c>
    </row>
    <row r="814" spans="1:25" x14ac:dyDescent="0.35">
      <c r="A814" s="3">
        <v>2023</v>
      </c>
      <c r="B814" s="3">
        <v>2</v>
      </c>
      <c r="C814" s="3">
        <v>1</v>
      </c>
      <c r="D814" s="2">
        <v>122</v>
      </c>
      <c r="E814" s="14" t="s">
        <v>35</v>
      </c>
      <c r="F814" s="15">
        <v>1</v>
      </c>
      <c r="G814" s="3" t="s">
        <v>20</v>
      </c>
      <c r="H814" s="3" t="str">
        <f t="shared" si="53"/>
        <v>2020</v>
      </c>
      <c r="I814" s="3">
        <v>3</v>
      </c>
      <c r="J814" s="69"/>
      <c r="K814" s="3">
        <v>7</v>
      </c>
      <c r="L814" s="3">
        <v>7</v>
      </c>
      <c r="M814" s="3">
        <v>69.099999999999994</v>
      </c>
      <c r="N814" s="3">
        <v>707</v>
      </c>
      <c r="O814" s="3" t="str">
        <f t="shared" si="52"/>
        <v>2018</v>
      </c>
      <c r="P814" s="2">
        <v>122</v>
      </c>
    </row>
    <row r="815" spans="1:25" x14ac:dyDescent="0.35">
      <c r="A815" s="3">
        <v>2022</v>
      </c>
      <c r="B815" s="3">
        <v>1</v>
      </c>
      <c r="C815" s="3" t="s">
        <v>28</v>
      </c>
      <c r="D815" s="2">
        <v>58</v>
      </c>
      <c r="E815" s="3" t="s">
        <v>501</v>
      </c>
      <c r="F815" s="3">
        <v>1</v>
      </c>
      <c r="G815" s="3" t="s">
        <v>41</v>
      </c>
      <c r="H815" s="3" t="str">
        <f t="shared" si="53"/>
        <v>2012</v>
      </c>
      <c r="I815" s="3">
        <v>10</v>
      </c>
      <c r="J815" s="69"/>
      <c r="K815" s="3" t="s">
        <v>461</v>
      </c>
      <c r="L815" s="3" t="s">
        <v>461</v>
      </c>
      <c r="M815" s="3">
        <v>361.3</v>
      </c>
      <c r="N815" s="3">
        <v>711</v>
      </c>
      <c r="O815" s="3" t="str">
        <f t="shared" si="52"/>
        <v>2011</v>
      </c>
      <c r="P815" s="2">
        <v>58</v>
      </c>
      <c r="Y815">
        <v>5.17</v>
      </c>
    </row>
    <row r="816" spans="1:25" x14ac:dyDescent="0.35">
      <c r="A816" s="3">
        <v>2024</v>
      </c>
      <c r="B816" s="3">
        <v>1</v>
      </c>
      <c r="C816" s="3">
        <v>30</v>
      </c>
      <c r="D816" s="2">
        <v>649</v>
      </c>
      <c r="E816" t="s">
        <v>102</v>
      </c>
      <c r="F816" s="3">
        <v>1</v>
      </c>
      <c r="G816" s="3" t="s">
        <v>225</v>
      </c>
      <c r="H816" s="3" t="str">
        <f t="shared" si="53"/>
        <v>2022</v>
      </c>
      <c r="I816" s="3">
        <v>2</v>
      </c>
      <c r="J816" s="69"/>
      <c r="K816" t="s">
        <v>58</v>
      </c>
      <c r="L816">
        <v>2</v>
      </c>
      <c r="M816">
        <v>415.8</v>
      </c>
      <c r="N816" s="3">
        <v>711</v>
      </c>
      <c r="O816" s="3" t="str">
        <f t="shared" si="52"/>
        <v>2021</v>
      </c>
      <c r="P816" s="2">
        <v>649</v>
      </c>
    </row>
    <row r="817" spans="1:25" x14ac:dyDescent="0.35">
      <c r="A817" s="3">
        <v>2017</v>
      </c>
      <c r="B817" s="3">
        <v>11</v>
      </c>
      <c r="C817" s="3">
        <v>9</v>
      </c>
      <c r="D817" s="2">
        <v>79</v>
      </c>
      <c r="E817" s="14" t="s">
        <v>524</v>
      </c>
      <c r="F817" s="15">
        <v>4</v>
      </c>
      <c r="G817" s="3" t="s">
        <v>45</v>
      </c>
      <c r="H817" s="3" t="str">
        <f t="shared" si="53"/>
        <v>2011</v>
      </c>
      <c r="I817" s="3">
        <v>6</v>
      </c>
      <c r="J817" s="69"/>
      <c r="K817" s="3" t="s">
        <v>317</v>
      </c>
      <c r="L817" s="3" t="s">
        <v>317</v>
      </c>
      <c r="M817" s="3">
        <v>435.2</v>
      </c>
      <c r="N817" s="3">
        <v>712</v>
      </c>
      <c r="O817" s="3" t="str">
        <f t="shared" si="52"/>
        <v>2007</v>
      </c>
      <c r="P817" s="2">
        <v>79</v>
      </c>
    </row>
    <row r="818" spans="1:25" x14ac:dyDescent="0.35">
      <c r="A818" s="3">
        <v>2023</v>
      </c>
      <c r="B818" s="3">
        <v>7</v>
      </c>
      <c r="C818" s="3">
        <v>19</v>
      </c>
      <c r="D818" s="2">
        <v>402</v>
      </c>
      <c r="E818" s="3" t="s">
        <v>868</v>
      </c>
      <c r="F818" s="3">
        <v>3</v>
      </c>
      <c r="G818" s="3" t="s">
        <v>41</v>
      </c>
      <c r="H818" s="3" t="str">
        <f t="shared" si="53"/>
        <v>2013</v>
      </c>
      <c r="I818" s="3">
        <v>10</v>
      </c>
      <c r="J818" s="69"/>
      <c r="K818" s="3" t="s">
        <v>49</v>
      </c>
      <c r="L818" s="3" t="s">
        <v>318</v>
      </c>
      <c r="M818" s="3">
        <v>310.5</v>
      </c>
      <c r="N818" s="3">
        <v>714</v>
      </c>
      <c r="O818" s="3" t="str">
        <f t="shared" si="52"/>
        <v>2011</v>
      </c>
      <c r="P818" s="2">
        <v>402</v>
      </c>
      <c r="Y818">
        <v>4.3499999999999996</v>
      </c>
    </row>
    <row r="819" spans="1:25" x14ac:dyDescent="0.35">
      <c r="A819" s="3">
        <v>2024</v>
      </c>
      <c r="B819">
        <v>8</v>
      </c>
      <c r="C819" s="3">
        <v>9</v>
      </c>
      <c r="D819" s="2">
        <v>857</v>
      </c>
      <c r="E819" s="3" t="s">
        <v>1187</v>
      </c>
      <c r="F819" s="3">
        <v>3</v>
      </c>
      <c r="G819" t="s">
        <v>41</v>
      </c>
      <c r="H819" s="3" t="str">
        <f t="shared" si="53"/>
        <v>2013</v>
      </c>
      <c r="I819" s="3">
        <v>11</v>
      </c>
      <c r="J819" s="69"/>
      <c r="K819" t="s">
        <v>42</v>
      </c>
      <c r="L819" t="s">
        <v>318</v>
      </c>
      <c r="M819">
        <v>465.3</v>
      </c>
      <c r="N819" s="3">
        <v>718</v>
      </c>
      <c r="O819" s="3" t="str">
        <f t="shared" si="52"/>
        <v>2011</v>
      </c>
      <c r="P819" s="2">
        <v>857</v>
      </c>
      <c r="T819">
        <v>4.84</v>
      </c>
    </row>
    <row r="820" spans="1:25" x14ac:dyDescent="0.35">
      <c r="A820" s="3">
        <v>2016</v>
      </c>
      <c r="B820" s="3">
        <v>9</v>
      </c>
      <c r="C820" s="3">
        <v>1</v>
      </c>
      <c r="D820" s="2">
        <v>299</v>
      </c>
      <c r="E820" s="3" t="s">
        <v>765</v>
      </c>
      <c r="F820" s="3">
        <v>3</v>
      </c>
      <c r="G820" s="3" t="s">
        <v>45</v>
      </c>
      <c r="H820" s="3" t="str">
        <f t="shared" si="53"/>
        <v>2011</v>
      </c>
      <c r="I820" s="3">
        <v>5</v>
      </c>
      <c r="J820" s="69"/>
      <c r="K820" s="3" t="s">
        <v>632</v>
      </c>
      <c r="L820" s="3" t="s">
        <v>317</v>
      </c>
      <c r="M820" s="3">
        <v>492.5</v>
      </c>
      <c r="N820" s="3">
        <v>719</v>
      </c>
      <c r="O820" s="3" t="str">
        <f t="shared" si="52"/>
        <v>2007</v>
      </c>
      <c r="P820" s="2">
        <v>299</v>
      </c>
    </row>
    <row r="821" spans="1:25" x14ac:dyDescent="0.35">
      <c r="A821" s="3">
        <v>2022</v>
      </c>
      <c r="B821" s="3">
        <v>1</v>
      </c>
      <c r="C821" s="3" t="s">
        <v>28</v>
      </c>
      <c r="D821" s="2">
        <v>3</v>
      </c>
      <c r="E821" s="3" t="s">
        <v>446</v>
      </c>
      <c r="F821" s="3">
        <v>1</v>
      </c>
      <c r="G821" s="3" t="s">
        <v>41</v>
      </c>
      <c r="H821" s="3" t="str">
        <f t="shared" si="53"/>
        <v>2013</v>
      </c>
      <c r="I821" s="3">
        <v>9</v>
      </c>
      <c r="J821" s="69"/>
      <c r="K821" s="3" t="s">
        <v>318</v>
      </c>
      <c r="L821" s="3" t="s">
        <v>318</v>
      </c>
      <c r="M821" s="3">
        <v>464.6</v>
      </c>
      <c r="N821" s="3">
        <v>722</v>
      </c>
      <c r="O821" s="3" t="str">
        <f t="shared" si="52"/>
        <v>2011</v>
      </c>
      <c r="P821" s="2">
        <v>3</v>
      </c>
    </row>
    <row r="822" spans="1:25" x14ac:dyDescent="0.35">
      <c r="A822" s="3">
        <v>2019</v>
      </c>
      <c r="B822" s="3">
        <v>2</v>
      </c>
      <c r="C822" s="3">
        <v>20</v>
      </c>
      <c r="D822" s="2">
        <v>173</v>
      </c>
      <c r="E822" s="3" t="s">
        <v>622</v>
      </c>
      <c r="F822" s="3">
        <v>1</v>
      </c>
      <c r="G822" s="3" t="s">
        <v>41</v>
      </c>
      <c r="H822" s="3" t="str">
        <f t="shared" si="53"/>
        <v>2012</v>
      </c>
      <c r="I822" s="3">
        <v>7</v>
      </c>
      <c r="J822" s="69"/>
      <c r="K822" s="3" t="s">
        <v>623</v>
      </c>
      <c r="L822" s="3" t="s">
        <v>461</v>
      </c>
      <c r="M822" s="3">
        <v>417.3</v>
      </c>
      <c r="N822" s="3">
        <v>723</v>
      </c>
      <c r="O822" s="3" t="str">
        <f t="shared" si="52"/>
        <v>2011</v>
      </c>
      <c r="P822" s="2">
        <v>173</v>
      </c>
      <c r="T822">
        <v>3.11</v>
      </c>
      <c r="Y822">
        <v>3.53</v>
      </c>
    </row>
    <row r="823" spans="1:25" x14ac:dyDescent="0.35">
      <c r="A823" s="3">
        <v>2022</v>
      </c>
      <c r="B823" s="3">
        <v>11</v>
      </c>
      <c r="C823" s="3">
        <v>1</v>
      </c>
      <c r="D823" s="2">
        <v>368</v>
      </c>
      <c r="E823" s="3" t="s">
        <v>834</v>
      </c>
      <c r="F823" s="3">
        <v>4</v>
      </c>
      <c r="G823" s="3" t="s">
        <v>41</v>
      </c>
      <c r="H823" s="3" t="str">
        <f t="shared" si="53"/>
        <v>2013</v>
      </c>
      <c r="I823" s="3">
        <v>9</v>
      </c>
      <c r="J823" s="69"/>
      <c r="K823" s="3" t="s">
        <v>42</v>
      </c>
      <c r="L823" s="3" t="s">
        <v>318</v>
      </c>
      <c r="M823" s="3">
        <v>295.89999999999998</v>
      </c>
      <c r="N823" s="3">
        <v>724</v>
      </c>
      <c r="O823" s="3" t="str">
        <f t="shared" si="52"/>
        <v>2011</v>
      </c>
      <c r="P823" s="2">
        <v>368</v>
      </c>
    </row>
    <row r="824" spans="1:25" x14ac:dyDescent="0.35">
      <c r="A824" s="3">
        <v>2022</v>
      </c>
      <c r="B824" s="3">
        <v>11</v>
      </c>
      <c r="C824" s="3">
        <v>7</v>
      </c>
      <c r="D824" s="2">
        <v>116</v>
      </c>
      <c r="E824" s="14" t="s">
        <v>562</v>
      </c>
      <c r="F824" s="15">
        <v>4</v>
      </c>
      <c r="G824" s="3" t="s">
        <v>41</v>
      </c>
      <c r="H824" s="3" t="str">
        <f t="shared" si="53"/>
        <v>2012</v>
      </c>
      <c r="I824" s="3">
        <v>10</v>
      </c>
      <c r="J824" s="69"/>
      <c r="K824" s="3" t="s">
        <v>461</v>
      </c>
      <c r="L824" s="3" t="s">
        <v>461</v>
      </c>
      <c r="M824" s="3">
        <v>441.9</v>
      </c>
      <c r="N824" s="3">
        <v>730</v>
      </c>
      <c r="O824" s="3" t="str">
        <f t="shared" si="52"/>
        <v>2011</v>
      </c>
      <c r="P824" s="2">
        <v>116</v>
      </c>
      <c r="Y824">
        <v>3.76</v>
      </c>
    </row>
    <row r="825" spans="1:25" x14ac:dyDescent="0.35">
      <c r="A825" s="3">
        <v>2022</v>
      </c>
      <c r="B825" s="3">
        <v>1</v>
      </c>
      <c r="C825" s="3" t="s">
        <v>28</v>
      </c>
      <c r="D825" s="2">
        <v>60</v>
      </c>
      <c r="E825" s="3" t="s">
        <v>503</v>
      </c>
      <c r="F825" s="3">
        <v>1</v>
      </c>
      <c r="G825" s="3" t="s">
        <v>41</v>
      </c>
      <c r="H825" s="3" t="str">
        <f t="shared" si="53"/>
        <v>2012</v>
      </c>
      <c r="I825" s="3">
        <v>10</v>
      </c>
      <c r="J825" s="69"/>
      <c r="K825" s="3" t="s">
        <v>461</v>
      </c>
      <c r="L825" s="3" t="s">
        <v>461</v>
      </c>
      <c r="M825" s="3">
        <v>399.2</v>
      </c>
      <c r="N825" s="3">
        <v>730</v>
      </c>
      <c r="O825" s="3" t="str">
        <f t="shared" si="52"/>
        <v>2011</v>
      </c>
      <c r="P825" s="2">
        <v>60</v>
      </c>
    </row>
    <row r="826" spans="1:25" x14ac:dyDescent="0.35">
      <c r="A826" s="3">
        <v>2016</v>
      </c>
      <c r="B826" s="3">
        <v>9</v>
      </c>
      <c r="C826" s="3">
        <v>2</v>
      </c>
      <c r="D826" s="2">
        <v>290</v>
      </c>
      <c r="E826" s="3" t="s">
        <v>756</v>
      </c>
      <c r="F826" s="3">
        <v>3</v>
      </c>
      <c r="G826" s="3" t="s">
        <v>41</v>
      </c>
      <c r="H826" s="3" t="str">
        <f t="shared" si="53"/>
        <v>2013</v>
      </c>
      <c r="I826" s="3">
        <v>3</v>
      </c>
      <c r="J826" s="69"/>
      <c r="K826" s="3" t="s">
        <v>42</v>
      </c>
      <c r="L826" s="3" t="s">
        <v>318</v>
      </c>
      <c r="M826" s="3">
        <v>403.5</v>
      </c>
      <c r="N826" s="3">
        <v>731</v>
      </c>
      <c r="O826" s="3" t="str">
        <f t="shared" si="52"/>
        <v>2011</v>
      </c>
      <c r="P826" s="2">
        <v>290</v>
      </c>
    </row>
    <row r="827" spans="1:25" x14ac:dyDescent="0.35">
      <c r="A827" s="3">
        <v>2022</v>
      </c>
      <c r="B827" s="3">
        <v>11</v>
      </c>
      <c r="C827" s="3">
        <v>1</v>
      </c>
      <c r="D827" s="2">
        <v>362</v>
      </c>
      <c r="E827" s="3" t="s">
        <v>828</v>
      </c>
      <c r="F827" s="3">
        <v>4</v>
      </c>
      <c r="G827" s="3" t="s">
        <v>41</v>
      </c>
      <c r="H827" s="3" t="str">
        <f t="shared" si="53"/>
        <v>2013</v>
      </c>
      <c r="I827" s="3">
        <v>9</v>
      </c>
      <c r="J827" s="69"/>
      <c r="K827" s="3" t="s">
        <v>583</v>
      </c>
      <c r="L827" s="3" t="s">
        <v>318</v>
      </c>
      <c r="M827" s="3">
        <v>318.8</v>
      </c>
      <c r="N827" s="3">
        <v>732</v>
      </c>
      <c r="O827" s="3" t="str">
        <f t="shared" si="52"/>
        <v>2011</v>
      </c>
      <c r="P827" s="2">
        <v>362</v>
      </c>
    </row>
    <row r="828" spans="1:25" x14ac:dyDescent="0.35">
      <c r="A828" s="3">
        <v>2022</v>
      </c>
      <c r="B828" s="3">
        <v>11</v>
      </c>
      <c r="C828" s="3">
        <v>14</v>
      </c>
      <c r="D828" s="2">
        <v>120</v>
      </c>
      <c r="E828" s="14" t="s">
        <v>33</v>
      </c>
      <c r="F828" s="15">
        <v>4</v>
      </c>
      <c r="G828" s="3" t="s">
        <v>20</v>
      </c>
      <c r="H828" s="3" t="str">
        <f t="shared" si="53"/>
        <v>2020</v>
      </c>
      <c r="I828" s="3">
        <v>2</v>
      </c>
      <c r="J828" s="69"/>
      <c r="K828" s="3">
        <v>8</v>
      </c>
      <c r="L828" s="3">
        <v>8</v>
      </c>
      <c r="M828" s="3">
        <v>470.6</v>
      </c>
      <c r="N828" s="3">
        <v>735</v>
      </c>
      <c r="O828" s="3" t="str">
        <f t="shared" si="52"/>
        <v>2018</v>
      </c>
      <c r="P828" s="2">
        <v>120</v>
      </c>
    </row>
    <row r="829" spans="1:25" x14ac:dyDescent="0.35">
      <c r="A829" s="3">
        <v>2019</v>
      </c>
      <c r="B829" s="3">
        <v>2</v>
      </c>
      <c r="C829" s="3">
        <v>21</v>
      </c>
      <c r="D829" s="2">
        <v>158</v>
      </c>
      <c r="E829" s="3" t="s">
        <v>604</v>
      </c>
      <c r="F829" s="3">
        <v>1</v>
      </c>
      <c r="G829" s="3" t="s">
        <v>45</v>
      </c>
      <c r="H829" s="3" t="str">
        <f t="shared" si="53"/>
        <v>2011</v>
      </c>
      <c r="I829" s="3">
        <v>8</v>
      </c>
      <c r="J829" s="69"/>
      <c r="K829" s="3" t="s">
        <v>602</v>
      </c>
      <c r="L829" s="3" t="s">
        <v>317</v>
      </c>
      <c r="M829" s="3">
        <v>482.9</v>
      </c>
      <c r="N829" s="3">
        <v>736</v>
      </c>
      <c r="O829" s="3" t="str">
        <f t="shared" si="52"/>
        <v>2007</v>
      </c>
      <c r="P829" s="2">
        <v>158</v>
      </c>
      <c r="S829">
        <v>3.43</v>
      </c>
    </row>
    <row r="830" spans="1:25" x14ac:dyDescent="0.35">
      <c r="A830" s="3">
        <v>2019</v>
      </c>
      <c r="B830" s="3">
        <v>2</v>
      </c>
      <c r="C830" s="3">
        <v>21</v>
      </c>
      <c r="D830" s="2">
        <v>158</v>
      </c>
      <c r="E830" s="3" t="s">
        <v>604</v>
      </c>
      <c r="F830" s="3">
        <v>1</v>
      </c>
      <c r="G830" s="3" t="s">
        <v>45</v>
      </c>
      <c r="H830" s="3" t="str">
        <f t="shared" si="53"/>
        <v>2011</v>
      </c>
      <c r="I830" s="3">
        <v>8</v>
      </c>
      <c r="J830" s="69"/>
      <c r="K830" s="3" t="s">
        <v>602</v>
      </c>
      <c r="L830" s="3" t="s">
        <v>317</v>
      </c>
      <c r="M830" s="3">
        <v>482.9</v>
      </c>
      <c r="N830" s="3">
        <v>736</v>
      </c>
      <c r="O830" s="3" t="str">
        <f t="shared" si="52"/>
        <v>2007</v>
      </c>
      <c r="P830" s="2">
        <v>158</v>
      </c>
      <c r="S830">
        <v>3.4</v>
      </c>
    </row>
    <row r="831" spans="1:25" x14ac:dyDescent="0.35">
      <c r="A831" s="3">
        <v>2022</v>
      </c>
      <c r="B831" s="3">
        <v>11</v>
      </c>
      <c r="C831" s="3">
        <v>7</v>
      </c>
      <c r="D831" s="2">
        <v>127</v>
      </c>
      <c r="E831" s="14" t="s">
        <v>572</v>
      </c>
      <c r="F831" s="15">
        <v>4</v>
      </c>
      <c r="G831" s="3" t="s">
        <v>41</v>
      </c>
      <c r="H831" s="3" t="str">
        <f t="shared" si="53"/>
        <v>2012</v>
      </c>
      <c r="I831" s="3">
        <v>10</v>
      </c>
      <c r="J831" s="69"/>
      <c r="K831" s="3" t="s">
        <v>461</v>
      </c>
      <c r="L831" s="3" t="s">
        <v>461</v>
      </c>
      <c r="M831" s="3">
        <v>504.1</v>
      </c>
      <c r="N831" s="3">
        <v>739</v>
      </c>
      <c r="O831" s="3" t="str">
        <f t="shared" si="52"/>
        <v>2011</v>
      </c>
      <c r="P831" s="2">
        <v>127</v>
      </c>
    </row>
    <row r="832" spans="1:25" x14ac:dyDescent="0.35">
      <c r="A832" s="3">
        <v>2016</v>
      </c>
      <c r="B832" s="3">
        <v>11</v>
      </c>
      <c r="C832" s="3">
        <v>16</v>
      </c>
      <c r="D832" s="2">
        <v>200</v>
      </c>
      <c r="E832" s="3" t="s">
        <v>653</v>
      </c>
      <c r="F832" s="3">
        <v>4</v>
      </c>
      <c r="G832" s="3" t="s">
        <v>41</v>
      </c>
      <c r="H832" s="3" t="str">
        <f t="shared" si="53"/>
        <v>2013</v>
      </c>
      <c r="I832" s="3">
        <v>3</v>
      </c>
      <c r="J832" s="69"/>
      <c r="K832" s="3" t="s">
        <v>42</v>
      </c>
      <c r="L832" s="3" t="s">
        <v>318</v>
      </c>
      <c r="M832" s="3">
        <v>483.5</v>
      </c>
      <c r="N832" s="3">
        <v>742</v>
      </c>
      <c r="O832" s="3" t="str">
        <f t="shared" si="52"/>
        <v>2011</v>
      </c>
      <c r="P832" s="2">
        <v>200</v>
      </c>
    </row>
    <row r="833" spans="1:24" x14ac:dyDescent="0.35">
      <c r="A833" s="3">
        <v>2018</v>
      </c>
      <c r="B833" s="3">
        <v>8</v>
      </c>
      <c r="C833" s="3">
        <v>15</v>
      </c>
      <c r="D833" s="2">
        <v>288</v>
      </c>
      <c r="E833" s="3" t="s">
        <v>753</v>
      </c>
      <c r="F833" s="3">
        <v>3</v>
      </c>
      <c r="G833" s="3" t="s">
        <v>41</v>
      </c>
      <c r="H833" s="3" t="str">
        <f t="shared" si="53"/>
        <v>2013</v>
      </c>
      <c r="I833" s="3">
        <v>5</v>
      </c>
      <c r="J833" s="69"/>
      <c r="K833" s="3" t="s">
        <v>509</v>
      </c>
      <c r="L833" s="3" t="s">
        <v>458</v>
      </c>
      <c r="M833" s="3">
        <v>49.1</v>
      </c>
      <c r="N833" s="3">
        <v>745</v>
      </c>
      <c r="O833" s="3" t="str">
        <f t="shared" si="52"/>
        <v>2011</v>
      </c>
      <c r="P833" s="2">
        <v>288</v>
      </c>
    </row>
    <row r="834" spans="1:24" x14ac:dyDescent="0.35">
      <c r="A834" s="3">
        <v>2024</v>
      </c>
      <c r="B834" s="3">
        <v>8</v>
      </c>
      <c r="C834" s="3">
        <v>13</v>
      </c>
      <c r="D834" s="2">
        <v>721</v>
      </c>
      <c r="E834" s="3" t="s">
        <v>244</v>
      </c>
      <c r="F834" s="3">
        <v>3</v>
      </c>
      <c r="G834" s="3" t="s">
        <v>225</v>
      </c>
      <c r="H834" s="3" t="str">
        <f t="shared" si="53"/>
        <v>2021</v>
      </c>
      <c r="I834" s="3">
        <v>3</v>
      </c>
      <c r="J834" s="69"/>
      <c r="K834" t="s">
        <v>1137</v>
      </c>
      <c r="L834">
        <v>3</v>
      </c>
      <c r="M834">
        <v>466.3</v>
      </c>
      <c r="N834" s="3">
        <v>745</v>
      </c>
      <c r="O834" s="3" t="str">
        <f t="shared" ref="O834:O878" si="54">IF(G834="PHD", "2007", IF(G834="TSL", "2011", IF(G834 = "SRS", "2018", IF(G834="WCA 3B", "2017", IF(G834="WCA 3A", "2021")))))</f>
        <v>2021</v>
      </c>
      <c r="P834" s="2">
        <v>721</v>
      </c>
    </row>
    <row r="835" spans="1:24" x14ac:dyDescent="0.35">
      <c r="A835" s="3">
        <v>2018</v>
      </c>
      <c r="B835" s="3">
        <v>8</v>
      </c>
      <c r="C835" s="3">
        <v>15</v>
      </c>
      <c r="D835" s="2">
        <v>334</v>
      </c>
      <c r="E835" s="3" t="s">
        <v>40</v>
      </c>
      <c r="F835" s="3">
        <v>3</v>
      </c>
      <c r="G835" s="3" t="s">
        <v>41</v>
      </c>
      <c r="H835" s="3" t="str">
        <f t="shared" si="53"/>
        <v>2013</v>
      </c>
      <c r="I835" s="3">
        <v>5</v>
      </c>
      <c r="J835" s="69"/>
      <c r="K835" s="3" t="s">
        <v>42</v>
      </c>
      <c r="L835" s="3" t="s">
        <v>318</v>
      </c>
      <c r="M835" s="3">
        <v>378.7</v>
      </c>
      <c r="N835" s="3">
        <v>746</v>
      </c>
      <c r="O835" s="3" t="str">
        <f t="shared" si="54"/>
        <v>2011</v>
      </c>
      <c r="P835" s="2">
        <v>334</v>
      </c>
    </row>
    <row r="836" spans="1:24" x14ac:dyDescent="0.35">
      <c r="A836" s="3">
        <v>2024</v>
      </c>
      <c r="B836" s="3">
        <v>8</v>
      </c>
      <c r="C836" s="3">
        <v>20</v>
      </c>
      <c r="D836" s="2">
        <v>765</v>
      </c>
      <c r="E836" s="3" t="s">
        <v>1157</v>
      </c>
      <c r="F836" s="3">
        <v>3</v>
      </c>
      <c r="G836" s="3" t="s">
        <v>226</v>
      </c>
      <c r="H836" s="3" t="str">
        <f t="shared" si="53"/>
        <v>2017</v>
      </c>
      <c r="I836" s="3">
        <v>7</v>
      </c>
      <c r="J836" s="69"/>
      <c r="K836" s="6" t="s">
        <v>228</v>
      </c>
      <c r="L836">
        <v>7</v>
      </c>
      <c r="M836">
        <v>479.2</v>
      </c>
      <c r="N836" s="3">
        <v>747</v>
      </c>
      <c r="O836" s="3" t="str">
        <f t="shared" si="54"/>
        <v>2017</v>
      </c>
      <c r="P836" s="2">
        <v>765</v>
      </c>
    </row>
    <row r="837" spans="1:24" x14ac:dyDescent="0.35">
      <c r="A837" s="3">
        <v>2023</v>
      </c>
      <c r="B837" s="3">
        <v>7</v>
      </c>
      <c r="C837" s="3">
        <v>19</v>
      </c>
      <c r="D837" s="2">
        <v>401</v>
      </c>
      <c r="E837" s="3" t="s">
        <v>867</v>
      </c>
      <c r="F837" s="3">
        <v>3</v>
      </c>
      <c r="G837" s="3" t="s">
        <v>41</v>
      </c>
      <c r="H837" s="3" t="str">
        <f t="shared" si="53"/>
        <v>2013</v>
      </c>
      <c r="I837" s="3">
        <v>10</v>
      </c>
      <c r="J837" s="69"/>
      <c r="K837" s="3" t="s">
        <v>49</v>
      </c>
      <c r="L837" s="3" t="s">
        <v>318</v>
      </c>
      <c r="M837" s="3">
        <v>371.6</v>
      </c>
      <c r="N837" s="3">
        <v>751</v>
      </c>
      <c r="O837" s="3" t="str">
        <f t="shared" si="54"/>
        <v>2011</v>
      </c>
      <c r="P837" s="2">
        <v>401</v>
      </c>
    </row>
    <row r="838" spans="1:24" x14ac:dyDescent="0.35">
      <c r="A838" s="3">
        <v>2024</v>
      </c>
      <c r="B838" s="3">
        <v>8</v>
      </c>
      <c r="C838" s="3">
        <v>5</v>
      </c>
      <c r="D838" s="2">
        <v>708</v>
      </c>
      <c r="E838" s="3" t="s">
        <v>242</v>
      </c>
      <c r="F838" s="3">
        <v>3</v>
      </c>
      <c r="G838" s="3" t="s">
        <v>20</v>
      </c>
      <c r="H838" s="3" t="str">
        <f t="shared" si="53"/>
        <v>2020</v>
      </c>
      <c r="I838" s="3">
        <v>4</v>
      </c>
      <c r="J838" s="69"/>
      <c r="K838" t="s">
        <v>64</v>
      </c>
      <c r="L838">
        <v>7</v>
      </c>
      <c r="M838">
        <v>558.1</v>
      </c>
      <c r="N838" s="3">
        <v>751</v>
      </c>
      <c r="O838" s="3" t="str">
        <f t="shared" si="54"/>
        <v>2018</v>
      </c>
      <c r="P838" s="2">
        <v>708</v>
      </c>
    </row>
    <row r="839" spans="1:24" x14ac:dyDescent="0.35">
      <c r="A839" s="3">
        <v>2017</v>
      </c>
      <c r="B839" s="3">
        <v>11</v>
      </c>
      <c r="C839" s="3">
        <v>9</v>
      </c>
      <c r="D839" s="2">
        <v>71</v>
      </c>
      <c r="E839" s="14" t="s">
        <v>516</v>
      </c>
      <c r="F839" s="15">
        <v>4</v>
      </c>
      <c r="G839" s="3" t="s">
        <v>45</v>
      </c>
      <c r="H839" s="3" t="str">
        <f t="shared" ref="H839:H878" si="55">IF(L839="A55","2009",IF(L839="A59","2009",IF(L839="A60","2010",IF(L839="A62","2011",IF(L839="CP","2013",IF(L839="MD","2012",IF(L839="TS","2013",IF(L839="DL","2018",IF(L839="SCU","2018",IF(L839="NCU","2018",IF(L839="C1C","2018",IF(L839="C1E","2018",IF(L839="RS1S","2018",IF(L839="C2B","2018",IF(L839="DB3","2018",IF(AND(L839=6,G839="SRS"),"2018",IF(AND(L839=7,G839="SRS"),"2020",IF(AND(L839=8,G839="SRS"),"2020",IF(L839=23,"2019",IF(AND(L839=7,G839="WCA 3B"),"2017",IF(AND(L839=8,G839="WCA 3B"),"2019",IF(L839=1,"2021",IF(L839=2,"2022",IF(L839=3,"2021",IF(L839=4,"2021",IF(L839=5,"2022",IF(AND(L839=6,G839="WCA 3A"),"2022",IF(L839=9,"2023",IF(L839=10,"2023",IF(L839=37,"2020"))))))))))))))))))))))))))))))</f>
        <v>2011</v>
      </c>
      <c r="I839" s="3">
        <v>6</v>
      </c>
      <c r="J839" s="69"/>
      <c r="K839" s="3" t="s">
        <v>317</v>
      </c>
      <c r="L839" s="3" t="s">
        <v>317</v>
      </c>
      <c r="M839" s="3">
        <v>444.8</v>
      </c>
      <c r="N839" s="3">
        <v>752</v>
      </c>
      <c r="O839" s="3" t="str">
        <f t="shared" si="54"/>
        <v>2007</v>
      </c>
      <c r="P839" s="2">
        <v>71</v>
      </c>
      <c r="V839">
        <v>3.07</v>
      </c>
    </row>
    <row r="840" spans="1:24" x14ac:dyDescent="0.35">
      <c r="A840" s="3">
        <v>2024</v>
      </c>
      <c r="B840" s="3">
        <v>8</v>
      </c>
      <c r="C840" s="3">
        <v>13</v>
      </c>
      <c r="D840" s="2">
        <v>710</v>
      </c>
      <c r="E840" s="3" t="s">
        <v>1125</v>
      </c>
      <c r="F840" s="3">
        <v>3</v>
      </c>
      <c r="G840" s="3" t="s">
        <v>225</v>
      </c>
      <c r="H840" s="3" t="str">
        <f t="shared" si="55"/>
        <v>2022</v>
      </c>
      <c r="I840" s="3">
        <v>2</v>
      </c>
      <c r="J840" s="69"/>
      <c r="K840" t="s">
        <v>1126</v>
      </c>
      <c r="L840">
        <v>2</v>
      </c>
      <c r="M840">
        <v>450.1</v>
      </c>
      <c r="N840" s="3">
        <v>755</v>
      </c>
      <c r="O840" s="3" t="str">
        <f t="shared" si="54"/>
        <v>2021</v>
      </c>
      <c r="P840" s="2">
        <v>710</v>
      </c>
    </row>
    <row r="841" spans="1:24" x14ac:dyDescent="0.35">
      <c r="A841" s="3">
        <v>2022</v>
      </c>
      <c r="B841" s="3">
        <v>11</v>
      </c>
      <c r="C841" s="3">
        <v>1</v>
      </c>
      <c r="D841" s="2">
        <v>371</v>
      </c>
      <c r="E841" s="3" t="s">
        <v>837</v>
      </c>
      <c r="F841" s="3">
        <v>4</v>
      </c>
      <c r="G841" s="3" t="s">
        <v>41</v>
      </c>
      <c r="H841" s="3" t="str">
        <f t="shared" si="55"/>
        <v>2013</v>
      </c>
      <c r="I841" s="3">
        <v>9</v>
      </c>
      <c r="J841" s="69"/>
      <c r="K841" s="3" t="s">
        <v>49</v>
      </c>
      <c r="L841" s="3" t="s">
        <v>318</v>
      </c>
      <c r="M841" s="3">
        <v>422.6</v>
      </c>
      <c r="N841" s="3">
        <v>756</v>
      </c>
      <c r="O841" s="3" t="str">
        <f t="shared" si="54"/>
        <v>2011</v>
      </c>
      <c r="P841" s="2">
        <v>371</v>
      </c>
    </row>
    <row r="842" spans="1:24" x14ac:dyDescent="0.35">
      <c r="A842" s="3">
        <v>2023</v>
      </c>
      <c r="B842" s="3">
        <v>7</v>
      </c>
      <c r="C842" s="3">
        <v>17</v>
      </c>
      <c r="D842" s="2">
        <v>386</v>
      </c>
      <c r="E842" s="3" t="s">
        <v>851</v>
      </c>
      <c r="F842" s="3">
        <v>3</v>
      </c>
      <c r="G842" s="3" t="s">
        <v>45</v>
      </c>
      <c r="H842" s="3" t="str">
        <f t="shared" si="55"/>
        <v>2011</v>
      </c>
      <c r="I842" s="3">
        <v>12</v>
      </c>
      <c r="J842" s="69"/>
      <c r="K842" s="3" t="s">
        <v>46</v>
      </c>
      <c r="L842" s="3" t="s">
        <v>317</v>
      </c>
      <c r="M842" s="3">
        <v>409.8</v>
      </c>
      <c r="N842" s="3">
        <v>757</v>
      </c>
      <c r="O842" s="3" t="str">
        <f t="shared" si="54"/>
        <v>2007</v>
      </c>
      <c r="P842" s="2">
        <v>386</v>
      </c>
    </row>
    <row r="843" spans="1:24" x14ac:dyDescent="0.35">
      <c r="A843" s="3">
        <v>2023</v>
      </c>
      <c r="B843" s="3">
        <v>11</v>
      </c>
      <c r="C843" s="3">
        <v>9</v>
      </c>
      <c r="D843" s="2">
        <v>549</v>
      </c>
      <c r="E843" s="3" t="s">
        <v>124</v>
      </c>
      <c r="F843" s="3">
        <v>4</v>
      </c>
      <c r="G843" s="3" t="s">
        <v>20</v>
      </c>
      <c r="H843" s="3" t="str">
        <f t="shared" si="55"/>
        <v>2020</v>
      </c>
      <c r="I843" s="3">
        <v>3</v>
      </c>
      <c r="J843" s="69"/>
      <c r="K843" t="s">
        <v>64</v>
      </c>
      <c r="L843">
        <v>7</v>
      </c>
      <c r="M843">
        <v>576.29999999999995</v>
      </c>
      <c r="N843" s="3">
        <v>757</v>
      </c>
      <c r="O843" s="3" t="str">
        <f t="shared" si="54"/>
        <v>2018</v>
      </c>
      <c r="P843" s="2">
        <v>549</v>
      </c>
    </row>
    <row r="844" spans="1:24" x14ac:dyDescent="0.35">
      <c r="A844" s="3" t="s">
        <v>28</v>
      </c>
      <c r="B844" s="3" t="s">
        <v>28</v>
      </c>
      <c r="C844" s="3" t="s">
        <v>28</v>
      </c>
      <c r="D844" s="2">
        <v>448</v>
      </c>
      <c r="E844" s="3" t="s">
        <v>907</v>
      </c>
      <c r="F844" s="3" t="s">
        <v>28</v>
      </c>
      <c r="G844" s="3" t="s">
        <v>28</v>
      </c>
      <c r="H844" s="3" t="b">
        <f t="shared" si="55"/>
        <v>0</v>
      </c>
      <c r="I844" s="3" t="e">
        <v>#VALUE!</v>
      </c>
      <c r="J844" s="69"/>
      <c r="K844" s="3" t="s">
        <v>28</v>
      </c>
      <c r="L844" s="3" t="s">
        <v>28</v>
      </c>
      <c r="M844" s="3">
        <v>517.70000000000005</v>
      </c>
      <c r="N844" s="3">
        <v>761</v>
      </c>
      <c r="O844" s="3" t="b">
        <f t="shared" si="54"/>
        <v>0</v>
      </c>
      <c r="P844" s="2">
        <v>448</v>
      </c>
    </row>
    <row r="845" spans="1:24" x14ac:dyDescent="0.35">
      <c r="A845" s="3">
        <v>2019</v>
      </c>
      <c r="B845" s="3">
        <v>2</v>
      </c>
      <c r="C845" s="3">
        <v>21</v>
      </c>
      <c r="D845" s="2">
        <v>157</v>
      </c>
      <c r="E845" s="3" t="s">
        <v>603</v>
      </c>
      <c r="F845" s="3">
        <v>1</v>
      </c>
      <c r="G845" s="3" t="s">
        <v>45</v>
      </c>
      <c r="H845" s="3" t="str">
        <f t="shared" si="55"/>
        <v>2011</v>
      </c>
      <c r="I845" s="3">
        <v>8</v>
      </c>
      <c r="J845" s="69"/>
      <c r="K845" s="3" t="s">
        <v>602</v>
      </c>
      <c r="L845" s="3" t="s">
        <v>317</v>
      </c>
      <c r="M845" s="3">
        <v>540.5</v>
      </c>
      <c r="N845" s="3">
        <v>770</v>
      </c>
      <c r="O845" s="3" t="str">
        <f t="shared" si="54"/>
        <v>2007</v>
      </c>
      <c r="P845" s="2">
        <v>157</v>
      </c>
      <c r="X845">
        <v>3.61</v>
      </c>
    </row>
    <row r="846" spans="1:24" x14ac:dyDescent="0.35">
      <c r="A846" s="3">
        <v>2024</v>
      </c>
      <c r="B846" s="3">
        <v>4</v>
      </c>
      <c r="C846" s="3">
        <v>1</v>
      </c>
      <c r="D846" s="2">
        <v>689</v>
      </c>
      <c r="E846" s="3" t="s">
        <v>103</v>
      </c>
      <c r="F846" s="3">
        <v>2</v>
      </c>
      <c r="G846" s="3" t="s">
        <v>20</v>
      </c>
      <c r="H846" s="3" t="str">
        <f t="shared" si="55"/>
        <v>2020</v>
      </c>
      <c r="I846" s="3">
        <v>4</v>
      </c>
      <c r="J846" s="69"/>
      <c r="K846" t="s">
        <v>73</v>
      </c>
      <c r="L846">
        <v>37</v>
      </c>
      <c r="M846">
        <v>542.5</v>
      </c>
      <c r="N846" s="3">
        <v>770</v>
      </c>
      <c r="O846" s="3" t="str">
        <f t="shared" si="54"/>
        <v>2018</v>
      </c>
      <c r="P846" s="2">
        <v>689</v>
      </c>
    </row>
    <row r="847" spans="1:24" x14ac:dyDescent="0.35">
      <c r="A847" s="3">
        <v>2018</v>
      </c>
      <c r="B847" s="3">
        <v>8</v>
      </c>
      <c r="C847" s="3">
        <v>15</v>
      </c>
      <c r="D847" s="2">
        <v>304</v>
      </c>
      <c r="E847" s="3" t="s">
        <v>770</v>
      </c>
      <c r="F847" s="3">
        <v>3</v>
      </c>
      <c r="G847" s="3" t="s">
        <v>41</v>
      </c>
      <c r="H847" s="3" t="str">
        <f t="shared" si="55"/>
        <v>2013</v>
      </c>
      <c r="I847" s="3">
        <v>5</v>
      </c>
      <c r="J847" s="69"/>
      <c r="K847" s="3" t="s">
        <v>49</v>
      </c>
      <c r="L847" s="3" t="s">
        <v>318</v>
      </c>
      <c r="M847" s="3">
        <v>465.5</v>
      </c>
      <c r="N847" s="3">
        <v>775</v>
      </c>
      <c r="O847" s="3" t="str">
        <f t="shared" si="54"/>
        <v>2011</v>
      </c>
      <c r="P847" s="2">
        <v>304</v>
      </c>
    </row>
    <row r="848" spans="1:24" x14ac:dyDescent="0.35">
      <c r="A848" s="3">
        <v>2022</v>
      </c>
      <c r="B848" s="3">
        <v>11</v>
      </c>
      <c r="C848" s="3">
        <v>1</v>
      </c>
      <c r="D848" s="2">
        <v>363</v>
      </c>
      <c r="E848" s="3" t="s">
        <v>829</v>
      </c>
      <c r="F848" s="3">
        <v>4</v>
      </c>
      <c r="G848" s="3" t="s">
        <v>41</v>
      </c>
      <c r="H848" s="3" t="str">
        <f t="shared" si="55"/>
        <v>2013</v>
      </c>
      <c r="I848" s="3">
        <v>9</v>
      </c>
      <c r="J848" s="69"/>
      <c r="K848" s="3" t="s">
        <v>669</v>
      </c>
      <c r="L848" s="3" t="s">
        <v>458</v>
      </c>
      <c r="M848" s="3">
        <v>510.2</v>
      </c>
      <c r="N848" s="3">
        <v>775</v>
      </c>
      <c r="O848" s="3" t="str">
        <f t="shared" si="54"/>
        <v>2011</v>
      </c>
      <c r="P848" s="2">
        <v>363</v>
      </c>
    </row>
    <row r="849" spans="1:23" x14ac:dyDescent="0.35">
      <c r="A849" s="3">
        <v>2024</v>
      </c>
      <c r="B849" s="3">
        <v>1</v>
      </c>
      <c r="C849" s="3">
        <v>22</v>
      </c>
      <c r="D849" s="2">
        <v>587</v>
      </c>
      <c r="E849" s="3" t="s">
        <v>1032</v>
      </c>
      <c r="F849" s="3">
        <v>1</v>
      </c>
      <c r="G849" s="3" t="s">
        <v>20</v>
      </c>
      <c r="H849" s="3" t="str">
        <f t="shared" si="55"/>
        <v>2020</v>
      </c>
      <c r="I849" s="3">
        <v>4</v>
      </c>
      <c r="J849" s="69"/>
      <c r="K849" t="s">
        <v>73</v>
      </c>
      <c r="L849">
        <v>37</v>
      </c>
      <c r="M849">
        <v>527.6</v>
      </c>
      <c r="N849" s="3">
        <v>776</v>
      </c>
      <c r="O849" s="3" t="str">
        <f t="shared" si="54"/>
        <v>2018</v>
      </c>
      <c r="P849" s="2">
        <v>587</v>
      </c>
    </row>
    <row r="850" spans="1:23" x14ac:dyDescent="0.35">
      <c r="A850" s="3">
        <v>2016</v>
      </c>
      <c r="B850" s="3">
        <v>11</v>
      </c>
      <c r="C850" s="3">
        <v>8</v>
      </c>
      <c r="D850" s="2">
        <v>191</v>
      </c>
      <c r="E850" s="3" t="s">
        <v>642</v>
      </c>
      <c r="F850" s="3">
        <v>4</v>
      </c>
      <c r="G850" s="3" t="s">
        <v>45</v>
      </c>
      <c r="H850" s="3" t="str">
        <f t="shared" si="55"/>
        <v>2011</v>
      </c>
      <c r="I850" s="3">
        <v>5</v>
      </c>
      <c r="J850" s="69"/>
      <c r="K850" s="3" t="s">
        <v>46</v>
      </c>
      <c r="L850" s="3" t="s">
        <v>317</v>
      </c>
      <c r="M850" s="3">
        <v>688.2</v>
      </c>
      <c r="N850" s="3">
        <v>780</v>
      </c>
      <c r="O850" s="3" t="str">
        <f t="shared" si="54"/>
        <v>2007</v>
      </c>
      <c r="P850" s="2">
        <v>191</v>
      </c>
    </row>
    <row r="851" spans="1:23" x14ac:dyDescent="0.35">
      <c r="A851" s="3">
        <v>2024</v>
      </c>
      <c r="B851" s="3">
        <v>1</v>
      </c>
      <c r="C851" s="3">
        <v>17</v>
      </c>
      <c r="D851" s="2">
        <v>608</v>
      </c>
      <c r="E851" s="3" t="s">
        <v>1050</v>
      </c>
      <c r="F851" s="3">
        <v>1</v>
      </c>
      <c r="G851" s="3" t="s">
        <v>41</v>
      </c>
      <c r="H851" s="3" t="str">
        <f t="shared" si="55"/>
        <v>2013</v>
      </c>
      <c r="I851" s="3">
        <v>11</v>
      </c>
      <c r="J851" s="69"/>
      <c r="K851" t="s">
        <v>583</v>
      </c>
      <c r="L851" s="3" t="s">
        <v>318</v>
      </c>
      <c r="M851">
        <v>522.5</v>
      </c>
      <c r="N851" s="3">
        <v>780</v>
      </c>
      <c r="O851" s="3" t="str">
        <f t="shared" si="54"/>
        <v>2011</v>
      </c>
      <c r="P851" s="2">
        <v>608</v>
      </c>
    </row>
    <row r="852" spans="1:23" x14ac:dyDescent="0.35">
      <c r="A852" s="3">
        <v>2011</v>
      </c>
      <c r="B852" s="3">
        <v>11</v>
      </c>
      <c r="C852" s="3">
        <v>14</v>
      </c>
      <c r="D852" s="2">
        <v>611</v>
      </c>
      <c r="E852" s="3" t="s">
        <v>133</v>
      </c>
      <c r="F852" s="3">
        <v>4</v>
      </c>
      <c r="G852" s="3" t="s">
        <v>45</v>
      </c>
      <c r="H852" s="3" t="str">
        <f t="shared" si="55"/>
        <v>2009</v>
      </c>
      <c r="I852" s="3">
        <v>2</v>
      </c>
      <c r="J852" s="69"/>
      <c r="K852" t="s">
        <v>671</v>
      </c>
      <c r="L852" s="3" t="s">
        <v>512</v>
      </c>
      <c r="M852">
        <v>597.79999999999995</v>
      </c>
      <c r="N852" s="3">
        <v>780</v>
      </c>
      <c r="O852" s="3" t="str">
        <f t="shared" si="54"/>
        <v>2007</v>
      </c>
      <c r="P852" s="2">
        <v>611</v>
      </c>
    </row>
    <row r="853" spans="1:23" x14ac:dyDescent="0.35">
      <c r="A853" s="3">
        <v>2022</v>
      </c>
      <c r="B853" s="3">
        <v>11</v>
      </c>
      <c r="C853" s="3">
        <v>1</v>
      </c>
      <c r="D853" s="2">
        <v>372</v>
      </c>
      <c r="E853" s="3" t="s">
        <v>838</v>
      </c>
      <c r="F853" s="3">
        <v>4</v>
      </c>
      <c r="G853" s="3" t="s">
        <v>41</v>
      </c>
      <c r="H853" s="3" t="str">
        <f t="shared" si="55"/>
        <v>2013</v>
      </c>
      <c r="I853" s="3">
        <v>9</v>
      </c>
      <c r="J853" s="69"/>
      <c r="K853" s="3" t="s">
        <v>42</v>
      </c>
      <c r="L853" s="3" t="s">
        <v>318</v>
      </c>
      <c r="M853" s="3">
        <v>439.7</v>
      </c>
      <c r="N853" s="3">
        <v>781</v>
      </c>
      <c r="O853" s="3" t="str">
        <f t="shared" si="54"/>
        <v>2011</v>
      </c>
      <c r="P853" s="2">
        <v>372</v>
      </c>
    </row>
    <row r="854" spans="1:23" x14ac:dyDescent="0.35">
      <c r="A854" s="3">
        <v>2024</v>
      </c>
      <c r="B854" s="3">
        <v>8</v>
      </c>
      <c r="C854" s="3">
        <v>9</v>
      </c>
      <c r="D854" s="2">
        <v>713</v>
      </c>
      <c r="E854" s="3" t="s">
        <v>1129</v>
      </c>
      <c r="F854" s="3">
        <v>3</v>
      </c>
      <c r="G854" s="3" t="s">
        <v>41</v>
      </c>
      <c r="H854" s="3" t="str">
        <f t="shared" si="55"/>
        <v>2013</v>
      </c>
      <c r="I854" s="3">
        <v>11</v>
      </c>
      <c r="J854" s="69"/>
      <c r="K854" t="s">
        <v>42</v>
      </c>
      <c r="L854" t="s">
        <v>318</v>
      </c>
      <c r="M854">
        <v>454.7</v>
      </c>
      <c r="N854" s="3">
        <v>782</v>
      </c>
      <c r="O854" s="3" t="str">
        <f t="shared" si="54"/>
        <v>2011</v>
      </c>
      <c r="P854" s="2">
        <v>713</v>
      </c>
      <c r="T854">
        <v>4.1900000000000004</v>
      </c>
    </row>
    <row r="855" spans="1:23" x14ac:dyDescent="0.35">
      <c r="A855" s="3">
        <v>2016</v>
      </c>
      <c r="B855" s="3">
        <v>9</v>
      </c>
      <c r="C855" s="3">
        <v>1</v>
      </c>
      <c r="D855" s="2">
        <v>246</v>
      </c>
      <c r="E855" s="3" t="s">
        <v>704</v>
      </c>
      <c r="F855" s="3">
        <v>3</v>
      </c>
      <c r="G855" s="3" t="s">
        <v>41</v>
      </c>
      <c r="H855" s="3" t="str">
        <f t="shared" si="55"/>
        <v>2012</v>
      </c>
      <c r="I855" s="3">
        <v>4</v>
      </c>
      <c r="J855" s="69"/>
      <c r="K855" s="3" t="s">
        <v>544</v>
      </c>
      <c r="L855" s="3" t="s">
        <v>461</v>
      </c>
      <c r="M855" s="3">
        <v>480.5</v>
      </c>
      <c r="N855" s="3">
        <v>784</v>
      </c>
      <c r="O855" s="3" t="str">
        <f t="shared" si="54"/>
        <v>2011</v>
      </c>
      <c r="P855" s="2">
        <v>246</v>
      </c>
    </row>
    <row r="856" spans="1:23" x14ac:dyDescent="0.35">
      <c r="A856" s="3">
        <v>2023</v>
      </c>
      <c r="B856" s="3">
        <v>2</v>
      </c>
      <c r="C856" s="3">
        <v>13</v>
      </c>
      <c r="D856" s="2">
        <v>153</v>
      </c>
      <c r="E856" s="3" t="s">
        <v>598</v>
      </c>
      <c r="F856" s="3">
        <v>1</v>
      </c>
      <c r="G856" s="3" t="s">
        <v>41</v>
      </c>
      <c r="H856" s="3" t="str">
        <f t="shared" si="55"/>
        <v>2012</v>
      </c>
      <c r="I856" s="3">
        <v>11</v>
      </c>
      <c r="J856" s="69"/>
      <c r="K856" s="3" t="s">
        <v>461</v>
      </c>
      <c r="L856" s="3" t="s">
        <v>461</v>
      </c>
      <c r="M856" s="3">
        <v>519.79999999999995</v>
      </c>
      <c r="N856" s="3">
        <v>785</v>
      </c>
      <c r="O856" s="3" t="str">
        <f t="shared" si="54"/>
        <v>2011</v>
      </c>
      <c r="P856" s="2">
        <v>153</v>
      </c>
      <c r="S856">
        <v>4.59</v>
      </c>
    </row>
    <row r="857" spans="1:23" x14ac:dyDescent="0.35">
      <c r="A857" s="3">
        <v>2023</v>
      </c>
      <c r="B857" s="3">
        <v>2</v>
      </c>
      <c r="C857" s="3">
        <v>13</v>
      </c>
      <c r="D857" s="2">
        <v>153</v>
      </c>
      <c r="E857" s="3" t="s">
        <v>598</v>
      </c>
      <c r="F857" s="3">
        <v>1</v>
      </c>
      <c r="G857" s="3" t="s">
        <v>41</v>
      </c>
      <c r="H857" s="3" t="str">
        <f t="shared" si="55"/>
        <v>2012</v>
      </c>
      <c r="I857" s="3">
        <v>11</v>
      </c>
      <c r="J857" s="69"/>
      <c r="K857" s="3" t="s">
        <v>461</v>
      </c>
      <c r="L857" s="3" t="s">
        <v>461</v>
      </c>
      <c r="M857" s="3">
        <v>519.79999999999995</v>
      </c>
      <c r="N857" s="3">
        <v>785</v>
      </c>
      <c r="O857" s="3" t="str">
        <f t="shared" si="54"/>
        <v>2011</v>
      </c>
      <c r="P857" s="2">
        <v>153</v>
      </c>
      <c r="S857">
        <v>3.84</v>
      </c>
    </row>
    <row r="858" spans="1:23" x14ac:dyDescent="0.35">
      <c r="A858" s="3">
        <v>2018</v>
      </c>
      <c r="B858" s="3">
        <v>8</v>
      </c>
      <c r="C858" s="3">
        <v>15</v>
      </c>
      <c r="D858" s="2">
        <v>309</v>
      </c>
      <c r="E858" s="3" t="s">
        <v>775</v>
      </c>
      <c r="F858" s="3">
        <v>3</v>
      </c>
      <c r="G858" s="3" t="s">
        <v>41</v>
      </c>
      <c r="H858" s="3" t="str">
        <f t="shared" si="55"/>
        <v>2013</v>
      </c>
      <c r="I858" s="3">
        <v>5</v>
      </c>
      <c r="J858" s="69"/>
      <c r="K858" s="3" t="s">
        <v>49</v>
      </c>
      <c r="L858" s="3" t="s">
        <v>318</v>
      </c>
      <c r="M858" s="3">
        <v>568.5</v>
      </c>
      <c r="N858" s="3">
        <v>785</v>
      </c>
      <c r="O858" s="3" t="str">
        <f t="shared" si="54"/>
        <v>2011</v>
      </c>
      <c r="P858" s="2">
        <v>309</v>
      </c>
    </row>
    <row r="859" spans="1:23" x14ac:dyDescent="0.35">
      <c r="A859" s="3">
        <v>2019</v>
      </c>
      <c r="B859" s="3">
        <v>2</v>
      </c>
      <c r="C859" s="3">
        <v>20</v>
      </c>
      <c r="D859" s="2">
        <v>163</v>
      </c>
      <c r="E859" s="3" t="s">
        <v>611</v>
      </c>
      <c r="F859" s="3">
        <v>1</v>
      </c>
      <c r="G859" s="3" t="s">
        <v>45</v>
      </c>
      <c r="H859" s="3" t="str">
        <f t="shared" si="55"/>
        <v>2011</v>
      </c>
      <c r="I859" s="3">
        <v>8</v>
      </c>
      <c r="J859" s="69"/>
      <c r="K859" s="3" t="s">
        <v>610</v>
      </c>
      <c r="L859" s="3" t="s">
        <v>317</v>
      </c>
      <c r="M859" s="3">
        <v>603.1</v>
      </c>
      <c r="N859" s="3">
        <v>786</v>
      </c>
      <c r="O859" s="3" t="str">
        <f t="shared" si="54"/>
        <v>2007</v>
      </c>
      <c r="P859" s="2">
        <v>163</v>
      </c>
    </row>
    <row r="860" spans="1:23" x14ac:dyDescent="0.35">
      <c r="A860" s="3">
        <v>2022</v>
      </c>
      <c r="B860" s="3">
        <v>11</v>
      </c>
      <c r="C860" s="3">
        <v>1</v>
      </c>
      <c r="D860" s="2">
        <v>406</v>
      </c>
      <c r="E860" s="3" t="s">
        <v>870</v>
      </c>
      <c r="F860" s="3">
        <v>4</v>
      </c>
      <c r="G860" s="3" t="s">
        <v>41</v>
      </c>
      <c r="H860" s="3" t="str">
        <f t="shared" si="55"/>
        <v>2013</v>
      </c>
      <c r="I860" s="3">
        <v>9</v>
      </c>
      <c r="J860" s="69"/>
      <c r="K860" s="3" t="s">
        <v>509</v>
      </c>
      <c r="L860" s="3" t="s">
        <v>458</v>
      </c>
      <c r="M860" s="3">
        <v>37.5</v>
      </c>
      <c r="N860" s="3">
        <v>790</v>
      </c>
      <c r="O860" s="3" t="str">
        <f t="shared" si="54"/>
        <v>2011</v>
      </c>
      <c r="P860" s="2">
        <v>406</v>
      </c>
    </row>
    <row r="861" spans="1:23" x14ac:dyDescent="0.35">
      <c r="A861" s="3">
        <v>2024</v>
      </c>
      <c r="B861" s="3">
        <v>1</v>
      </c>
      <c r="C861" s="3">
        <v>17</v>
      </c>
      <c r="D861" s="2">
        <v>585</v>
      </c>
      <c r="E861" s="3" t="s">
        <v>1029</v>
      </c>
      <c r="F861" s="3">
        <v>1</v>
      </c>
      <c r="G861" s="3" t="s">
        <v>41</v>
      </c>
      <c r="H861" s="3" t="str">
        <f t="shared" si="55"/>
        <v>2013</v>
      </c>
      <c r="I861" s="3">
        <v>11</v>
      </c>
      <c r="J861" s="69"/>
      <c r="K861" t="s">
        <v>583</v>
      </c>
      <c r="L861" s="3" t="s">
        <v>318</v>
      </c>
      <c r="M861">
        <v>554.1</v>
      </c>
      <c r="N861" s="3">
        <v>794</v>
      </c>
      <c r="O861" s="3" t="str">
        <f t="shared" si="54"/>
        <v>2011</v>
      </c>
      <c r="P861" s="2">
        <v>585</v>
      </c>
      <c r="W861">
        <v>5.93</v>
      </c>
    </row>
    <row r="862" spans="1:23" x14ac:dyDescent="0.35">
      <c r="A862" s="3">
        <v>2024</v>
      </c>
      <c r="B862" s="3">
        <v>8</v>
      </c>
      <c r="C862" s="3">
        <v>9</v>
      </c>
      <c r="D862" s="2">
        <v>712</v>
      </c>
      <c r="E862" s="3" t="s">
        <v>1128</v>
      </c>
      <c r="F862" s="3">
        <v>3</v>
      </c>
      <c r="G862" s="3" t="s">
        <v>41</v>
      </c>
      <c r="H862" s="3" t="str">
        <f t="shared" si="55"/>
        <v>2013</v>
      </c>
      <c r="I862" s="3">
        <v>11</v>
      </c>
      <c r="J862" s="69"/>
      <c r="K862" t="s">
        <v>42</v>
      </c>
      <c r="L862" t="s">
        <v>318</v>
      </c>
      <c r="M862">
        <v>537.70000000000005</v>
      </c>
      <c r="N862" s="3">
        <v>794</v>
      </c>
      <c r="O862" s="3" t="str">
        <f t="shared" si="54"/>
        <v>2011</v>
      </c>
      <c r="P862" s="2">
        <v>712</v>
      </c>
    </row>
    <row r="863" spans="1:23" x14ac:dyDescent="0.35">
      <c r="A863" s="3">
        <v>2024</v>
      </c>
      <c r="B863" s="3">
        <v>8</v>
      </c>
      <c r="C863" s="3">
        <v>15</v>
      </c>
      <c r="D863" s="2">
        <v>738</v>
      </c>
      <c r="E863" s="3" t="s">
        <v>1147</v>
      </c>
      <c r="F863" s="3">
        <v>3</v>
      </c>
      <c r="G863" s="3" t="s">
        <v>225</v>
      </c>
      <c r="H863" s="3" t="str">
        <f t="shared" si="55"/>
        <v>2021</v>
      </c>
      <c r="I863" s="3">
        <v>3</v>
      </c>
      <c r="J863" s="69"/>
      <c r="K863">
        <v>3</v>
      </c>
      <c r="L863">
        <v>3</v>
      </c>
      <c r="M863">
        <v>723.2</v>
      </c>
      <c r="N863" s="3">
        <v>795</v>
      </c>
      <c r="O863" s="3" t="str">
        <f t="shared" si="54"/>
        <v>2021</v>
      </c>
      <c r="P863" s="2">
        <v>738</v>
      </c>
    </row>
    <row r="864" spans="1:23" x14ac:dyDescent="0.35">
      <c r="A864" s="3">
        <v>2016</v>
      </c>
      <c r="B864" s="3">
        <v>9</v>
      </c>
      <c r="C864" s="3">
        <v>1</v>
      </c>
      <c r="D864" s="2">
        <v>262</v>
      </c>
      <c r="E864" s="3" t="s">
        <v>723</v>
      </c>
      <c r="F864" s="3">
        <v>3</v>
      </c>
      <c r="G864" s="3" t="s">
        <v>45</v>
      </c>
      <c r="H864" s="3" t="str">
        <f t="shared" si="55"/>
        <v>2011</v>
      </c>
      <c r="I864" s="3">
        <v>5</v>
      </c>
      <c r="J864" s="69"/>
      <c r="K864" s="3" t="s">
        <v>718</v>
      </c>
      <c r="L864" s="3" t="s">
        <v>317</v>
      </c>
      <c r="M864" s="3">
        <v>569.79999999999995</v>
      </c>
      <c r="N864" s="3">
        <v>799</v>
      </c>
      <c r="O864" s="3" t="str">
        <f t="shared" si="54"/>
        <v>2007</v>
      </c>
      <c r="P864" s="2">
        <v>262</v>
      </c>
    </row>
    <row r="865" spans="1:24" x14ac:dyDescent="0.35">
      <c r="A865" s="3">
        <v>2023</v>
      </c>
      <c r="B865" s="3">
        <v>7</v>
      </c>
      <c r="C865" s="3">
        <v>17</v>
      </c>
      <c r="D865" s="2">
        <v>387</v>
      </c>
      <c r="E865" s="3" t="s">
        <v>852</v>
      </c>
      <c r="F865" s="3">
        <v>3</v>
      </c>
      <c r="G865" s="3" t="s">
        <v>45</v>
      </c>
      <c r="H865" s="3" t="str">
        <f t="shared" si="55"/>
        <v>2011</v>
      </c>
      <c r="I865" s="3">
        <v>12</v>
      </c>
      <c r="J865" s="69"/>
      <c r="K865" s="3" t="s">
        <v>632</v>
      </c>
      <c r="L865" s="3" t="s">
        <v>317</v>
      </c>
      <c r="M865" s="3">
        <v>48.5</v>
      </c>
      <c r="N865" s="3">
        <v>799</v>
      </c>
      <c r="O865" s="3" t="str">
        <f t="shared" si="54"/>
        <v>2007</v>
      </c>
      <c r="P865" s="2">
        <v>387</v>
      </c>
    </row>
    <row r="866" spans="1:24" x14ac:dyDescent="0.35">
      <c r="A866" s="3">
        <v>2018</v>
      </c>
      <c r="B866" s="3">
        <v>8</v>
      </c>
      <c r="C866" s="3">
        <v>16</v>
      </c>
      <c r="D866" s="2">
        <v>335</v>
      </c>
      <c r="E866" s="3" t="s">
        <v>801</v>
      </c>
      <c r="F866" s="3">
        <v>3</v>
      </c>
      <c r="G866" s="3" t="s">
        <v>41</v>
      </c>
      <c r="H866" s="3" t="str">
        <f t="shared" si="55"/>
        <v>2013</v>
      </c>
      <c r="I866" s="3">
        <v>5</v>
      </c>
      <c r="J866" s="69"/>
      <c r="K866" s="3" t="s">
        <v>583</v>
      </c>
      <c r="L866" s="3" t="s">
        <v>318</v>
      </c>
      <c r="M866" s="3">
        <v>613.4</v>
      </c>
      <c r="N866" s="3">
        <v>805</v>
      </c>
      <c r="O866" s="3" t="str">
        <f t="shared" si="54"/>
        <v>2011</v>
      </c>
      <c r="P866" s="2">
        <v>335</v>
      </c>
      <c r="X866">
        <v>4.38</v>
      </c>
    </row>
    <row r="867" spans="1:24" x14ac:dyDescent="0.35">
      <c r="A867" s="3">
        <v>2024</v>
      </c>
      <c r="B867" s="3">
        <v>8</v>
      </c>
      <c r="C867" s="3">
        <v>5</v>
      </c>
      <c r="D867" s="2">
        <v>709</v>
      </c>
      <c r="E867" s="3" t="s">
        <v>243</v>
      </c>
      <c r="F867" s="3">
        <v>3</v>
      </c>
      <c r="G867" s="3" t="s">
        <v>20</v>
      </c>
      <c r="H867" s="3" t="str">
        <f t="shared" si="55"/>
        <v>2020</v>
      </c>
      <c r="I867" s="3">
        <v>4</v>
      </c>
      <c r="J867" s="69"/>
      <c r="K867" t="s">
        <v>64</v>
      </c>
      <c r="L867">
        <v>7</v>
      </c>
      <c r="M867">
        <v>596.70000000000005</v>
      </c>
      <c r="N867" s="3">
        <v>810</v>
      </c>
      <c r="O867" s="3" t="str">
        <f t="shared" si="54"/>
        <v>2018</v>
      </c>
      <c r="P867" s="2">
        <v>709</v>
      </c>
    </row>
    <row r="868" spans="1:24" x14ac:dyDescent="0.35">
      <c r="A868" s="3">
        <v>2023</v>
      </c>
      <c r="B868" s="3">
        <v>2</v>
      </c>
      <c r="C868" s="3">
        <v>13</v>
      </c>
      <c r="D868" s="2">
        <v>154</v>
      </c>
      <c r="E868" s="3" t="s">
        <v>599</v>
      </c>
      <c r="F868" s="3">
        <v>1</v>
      </c>
      <c r="G868" s="3" t="s">
        <v>41</v>
      </c>
      <c r="H868" s="3" t="str">
        <f t="shared" si="55"/>
        <v>2012</v>
      </c>
      <c r="I868" s="3">
        <v>11</v>
      </c>
      <c r="J868" s="69"/>
      <c r="K868" s="3" t="s">
        <v>461</v>
      </c>
      <c r="L868" s="3" t="s">
        <v>461</v>
      </c>
      <c r="M868" s="3">
        <v>567.79999999999995</v>
      </c>
      <c r="N868" s="3">
        <v>812</v>
      </c>
      <c r="O868" s="3" t="str">
        <f t="shared" si="54"/>
        <v>2011</v>
      </c>
      <c r="P868" s="2">
        <v>154</v>
      </c>
    </row>
    <row r="869" spans="1:24" x14ac:dyDescent="0.35">
      <c r="A869" s="3">
        <v>2023</v>
      </c>
      <c r="B869" s="3">
        <v>11</v>
      </c>
      <c r="C869" s="3">
        <v>7</v>
      </c>
      <c r="D869" s="2">
        <v>519</v>
      </c>
      <c r="E869" s="3" t="s">
        <v>971</v>
      </c>
      <c r="F869" s="3">
        <v>4</v>
      </c>
      <c r="G869" s="3" t="s">
        <v>41</v>
      </c>
      <c r="H869" s="3" t="str">
        <f t="shared" si="55"/>
        <v>2013</v>
      </c>
      <c r="I869" s="3">
        <v>10</v>
      </c>
      <c r="J869" s="69"/>
      <c r="K869" s="3" t="s">
        <v>583</v>
      </c>
      <c r="L869" s="3" t="s">
        <v>318</v>
      </c>
      <c r="M869" s="3">
        <v>530.20000000000005</v>
      </c>
      <c r="N869" s="3">
        <v>815</v>
      </c>
      <c r="O869" s="3" t="str">
        <f t="shared" si="54"/>
        <v>2011</v>
      </c>
      <c r="P869" s="2">
        <v>519</v>
      </c>
    </row>
    <row r="870" spans="1:24" x14ac:dyDescent="0.35">
      <c r="A870" s="3">
        <v>2024</v>
      </c>
      <c r="B870" s="3">
        <v>3</v>
      </c>
      <c r="C870" s="3">
        <v>14</v>
      </c>
      <c r="D870" s="2">
        <v>694</v>
      </c>
      <c r="E870" s="3" t="s">
        <v>1113</v>
      </c>
      <c r="F870" s="3">
        <v>2</v>
      </c>
      <c r="G870" s="3" t="s">
        <v>20</v>
      </c>
      <c r="H870" s="3" t="str">
        <f t="shared" si="55"/>
        <v>2019</v>
      </c>
      <c r="I870" s="3">
        <v>5</v>
      </c>
      <c r="J870" s="69"/>
      <c r="K870" t="s">
        <v>232</v>
      </c>
      <c r="L870">
        <v>23</v>
      </c>
      <c r="M870">
        <v>725</v>
      </c>
      <c r="N870" s="3">
        <v>815</v>
      </c>
      <c r="O870" s="3" t="str">
        <f t="shared" si="54"/>
        <v>2018</v>
      </c>
      <c r="P870" s="2">
        <v>694</v>
      </c>
    </row>
    <row r="871" spans="1:24" x14ac:dyDescent="0.35">
      <c r="A871" s="3">
        <v>2016</v>
      </c>
      <c r="B871" s="3">
        <v>11</v>
      </c>
      <c r="C871" s="3">
        <v>7</v>
      </c>
      <c r="D871" s="2">
        <v>207</v>
      </c>
      <c r="E871" s="3" t="s">
        <v>661</v>
      </c>
      <c r="F871" s="3">
        <v>4</v>
      </c>
      <c r="G871" s="3" t="s">
        <v>45</v>
      </c>
      <c r="H871" s="3" t="str">
        <f t="shared" si="55"/>
        <v>2009</v>
      </c>
      <c r="I871" s="3">
        <v>7</v>
      </c>
      <c r="J871" s="69"/>
      <c r="K871" s="3" t="s">
        <v>662</v>
      </c>
      <c r="L871" s="3" t="s">
        <v>488</v>
      </c>
      <c r="M871" s="3">
        <v>568.4</v>
      </c>
      <c r="N871" s="3">
        <v>820</v>
      </c>
      <c r="O871" s="3" t="str">
        <f t="shared" si="54"/>
        <v>2007</v>
      </c>
      <c r="P871" s="2">
        <v>207</v>
      </c>
    </row>
    <row r="872" spans="1:24" x14ac:dyDescent="0.35">
      <c r="A872" s="3">
        <v>2018</v>
      </c>
      <c r="B872" s="3">
        <v>8</v>
      </c>
      <c r="C872" s="3">
        <v>16</v>
      </c>
      <c r="D872" s="2">
        <v>336</v>
      </c>
      <c r="E872" s="3" t="s">
        <v>802</v>
      </c>
      <c r="F872" s="3">
        <v>3</v>
      </c>
      <c r="G872" s="3" t="s">
        <v>41</v>
      </c>
      <c r="H872" s="3" t="str">
        <f t="shared" si="55"/>
        <v>2013</v>
      </c>
      <c r="I872" s="3">
        <v>5</v>
      </c>
      <c r="J872" s="69"/>
      <c r="K872" s="3" t="s">
        <v>583</v>
      </c>
      <c r="L872" s="3" t="s">
        <v>318</v>
      </c>
      <c r="M872" s="3">
        <v>550.29999999999995</v>
      </c>
      <c r="N872" s="3">
        <v>823</v>
      </c>
      <c r="O872" s="3" t="str">
        <f t="shared" si="54"/>
        <v>2011</v>
      </c>
      <c r="P872" s="2">
        <v>336</v>
      </c>
    </row>
    <row r="873" spans="1:24" x14ac:dyDescent="0.35">
      <c r="A873" s="3">
        <v>2019</v>
      </c>
      <c r="B873" s="3">
        <v>2</v>
      </c>
      <c r="C873" s="3">
        <v>18</v>
      </c>
      <c r="D873" s="2">
        <v>175</v>
      </c>
      <c r="E873" s="3" t="s">
        <v>625</v>
      </c>
      <c r="F873" s="3">
        <v>1</v>
      </c>
      <c r="G873" s="3" t="s">
        <v>41</v>
      </c>
      <c r="H873" s="3" t="str">
        <f t="shared" si="55"/>
        <v>2013</v>
      </c>
      <c r="I873" s="3">
        <v>6</v>
      </c>
      <c r="J873" s="69"/>
      <c r="K873" s="3" t="s">
        <v>42</v>
      </c>
      <c r="L873" s="3" t="s">
        <v>318</v>
      </c>
      <c r="M873" s="3">
        <v>654.70000000000005</v>
      </c>
      <c r="N873" s="3">
        <v>830</v>
      </c>
      <c r="O873" s="3" t="str">
        <f t="shared" si="54"/>
        <v>2011</v>
      </c>
      <c r="P873" s="2">
        <v>175</v>
      </c>
      <c r="W873">
        <v>4.01</v>
      </c>
    </row>
    <row r="874" spans="1:24" x14ac:dyDescent="0.35">
      <c r="A874" s="3">
        <v>2019</v>
      </c>
      <c r="B874" s="3">
        <v>2</v>
      </c>
      <c r="C874" s="3">
        <v>18</v>
      </c>
      <c r="D874" s="2">
        <v>175</v>
      </c>
      <c r="E874" s="3" t="s">
        <v>625</v>
      </c>
      <c r="F874" s="3">
        <v>1</v>
      </c>
      <c r="G874" s="3" t="s">
        <v>41</v>
      </c>
      <c r="H874" s="3" t="str">
        <f t="shared" si="55"/>
        <v>2013</v>
      </c>
      <c r="I874" s="3">
        <v>6</v>
      </c>
      <c r="J874" s="69"/>
      <c r="K874" s="3" t="s">
        <v>42</v>
      </c>
      <c r="L874" s="3" t="s">
        <v>318</v>
      </c>
      <c r="M874" s="3">
        <v>654.70000000000005</v>
      </c>
      <c r="N874" s="3">
        <v>830</v>
      </c>
      <c r="O874" s="3" t="str">
        <f t="shared" si="54"/>
        <v>2011</v>
      </c>
      <c r="P874" s="2">
        <v>175</v>
      </c>
      <c r="W874">
        <v>3.43</v>
      </c>
    </row>
    <row r="875" spans="1:24" x14ac:dyDescent="0.35">
      <c r="A875" s="3">
        <v>2017</v>
      </c>
      <c r="B875" s="3">
        <v>11</v>
      </c>
      <c r="C875" s="3">
        <v>9</v>
      </c>
      <c r="D875" s="2">
        <v>78</v>
      </c>
      <c r="E875" s="14" t="s">
        <v>523</v>
      </c>
      <c r="F875" s="15">
        <v>4</v>
      </c>
      <c r="G875" s="3" t="s">
        <v>45</v>
      </c>
      <c r="H875" s="3" t="str">
        <f t="shared" si="55"/>
        <v>2011</v>
      </c>
      <c r="I875" s="3">
        <v>6</v>
      </c>
      <c r="J875" s="69"/>
      <c r="K875" s="3" t="s">
        <v>317</v>
      </c>
      <c r="L875" s="3" t="s">
        <v>317</v>
      </c>
      <c r="M875" s="3">
        <v>581.9</v>
      </c>
      <c r="N875" s="3">
        <v>848</v>
      </c>
      <c r="O875" s="3" t="str">
        <f t="shared" si="54"/>
        <v>2007</v>
      </c>
      <c r="P875" s="2">
        <v>78</v>
      </c>
    </row>
    <row r="876" spans="1:24" x14ac:dyDescent="0.35">
      <c r="A876" s="3">
        <v>2011</v>
      </c>
      <c r="B876" s="3">
        <v>11</v>
      </c>
      <c r="C876" s="3">
        <v>14</v>
      </c>
      <c r="D876" s="2">
        <v>613</v>
      </c>
      <c r="E876" s="3" t="s">
        <v>134</v>
      </c>
      <c r="F876" s="3">
        <v>4</v>
      </c>
      <c r="G876" s="3" t="s">
        <v>45</v>
      </c>
      <c r="H876" s="3" t="str">
        <f t="shared" si="55"/>
        <v>2009</v>
      </c>
      <c r="I876" s="3">
        <v>2</v>
      </c>
      <c r="J876" s="69"/>
      <c r="K876" t="s">
        <v>711</v>
      </c>
      <c r="L876" s="3" t="s">
        <v>512</v>
      </c>
      <c r="M876">
        <v>616.4</v>
      </c>
      <c r="N876" s="3">
        <v>852</v>
      </c>
      <c r="O876" s="3" t="str">
        <f t="shared" si="54"/>
        <v>2007</v>
      </c>
      <c r="P876" s="2">
        <v>613</v>
      </c>
    </row>
    <row r="877" spans="1:24" x14ac:dyDescent="0.35">
      <c r="A877" s="3">
        <v>2022</v>
      </c>
      <c r="B877" s="3">
        <v>1</v>
      </c>
      <c r="C877" s="3" t="s">
        <v>28</v>
      </c>
      <c r="D877" s="2">
        <v>23</v>
      </c>
      <c r="E877" s="3" t="s">
        <v>27</v>
      </c>
      <c r="F877" s="3">
        <v>1</v>
      </c>
      <c r="G877" s="3" t="s">
        <v>20</v>
      </c>
      <c r="H877" s="3" t="str">
        <f t="shared" si="55"/>
        <v>2020</v>
      </c>
      <c r="I877" s="3">
        <v>2</v>
      </c>
      <c r="J877" s="69"/>
      <c r="K877" s="3">
        <v>37</v>
      </c>
      <c r="L877" s="3">
        <v>37</v>
      </c>
      <c r="M877" s="3">
        <v>264.7</v>
      </c>
      <c r="N877" s="3">
        <v>853</v>
      </c>
      <c r="O877" s="3" t="str">
        <f t="shared" si="54"/>
        <v>2018</v>
      </c>
      <c r="P877" s="2">
        <v>23</v>
      </c>
    </row>
    <row r="878" spans="1:24" x14ac:dyDescent="0.35">
      <c r="A878" s="3">
        <v>2011</v>
      </c>
      <c r="B878" s="3">
        <v>11</v>
      </c>
      <c r="C878" s="3">
        <v>14</v>
      </c>
      <c r="D878" s="2">
        <v>615</v>
      </c>
      <c r="E878" s="3" t="s">
        <v>1055</v>
      </c>
      <c r="F878" s="3">
        <v>4</v>
      </c>
      <c r="G878" s="3" t="s">
        <v>45</v>
      </c>
      <c r="H878" s="3" t="str">
        <f t="shared" si="55"/>
        <v>2009</v>
      </c>
      <c r="I878" s="3">
        <v>2</v>
      </c>
      <c r="J878" s="69"/>
      <c r="K878" t="s">
        <v>711</v>
      </c>
      <c r="L878" s="3" t="s">
        <v>512</v>
      </c>
      <c r="M878">
        <v>564.20000000000005</v>
      </c>
      <c r="N878" s="3">
        <v>924</v>
      </c>
      <c r="O878" s="3" t="str">
        <f t="shared" si="54"/>
        <v>2007</v>
      </c>
      <c r="P878" s="2">
        <v>615</v>
      </c>
    </row>
  </sheetData>
  <autoFilter ref="AG1:AL217" xr:uid="{AA954BCF-6366-4566-81A6-A9764552527D}">
    <sortState xmlns:xlrd2="http://schemas.microsoft.com/office/spreadsheetml/2017/richdata2" ref="AG2:AL217">
      <sortCondition ref="AH1:AH217"/>
    </sortState>
  </autoFilter>
  <conditionalFormatting sqref="D1">
    <cfRule type="cellIs" dxfId="11" priority="4" operator="equal">
      <formula>559</formula>
    </cfRule>
  </conditionalFormatting>
  <conditionalFormatting sqref="D1:D1048576 P1:P1048576 Q46 Q60:Q61 Q78:Q79 Q83:Q89 Q115 Q127 Q131 Q169 Q180 Q235 Q237:Q238 Q260 Q540 Q627 Q637 Q653 Q672 Q693 Q695 R726 Q727:Q728">
    <cfRule type="cellIs" dxfId="10" priority="3" operator="equal">
      <formula>"559, 692"</formula>
    </cfRule>
  </conditionalFormatting>
  <conditionalFormatting sqref="P1">
    <cfRule type="cellIs" dxfId="9" priority="2" operator="equal">
      <formula>559</formula>
    </cfRule>
  </conditionalFormatting>
  <conditionalFormatting sqref="Q319">
    <cfRule type="cellIs" dxfId="8" priority="1" operator="equal">
      <formula>"559, 692"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D676-25EC-4A19-91CA-ED2497F98D2F}">
  <dimension ref="A1:AU901"/>
  <sheetViews>
    <sheetView topLeftCell="J277" workbookViewId="0">
      <selection activeCell="I1" sqref="I1:I1048576"/>
    </sheetView>
  </sheetViews>
  <sheetFormatPr defaultRowHeight="15.5" x14ac:dyDescent="0.35"/>
  <cols>
    <col min="1" max="1" width="6.4140625" customWidth="1"/>
    <col min="2" max="2" width="7.25" customWidth="1"/>
    <col min="3" max="3" width="5.5" customWidth="1"/>
    <col min="5" max="5" width="12.75" bestFit="1" customWidth="1"/>
    <col min="6" max="6" width="9.9140625" customWidth="1"/>
    <col min="7" max="7" width="13.25" bestFit="1" customWidth="1"/>
    <col min="8" max="8" width="13.25" customWidth="1"/>
    <col min="9" max="9" width="13.25" style="50" customWidth="1"/>
    <col min="10" max="10" width="23.83203125" bestFit="1" customWidth="1"/>
    <col min="11" max="11" width="14.58203125" bestFit="1" customWidth="1"/>
    <col min="12" max="12" width="7" bestFit="1" customWidth="1"/>
    <col min="13" max="13" width="13.9140625" bestFit="1" customWidth="1"/>
    <col min="14" max="14" width="8.58203125" customWidth="1"/>
    <col min="15" max="15" width="11.33203125" bestFit="1" customWidth="1"/>
    <col min="23" max="23" width="8.6640625" style="35"/>
    <col min="24" max="24" width="20.08203125" bestFit="1" customWidth="1"/>
    <col min="25" max="25" width="12.6640625" bestFit="1" customWidth="1"/>
    <col min="26" max="27" width="11.75" bestFit="1" customWidth="1"/>
    <col min="28" max="28" width="8.9140625" customWidth="1"/>
    <col min="30" max="30" width="15.08203125" bestFit="1" customWidth="1"/>
    <col min="31" max="31" width="18.6640625" bestFit="1" customWidth="1"/>
    <col min="37" max="37" width="20.08203125" bestFit="1" customWidth="1"/>
    <col min="38" max="38" width="12.6640625" bestFit="1" customWidth="1"/>
  </cols>
  <sheetData>
    <row r="1" spans="1:47" x14ac:dyDescent="0.35">
      <c r="A1" s="1" t="s">
        <v>3</v>
      </c>
      <c r="B1" s="1" t="s">
        <v>4</v>
      </c>
      <c r="C1" s="1" t="s">
        <v>5</v>
      </c>
      <c r="D1" s="1" t="s">
        <v>1189</v>
      </c>
      <c r="E1" s="1" t="s">
        <v>437</v>
      </c>
      <c r="F1" s="1" t="s">
        <v>1</v>
      </c>
      <c r="G1" s="1" t="s">
        <v>438</v>
      </c>
      <c r="H1" t="s">
        <v>439</v>
      </c>
      <c r="J1" t="s">
        <v>440</v>
      </c>
      <c r="K1" t="s">
        <v>2</v>
      </c>
      <c r="L1" t="s">
        <v>441</v>
      </c>
      <c r="M1" t="s">
        <v>442</v>
      </c>
      <c r="N1" t="s">
        <v>443</v>
      </c>
      <c r="O1" t="s">
        <v>1189</v>
      </c>
      <c r="P1" t="s">
        <v>1206</v>
      </c>
      <c r="W1" s="35" t="s">
        <v>1294</v>
      </c>
      <c r="X1" s="18" t="s">
        <v>1286</v>
      </c>
      <c r="Y1" s="18" t="s">
        <v>1236</v>
      </c>
      <c r="Z1" s="18" t="s">
        <v>1237</v>
      </c>
      <c r="AA1" s="18" t="s">
        <v>1238</v>
      </c>
      <c r="AB1" s="18" t="s">
        <v>1246</v>
      </c>
      <c r="AJ1" s="30" t="s">
        <v>1236</v>
      </c>
      <c r="AK1" s="7" t="s">
        <v>320</v>
      </c>
      <c r="AL1" s="7" t="s">
        <v>414</v>
      </c>
      <c r="AM1" s="7" t="s">
        <v>415</v>
      </c>
      <c r="AN1" s="7" t="s">
        <v>321</v>
      </c>
      <c r="AO1" s="7" t="s">
        <v>322</v>
      </c>
      <c r="AP1" s="7" t="s">
        <v>16</v>
      </c>
      <c r="AQ1" s="7" t="s">
        <v>17</v>
      </c>
      <c r="AR1" s="8" t="s">
        <v>323</v>
      </c>
      <c r="AS1" s="8" t="s">
        <v>324</v>
      </c>
      <c r="AT1" s="8" t="s">
        <v>416</v>
      </c>
      <c r="AU1" s="8" t="s">
        <v>417</v>
      </c>
    </row>
    <row r="2" spans="1:47" x14ac:dyDescent="0.35">
      <c r="A2">
        <v>2024</v>
      </c>
      <c r="B2">
        <v>8</v>
      </c>
      <c r="C2">
        <v>19</v>
      </c>
      <c r="D2">
        <v>785</v>
      </c>
      <c r="E2">
        <v>3</v>
      </c>
      <c r="F2" t="s">
        <v>225</v>
      </c>
      <c r="G2" t="s">
        <v>1209</v>
      </c>
      <c r="H2">
        <v>3</v>
      </c>
      <c r="J2">
        <v>3</v>
      </c>
      <c r="K2">
        <v>3</v>
      </c>
      <c r="L2">
        <v>75.2</v>
      </c>
      <c r="M2">
        <v>42.8</v>
      </c>
      <c r="N2" t="s">
        <v>1209</v>
      </c>
      <c r="O2">
        <v>785</v>
      </c>
      <c r="R2" s="19" t="s">
        <v>223</v>
      </c>
      <c r="S2" s="53" t="s">
        <v>224</v>
      </c>
      <c r="T2" s="53" t="s">
        <v>96</v>
      </c>
      <c r="U2" s="20" t="s">
        <v>1205</v>
      </c>
      <c r="X2">
        <v>11.42</v>
      </c>
      <c r="Y2">
        <f>((2.515)*(LOG(X2))+(-1.2268))</f>
        <v>1.4332302513332205</v>
      </c>
      <c r="Z2">
        <f>10^(Y2)</f>
        <v>27.116288840608085</v>
      </c>
      <c r="AA2">
        <f>Z2/1000</f>
        <v>2.7116288840608085E-2</v>
      </c>
      <c r="AB2">
        <f>4.7*AA2</f>
        <v>0.12744655755085801</v>
      </c>
      <c r="AJ2" s="30"/>
      <c r="AK2" s="9" t="s">
        <v>423</v>
      </c>
      <c r="AL2" t="s">
        <v>424</v>
      </c>
      <c r="AM2" t="s">
        <v>425</v>
      </c>
      <c r="AN2" t="s">
        <v>426</v>
      </c>
      <c r="AO2" t="s">
        <v>427</v>
      </c>
      <c r="AP2" s="10">
        <v>2.5150000000000001</v>
      </c>
      <c r="AQ2" s="10">
        <v>-1.2267999999999999</v>
      </c>
      <c r="AR2" s="10">
        <v>0.86939999999999995</v>
      </c>
      <c r="AS2" s="10">
        <v>136</v>
      </c>
      <c r="AT2" s="10">
        <v>5.0999999999999996</v>
      </c>
      <c r="AU2" s="10">
        <v>16.3</v>
      </c>
    </row>
    <row r="3" spans="1:47" x14ac:dyDescent="0.35">
      <c r="A3">
        <v>2023</v>
      </c>
      <c r="B3">
        <v>8</v>
      </c>
      <c r="C3">
        <v>2</v>
      </c>
      <c r="D3">
        <v>429</v>
      </c>
      <c r="E3">
        <v>3</v>
      </c>
      <c r="F3" t="s">
        <v>225</v>
      </c>
      <c r="G3" t="s">
        <v>1216</v>
      </c>
      <c r="H3">
        <v>1</v>
      </c>
      <c r="J3" t="s">
        <v>67</v>
      </c>
      <c r="K3">
        <v>2</v>
      </c>
      <c r="L3">
        <v>2.5</v>
      </c>
      <c r="M3">
        <v>139</v>
      </c>
      <c r="N3" t="s">
        <v>1209</v>
      </c>
      <c r="O3">
        <v>429</v>
      </c>
      <c r="R3" s="21" cm="1">
        <f t="array" ref="R3">[1]!MEAN(P2:P901)</f>
        <v>7.1375675675675696</v>
      </c>
      <c r="S3" s="61" cm="1">
        <f t="array" ref="S3">[1]!STDERR(P2:P901)</f>
        <v>0.35065948280874043</v>
      </c>
      <c r="T3" s="61">
        <f>_xlfn.STDEV.S(P2:P901)</f>
        <v>2.132978362922759</v>
      </c>
      <c r="U3" s="22">
        <v>37</v>
      </c>
      <c r="X3">
        <v>11.2</v>
      </c>
      <c r="Y3">
        <f t="shared" ref="Y3:Y38" si="0">((2.515)*(LOG(X3))+(-1.2268))</f>
        <v>1.4119833270155069</v>
      </c>
      <c r="Z3">
        <f t="shared" ref="Z3:Z38" si="1">10^(Y3)</f>
        <v>25.82161057075507</v>
      </c>
      <c r="AA3">
        <f t="shared" ref="AA3:AA38" si="2">Z3/1000</f>
        <v>2.582161057075507E-2</v>
      </c>
      <c r="AB3">
        <f t="shared" ref="AB3:AB38" si="3">4.7*AA3</f>
        <v>0.12136156968254884</v>
      </c>
    </row>
    <row r="4" spans="1:47" x14ac:dyDescent="0.35">
      <c r="A4">
        <v>2023</v>
      </c>
      <c r="B4">
        <v>10</v>
      </c>
      <c r="C4">
        <v>31</v>
      </c>
      <c r="D4">
        <v>520</v>
      </c>
      <c r="E4">
        <v>4</v>
      </c>
      <c r="F4" t="s">
        <v>225</v>
      </c>
      <c r="G4" t="s">
        <v>1216</v>
      </c>
      <c r="H4">
        <v>1</v>
      </c>
      <c r="J4" t="s">
        <v>67</v>
      </c>
      <c r="K4">
        <v>2</v>
      </c>
      <c r="L4">
        <v>1.5</v>
      </c>
      <c r="M4">
        <v>140</v>
      </c>
      <c r="N4" t="s">
        <v>1209</v>
      </c>
      <c r="O4">
        <v>520</v>
      </c>
      <c r="R4" s="21"/>
      <c r="S4" s="61"/>
      <c r="T4" s="61"/>
      <c r="U4" s="22"/>
      <c r="X4">
        <v>10.43</v>
      </c>
      <c r="Y4">
        <f t="shared" si="0"/>
        <v>1.3341850356927254</v>
      </c>
      <c r="Z4">
        <f t="shared" si="1"/>
        <v>21.586639345313657</v>
      </c>
      <c r="AA4">
        <f t="shared" si="2"/>
        <v>2.1586639345313657E-2</v>
      </c>
      <c r="AB4">
        <f t="shared" si="3"/>
        <v>0.10145720492297419</v>
      </c>
    </row>
    <row r="5" spans="1:47" x14ac:dyDescent="0.35">
      <c r="A5">
        <v>2023</v>
      </c>
      <c r="B5">
        <v>11</v>
      </c>
      <c r="C5">
        <v>3</v>
      </c>
      <c r="D5">
        <v>534</v>
      </c>
      <c r="E5">
        <v>4</v>
      </c>
      <c r="F5" t="s">
        <v>225</v>
      </c>
      <c r="G5" t="s">
        <v>1216</v>
      </c>
      <c r="H5">
        <v>1</v>
      </c>
      <c r="J5">
        <v>2</v>
      </c>
      <c r="K5">
        <v>2</v>
      </c>
      <c r="L5">
        <v>2.5</v>
      </c>
      <c r="M5">
        <v>145</v>
      </c>
      <c r="N5" t="s">
        <v>1209</v>
      </c>
      <c r="O5">
        <v>534</v>
      </c>
      <c r="R5" s="21" t="s">
        <v>1219</v>
      </c>
      <c r="S5" s="61" t="s">
        <v>1220</v>
      </c>
      <c r="T5" s="61"/>
      <c r="U5" s="22"/>
      <c r="X5">
        <v>10.029999999999999</v>
      </c>
      <c r="Y5">
        <f t="shared" si="0"/>
        <v>1.2914718465463517</v>
      </c>
      <c r="Z5">
        <f t="shared" si="1"/>
        <v>19.564639346354785</v>
      </c>
      <c r="AA5">
        <f t="shared" si="2"/>
        <v>1.9564639346354783E-2</v>
      </c>
      <c r="AB5">
        <f t="shared" si="3"/>
        <v>9.1953804927867491E-2</v>
      </c>
      <c r="AD5" s="18" t="s">
        <v>1206</v>
      </c>
    </row>
    <row r="6" spans="1:47" x14ac:dyDescent="0.35">
      <c r="A6">
        <v>2023</v>
      </c>
      <c r="B6">
        <v>11</v>
      </c>
      <c r="C6">
        <v>14</v>
      </c>
      <c r="D6">
        <v>518</v>
      </c>
      <c r="E6">
        <v>4</v>
      </c>
      <c r="F6" t="s">
        <v>225</v>
      </c>
      <c r="G6" t="s">
        <v>1209</v>
      </c>
      <c r="H6">
        <v>2</v>
      </c>
      <c r="J6" t="s">
        <v>227</v>
      </c>
      <c r="K6">
        <v>4</v>
      </c>
      <c r="L6">
        <v>2.1</v>
      </c>
      <c r="M6">
        <v>146</v>
      </c>
      <c r="N6" t="s">
        <v>1209</v>
      </c>
      <c r="O6">
        <v>518</v>
      </c>
      <c r="R6" s="25">
        <f>MIN(P2:P901)</f>
        <v>2.39</v>
      </c>
      <c r="S6" s="29">
        <f>MAX(P2:P901)</f>
        <v>11.42</v>
      </c>
      <c r="T6" s="29"/>
      <c r="U6" s="26"/>
      <c r="X6">
        <v>9.8000000000000007</v>
      </c>
      <c r="Y6">
        <f t="shared" si="0"/>
        <v>1.2661335803666249</v>
      </c>
      <c r="Z6">
        <f t="shared" si="1"/>
        <v>18.455829966022844</v>
      </c>
      <c r="AA6">
        <f t="shared" si="2"/>
        <v>1.8455829966022845E-2</v>
      </c>
      <c r="AB6">
        <f t="shared" si="3"/>
        <v>8.6742400840307377E-2</v>
      </c>
      <c r="AD6" s="19" t="s">
        <v>1233</v>
      </c>
      <c r="AE6" s="20" t="s">
        <v>1232</v>
      </c>
      <c r="AF6" s="27" t="s">
        <v>1266</v>
      </c>
      <c r="AG6" s="27" t="s">
        <v>1279</v>
      </c>
      <c r="AH6" s="28" t="s">
        <v>1273</v>
      </c>
    </row>
    <row r="7" spans="1:47" x14ac:dyDescent="0.35">
      <c r="A7">
        <v>2024</v>
      </c>
      <c r="B7">
        <v>1</v>
      </c>
      <c r="C7">
        <v>19</v>
      </c>
      <c r="D7">
        <v>575</v>
      </c>
      <c r="E7">
        <v>1</v>
      </c>
      <c r="F7" t="s">
        <v>41</v>
      </c>
      <c r="G7" t="s">
        <v>1207</v>
      </c>
      <c r="H7">
        <v>11</v>
      </c>
      <c r="J7" t="s">
        <v>509</v>
      </c>
      <c r="K7" t="s">
        <v>458</v>
      </c>
      <c r="L7">
        <v>6.7</v>
      </c>
      <c r="M7">
        <v>150</v>
      </c>
      <c r="N7" t="s">
        <v>1208</v>
      </c>
      <c r="O7">
        <v>575</v>
      </c>
      <c r="X7">
        <v>9.7899999999999991</v>
      </c>
      <c r="Y7">
        <f t="shared" si="0"/>
        <v>1.2650184698848919</v>
      </c>
      <c r="Z7">
        <f t="shared" si="1"/>
        <v>18.408502883718896</v>
      </c>
      <c r="AA7">
        <f t="shared" si="2"/>
        <v>1.8408502883718897E-2</v>
      </c>
      <c r="AB7">
        <f t="shared" si="3"/>
        <v>8.6519963553478824E-2</v>
      </c>
      <c r="AD7" s="21" cm="1">
        <f t="array" ref="AD7">[1]!MEAN(AA2:AA38)</f>
        <v>9.804701595520153E-3</v>
      </c>
      <c r="AE7" s="61" cm="1">
        <f t="array" ref="AE7">[1]!MEAN(AB2:AB38)</f>
        <v>4.6082097498944721E-2</v>
      </c>
      <c r="AF7" s="61" cm="1">
        <f t="array" ref="AF7">[1]!STDERR(AB2:AB38)</f>
        <v>5.2754381290822895E-3</v>
      </c>
      <c r="AG7" s="61">
        <f>_xlfn.STDEV.S(AB2:AB38)</f>
        <v>3.1652628774493735E-2</v>
      </c>
      <c r="AH7" s="22">
        <f>_xlfn.STDEV.P(Z2:Z38)</f>
        <v>6.5897550265284996</v>
      </c>
    </row>
    <row r="8" spans="1:47" x14ac:dyDescent="0.35">
      <c r="A8">
        <v>2016</v>
      </c>
      <c r="B8">
        <v>11</v>
      </c>
      <c r="C8">
        <v>7</v>
      </c>
      <c r="D8">
        <v>228</v>
      </c>
      <c r="E8">
        <v>4</v>
      </c>
      <c r="F8" t="s">
        <v>45</v>
      </c>
      <c r="G8" t="s">
        <v>1215</v>
      </c>
      <c r="H8">
        <v>7</v>
      </c>
      <c r="J8" t="s">
        <v>671</v>
      </c>
      <c r="K8" t="s">
        <v>512</v>
      </c>
      <c r="L8">
        <v>0.2</v>
      </c>
      <c r="M8">
        <v>153</v>
      </c>
      <c r="N8" t="s">
        <v>1210</v>
      </c>
      <c r="O8">
        <v>228</v>
      </c>
      <c r="X8">
        <v>9.6300000000000008</v>
      </c>
      <c r="Y8">
        <f t="shared" si="0"/>
        <v>1.2470201121182045</v>
      </c>
      <c r="Z8">
        <f t="shared" si="1"/>
        <v>17.661196075504488</v>
      </c>
      <c r="AA8">
        <f t="shared" si="2"/>
        <v>1.7661196075504489E-2</v>
      </c>
      <c r="AB8">
        <f t="shared" si="3"/>
        <v>8.3007621554871097E-2</v>
      </c>
      <c r="AD8" s="23" t="s">
        <v>1234</v>
      </c>
      <c r="AE8" s="24" t="s">
        <v>1235</v>
      </c>
      <c r="AF8" s="61"/>
      <c r="AG8" s="61"/>
      <c r="AH8" s="22"/>
    </row>
    <row r="9" spans="1:47" x14ac:dyDescent="0.35">
      <c r="A9">
        <v>2016</v>
      </c>
      <c r="B9">
        <v>11</v>
      </c>
      <c r="C9">
        <v>7</v>
      </c>
      <c r="D9">
        <v>230</v>
      </c>
      <c r="E9">
        <v>4</v>
      </c>
      <c r="F9" t="s">
        <v>45</v>
      </c>
      <c r="G9" t="s">
        <v>1215</v>
      </c>
      <c r="H9">
        <v>7</v>
      </c>
      <c r="J9" t="s">
        <v>671</v>
      </c>
      <c r="K9" t="s">
        <v>512</v>
      </c>
      <c r="L9">
        <v>2.2999999999999998</v>
      </c>
      <c r="M9">
        <v>155</v>
      </c>
      <c r="N9" t="s">
        <v>1210</v>
      </c>
      <c r="O9">
        <v>230</v>
      </c>
      <c r="X9">
        <v>8.7899999999999991</v>
      </c>
      <c r="Y9">
        <f t="shared" si="0"/>
        <v>1.1473320208105364</v>
      </c>
      <c r="Z9">
        <f t="shared" si="1"/>
        <v>14.038865743484504</v>
      </c>
      <c r="AA9">
        <f t="shared" si="2"/>
        <v>1.4038865743484504E-2</v>
      </c>
      <c r="AB9">
        <f t="shared" si="3"/>
        <v>6.5982668994377172E-2</v>
      </c>
      <c r="AD9" s="25">
        <f>MEDIAN(AA2:AA38)</f>
        <v>8.2969228483393779E-3</v>
      </c>
      <c r="AE9" s="29">
        <f>4.7*AD9</f>
        <v>3.8995537387195078E-2</v>
      </c>
      <c r="AF9" s="29"/>
      <c r="AG9" s="29"/>
      <c r="AH9" s="26"/>
    </row>
    <row r="10" spans="1:47" x14ac:dyDescent="0.35">
      <c r="A10">
        <v>2023</v>
      </c>
      <c r="B10">
        <v>8</v>
      </c>
      <c r="C10">
        <v>1</v>
      </c>
      <c r="D10">
        <v>428</v>
      </c>
      <c r="E10">
        <v>3</v>
      </c>
      <c r="F10" t="s">
        <v>225</v>
      </c>
      <c r="G10" t="s">
        <v>1216</v>
      </c>
      <c r="H10">
        <v>1</v>
      </c>
      <c r="J10" t="s">
        <v>235</v>
      </c>
      <c r="K10">
        <v>5</v>
      </c>
      <c r="L10">
        <v>3.5</v>
      </c>
      <c r="M10">
        <v>170</v>
      </c>
      <c r="N10" t="s">
        <v>1209</v>
      </c>
      <c r="O10">
        <v>428</v>
      </c>
      <c r="X10">
        <v>8.7200000000000006</v>
      </c>
      <c r="Y10">
        <f t="shared" si="0"/>
        <v>1.1385989596054067</v>
      </c>
      <c r="Z10">
        <f t="shared" si="1"/>
        <v>13.759382998656656</v>
      </c>
      <c r="AA10">
        <f t="shared" si="2"/>
        <v>1.3759382998656656E-2</v>
      </c>
      <c r="AB10">
        <f t="shared" si="3"/>
        <v>6.4669100093686288E-2</v>
      </c>
    </row>
    <row r="11" spans="1:47" x14ac:dyDescent="0.35">
      <c r="A11">
        <v>2016</v>
      </c>
      <c r="B11">
        <v>11</v>
      </c>
      <c r="C11">
        <v>8</v>
      </c>
      <c r="D11">
        <v>190</v>
      </c>
      <c r="E11">
        <v>4</v>
      </c>
      <c r="F11" t="s">
        <v>45</v>
      </c>
      <c r="G11" t="s">
        <v>1208</v>
      </c>
      <c r="H11">
        <v>5</v>
      </c>
      <c r="J11" t="s">
        <v>46</v>
      </c>
      <c r="K11" t="s">
        <v>317</v>
      </c>
      <c r="L11">
        <v>3.2</v>
      </c>
      <c r="M11">
        <v>174</v>
      </c>
      <c r="N11" t="s">
        <v>1210</v>
      </c>
      <c r="O11">
        <v>190</v>
      </c>
      <c r="X11">
        <v>8.07</v>
      </c>
      <c r="Y11">
        <f t="shared" si="0"/>
        <v>1.0539869398260073</v>
      </c>
      <c r="Z11">
        <f t="shared" si="1"/>
        <v>11.32366310020474</v>
      </c>
      <c r="AA11">
        <f t="shared" si="2"/>
        <v>1.132366310020474E-2</v>
      </c>
      <c r="AB11">
        <f t="shared" si="3"/>
        <v>5.3221216570962279E-2</v>
      </c>
    </row>
    <row r="12" spans="1:47" x14ac:dyDescent="0.35">
      <c r="A12">
        <v>2023</v>
      </c>
      <c r="B12">
        <v>11</v>
      </c>
      <c r="C12">
        <v>17</v>
      </c>
      <c r="D12">
        <v>499</v>
      </c>
      <c r="E12">
        <v>4</v>
      </c>
      <c r="F12" t="s">
        <v>225</v>
      </c>
      <c r="G12" t="s">
        <v>1216</v>
      </c>
      <c r="H12">
        <v>1</v>
      </c>
      <c r="J12" t="s">
        <v>235</v>
      </c>
      <c r="K12">
        <v>5</v>
      </c>
      <c r="L12">
        <v>4.5999999999999996</v>
      </c>
      <c r="M12">
        <v>181</v>
      </c>
      <c r="N12" t="s">
        <v>1209</v>
      </c>
      <c r="O12">
        <v>499</v>
      </c>
      <c r="X12">
        <v>8.06</v>
      </c>
      <c r="Y12">
        <f t="shared" si="0"/>
        <v>1.0526326301398035</v>
      </c>
      <c r="Z12">
        <f t="shared" si="1"/>
        <v>11.288406239949943</v>
      </c>
      <c r="AA12">
        <f t="shared" si="2"/>
        <v>1.1288406239949943E-2</v>
      </c>
      <c r="AB12">
        <f t="shared" si="3"/>
        <v>5.3055509327764733E-2</v>
      </c>
      <c r="AD12" cm="1">
        <f t="array" ref="AD12">[2]!STDERR(AA2:AA38)</f>
        <v>1.1224336444855931E-3</v>
      </c>
    </row>
    <row r="13" spans="1:47" x14ac:dyDescent="0.35">
      <c r="A13">
        <v>2019</v>
      </c>
      <c r="B13">
        <v>11</v>
      </c>
      <c r="C13">
        <v>27</v>
      </c>
      <c r="D13">
        <v>42</v>
      </c>
      <c r="E13">
        <v>4</v>
      </c>
      <c r="F13" t="s">
        <v>45</v>
      </c>
      <c r="G13" t="s">
        <v>1208</v>
      </c>
      <c r="H13">
        <v>8</v>
      </c>
      <c r="J13" t="s">
        <v>317</v>
      </c>
      <c r="K13" t="s">
        <v>317</v>
      </c>
      <c r="L13">
        <v>16.899999999999999</v>
      </c>
      <c r="M13">
        <v>188</v>
      </c>
      <c r="N13" t="s">
        <v>1210</v>
      </c>
      <c r="O13">
        <v>42</v>
      </c>
      <c r="X13">
        <v>8.01</v>
      </c>
      <c r="Y13">
        <f t="shared" si="0"/>
        <v>1.0458357779518579</v>
      </c>
      <c r="Z13">
        <f t="shared" si="1"/>
        <v>11.113114218092514</v>
      </c>
      <c r="AA13">
        <f t="shared" si="2"/>
        <v>1.1113114218092515E-2</v>
      </c>
      <c r="AB13">
        <f t="shared" si="3"/>
        <v>5.2231636825034823E-2</v>
      </c>
    </row>
    <row r="14" spans="1:47" x14ac:dyDescent="0.35">
      <c r="A14">
        <v>2019</v>
      </c>
      <c r="B14">
        <v>8</v>
      </c>
      <c r="C14">
        <v>9</v>
      </c>
      <c r="D14">
        <v>312</v>
      </c>
      <c r="E14">
        <v>3</v>
      </c>
      <c r="F14" t="s">
        <v>45</v>
      </c>
      <c r="G14" t="s">
        <v>1208</v>
      </c>
      <c r="H14">
        <v>8</v>
      </c>
      <c r="J14" t="s">
        <v>647</v>
      </c>
      <c r="K14" t="s">
        <v>317</v>
      </c>
      <c r="L14">
        <v>0.3</v>
      </c>
      <c r="M14">
        <v>190</v>
      </c>
      <c r="N14" t="s">
        <v>1210</v>
      </c>
      <c r="O14">
        <v>312</v>
      </c>
      <c r="X14">
        <v>7.55</v>
      </c>
      <c r="Y14">
        <f t="shared" si="0"/>
        <v>0.9812365833474086</v>
      </c>
      <c r="Z14">
        <f t="shared" si="1"/>
        <v>9.5771564796579263</v>
      </c>
      <c r="AA14">
        <f t="shared" si="2"/>
        <v>9.5771564796579261E-3</v>
      </c>
      <c r="AB14">
        <f t="shared" si="3"/>
        <v>4.5012635454392255E-2</v>
      </c>
    </row>
    <row r="15" spans="1:47" x14ac:dyDescent="0.35">
      <c r="A15">
        <v>2018</v>
      </c>
      <c r="B15">
        <v>8</v>
      </c>
      <c r="C15">
        <v>16</v>
      </c>
      <c r="D15">
        <v>337</v>
      </c>
      <c r="E15">
        <v>3</v>
      </c>
      <c r="F15" t="s">
        <v>41</v>
      </c>
      <c r="G15" t="s">
        <v>1207</v>
      </c>
      <c r="H15">
        <v>5</v>
      </c>
      <c r="J15" t="s">
        <v>583</v>
      </c>
      <c r="K15" t="s">
        <v>318</v>
      </c>
      <c r="L15">
        <v>3.9</v>
      </c>
      <c r="M15">
        <v>191</v>
      </c>
      <c r="N15" t="s">
        <v>1208</v>
      </c>
      <c r="O15">
        <v>337</v>
      </c>
      <c r="X15">
        <v>7.53</v>
      </c>
      <c r="Y15">
        <f t="shared" si="0"/>
        <v>0.97833936514476205</v>
      </c>
      <c r="Z15">
        <f t="shared" si="1"/>
        <v>9.5134790282094155</v>
      </c>
      <c r="AA15">
        <f t="shared" si="2"/>
        <v>9.5134790282094157E-3</v>
      </c>
      <c r="AB15">
        <f t="shared" si="3"/>
        <v>4.4713351432584258E-2</v>
      </c>
    </row>
    <row r="16" spans="1:47" x14ac:dyDescent="0.35">
      <c r="A16">
        <v>2016</v>
      </c>
      <c r="B16">
        <v>9</v>
      </c>
      <c r="C16">
        <v>2</v>
      </c>
      <c r="D16">
        <v>220</v>
      </c>
      <c r="E16">
        <v>3</v>
      </c>
      <c r="F16" t="s">
        <v>41</v>
      </c>
      <c r="G16" t="s">
        <v>1207</v>
      </c>
      <c r="H16">
        <v>3</v>
      </c>
      <c r="J16" t="s">
        <v>49</v>
      </c>
      <c r="K16" t="s">
        <v>318</v>
      </c>
      <c r="L16">
        <v>4.7</v>
      </c>
      <c r="M16">
        <v>192</v>
      </c>
      <c r="N16" t="s">
        <v>1208</v>
      </c>
      <c r="O16">
        <v>220</v>
      </c>
      <c r="X16">
        <v>7.53</v>
      </c>
      <c r="Y16">
        <f t="shared" si="0"/>
        <v>0.97833936514476205</v>
      </c>
      <c r="Z16">
        <f t="shared" si="1"/>
        <v>9.5134790282094155</v>
      </c>
      <c r="AA16">
        <f t="shared" si="2"/>
        <v>9.5134790282094157E-3</v>
      </c>
      <c r="AB16">
        <f t="shared" si="3"/>
        <v>4.4713351432584258E-2</v>
      </c>
    </row>
    <row r="17" spans="1:28" x14ac:dyDescent="0.35">
      <c r="A17">
        <v>2023</v>
      </c>
      <c r="B17">
        <v>10</v>
      </c>
      <c r="C17">
        <v>30</v>
      </c>
      <c r="D17">
        <v>522</v>
      </c>
      <c r="E17">
        <v>4</v>
      </c>
      <c r="F17" t="s">
        <v>225</v>
      </c>
      <c r="G17" t="s">
        <v>1209</v>
      </c>
      <c r="H17">
        <v>2</v>
      </c>
      <c r="J17" t="s">
        <v>237</v>
      </c>
      <c r="K17">
        <v>3</v>
      </c>
      <c r="L17">
        <v>5.6</v>
      </c>
      <c r="M17">
        <v>194</v>
      </c>
      <c r="N17" t="s">
        <v>1209</v>
      </c>
      <c r="O17">
        <v>522</v>
      </c>
      <c r="X17">
        <v>7.38</v>
      </c>
      <c r="Y17">
        <f t="shared" si="0"/>
        <v>0.95636174998494994</v>
      </c>
      <c r="Z17">
        <f t="shared" si="1"/>
        <v>9.0440249127210119</v>
      </c>
      <c r="AA17">
        <f t="shared" si="2"/>
        <v>9.0440249127210111E-3</v>
      </c>
      <c r="AB17">
        <f t="shared" si="3"/>
        <v>4.2506917089788751E-2</v>
      </c>
    </row>
    <row r="18" spans="1:28" x14ac:dyDescent="0.35">
      <c r="A18">
        <v>2024</v>
      </c>
      <c r="B18">
        <v>2</v>
      </c>
      <c r="C18">
        <v>23</v>
      </c>
      <c r="D18">
        <v>644</v>
      </c>
      <c r="E18">
        <v>1</v>
      </c>
      <c r="F18" t="s">
        <v>225</v>
      </c>
      <c r="G18" t="s">
        <v>1216</v>
      </c>
      <c r="H18">
        <v>2</v>
      </c>
      <c r="J18" t="s">
        <v>21</v>
      </c>
      <c r="K18">
        <v>2</v>
      </c>
      <c r="L18">
        <v>5.9</v>
      </c>
      <c r="M18">
        <v>197</v>
      </c>
      <c r="N18" t="s">
        <v>1209</v>
      </c>
      <c r="O18">
        <v>644</v>
      </c>
      <c r="X18">
        <v>7.29</v>
      </c>
      <c r="Y18">
        <f t="shared" si="0"/>
        <v>0.94295973371970643</v>
      </c>
      <c r="Z18">
        <f t="shared" si="1"/>
        <v>8.7691951243415698</v>
      </c>
      <c r="AA18">
        <f t="shared" si="2"/>
        <v>8.7691951243415705E-3</v>
      </c>
      <c r="AB18">
        <f t="shared" si="3"/>
        <v>4.1215217084405384E-2</v>
      </c>
    </row>
    <row r="19" spans="1:28" x14ac:dyDescent="0.35">
      <c r="A19" t="s">
        <v>28</v>
      </c>
      <c r="B19" t="s">
        <v>28</v>
      </c>
      <c r="C19" t="s">
        <v>28</v>
      </c>
      <c r="D19">
        <v>449</v>
      </c>
      <c r="E19" t="s">
        <v>28</v>
      </c>
      <c r="F19" t="s">
        <v>28</v>
      </c>
      <c r="G19" t="b">
        <v>0</v>
      </c>
      <c r="H19" t="e">
        <v>#VALUE!</v>
      </c>
      <c r="J19" t="s">
        <v>28</v>
      </c>
      <c r="K19" t="s">
        <v>28</v>
      </c>
      <c r="L19">
        <v>6.9</v>
      </c>
      <c r="M19">
        <v>199</v>
      </c>
      <c r="N19" t="b">
        <v>0</v>
      </c>
      <c r="O19">
        <v>449</v>
      </c>
      <c r="X19">
        <v>7.24</v>
      </c>
      <c r="Y19">
        <f t="shared" si="0"/>
        <v>0.9354424939858248</v>
      </c>
      <c r="Z19">
        <f t="shared" si="1"/>
        <v>8.6187144860437055</v>
      </c>
      <c r="AA19">
        <f t="shared" si="2"/>
        <v>8.6187144860437048E-3</v>
      </c>
      <c r="AB19">
        <f t="shared" si="3"/>
        <v>4.0507958084405417E-2</v>
      </c>
    </row>
    <row r="20" spans="1:28" x14ac:dyDescent="0.35">
      <c r="A20">
        <v>2019</v>
      </c>
      <c r="B20">
        <v>11</v>
      </c>
      <c r="C20">
        <v>27</v>
      </c>
      <c r="D20">
        <v>57</v>
      </c>
      <c r="E20">
        <v>4</v>
      </c>
      <c r="F20" t="s">
        <v>45</v>
      </c>
      <c r="G20" t="s">
        <v>1215</v>
      </c>
      <c r="H20">
        <v>10</v>
      </c>
      <c r="J20" t="s">
        <v>488</v>
      </c>
      <c r="K20" t="s">
        <v>488</v>
      </c>
      <c r="L20">
        <v>5.0999999999999996</v>
      </c>
      <c r="M20">
        <v>200</v>
      </c>
      <c r="N20" t="s">
        <v>1210</v>
      </c>
      <c r="O20">
        <v>57</v>
      </c>
      <c r="X20">
        <v>7.02</v>
      </c>
      <c r="Y20">
        <f t="shared" si="0"/>
        <v>0.90173783700646037</v>
      </c>
      <c r="Z20">
        <f t="shared" si="1"/>
        <v>7.9751312106350518</v>
      </c>
      <c r="AA20">
        <f t="shared" si="2"/>
        <v>7.975131210635051E-3</v>
      </c>
      <c r="AB20">
        <f t="shared" si="3"/>
        <v>3.748311668998474E-2</v>
      </c>
    </row>
    <row r="21" spans="1:28" x14ac:dyDescent="0.35">
      <c r="A21">
        <v>2024</v>
      </c>
      <c r="B21">
        <v>8</v>
      </c>
      <c r="C21">
        <v>5</v>
      </c>
      <c r="D21">
        <v>760</v>
      </c>
      <c r="E21">
        <v>3</v>
      </c>
      <c r="F21" t="s">
        <v>20</v>
      </c>
      <c r="G21" t="s">
        <v>1213</v>
      </c>
      <c r="H21">
        <v>4</v>
      </c>
      <c r="J21" t="s">
        <v>783</v>
      </c>
      <c r="K21">
        <v>7</v>
      </c>
      <c r="L21">
        <v>4.9000000000000004</v>
      </c>
      <c r="M21">
        <v>200</v>
      </c>
      <c r="N21" t="s">
        <v>1214</v>
      </c>
      <c r="O21">
        <v>760</v>
      </c>
      <c r="X21">
        <v>6.99</v>
      </c>
      <c r="Y21">
        <f t="shared" si="0"/>
        <v>0.8970600970003888</v>
      </c>
      <c r="Z21">
        <f t="shared" si="1"/>
        <v>7.8896928641773094</v>
      </c>
      <c r="AA21">
        <f t="shared" si="2"/>
        <v>7.8896928641773098E-3</v>
      </c>
      <c r="AB21">
        <f t="shared" si="3"/>
        <v>3.7081556461633358E-2</v>
      </c>
    </row>
    <row r="22" spans="1:28" x14ac:dyDescent="0.35">
      <c r="A22">
        <v>2024</v>
      </c>
      <c r="B22">
        <v>1</v>
      </c>
      <c r="C22">
        <v>19</v>
      </c>
      <c r="D22">
        <v>577</v>
      </c>
      <c r="E22">
        <v>1</v>
      </c>
      <c r="F22" t="s">
        <v>41</v>
      </c>
      <c r="G22" t="s">
        <v>1207</v>
      </c>
      <c r="H22">
        <v>11</v>
      </c>
      <c r="J22" t="s">
        <v>509</v>
      </c>
      <c r="K22" t="s">
        <v>458</v>
      </c>
      <c r="L22">
        <v>19.7</v>
      </c>
      <c r="M22">
        <v>202</v>
      </c>
      <c r="N22" t="s">
        <v>1208</v>
      </c>
      <c r="O22">
        <v>577</v>
      </c>
      <c r="X22">
        <v>6.79</v>
      </c>
      <c r="Y22">
        <f t="shared" si="0"/>
        <v>0.86535248231546191</v>
      </c>
      <c r="Z22">
        <f t="shared" si="1"/>
        <v>7.3341955000260297</v>
      </c>
      <c r="AA22">
        <f t="shared" si="2"/>
        <v>7.3341955000260301E-3</v>
      </c>
      <c r="AB22">
        <f t="shared" si="3"/>
        <v>3.4470718850122345E-2</v>
      </c>
    </row>
    <row r="23" spans="1:28" x14ac:dyDescent="0.35">
      <c r="A23">
        <v>2016</v>
      </c>
      <c r="B23">
        <v>9</v>
      </c>
      <c r="C23">
        <v>2</v>
      </c>
      <c r="D23">
        <v>297</v>
      </c>
      <c r="E23">
        <v>3</v>
      </c>
      <c r="F23" t="s">
        <v>41</v>
      </c>
      <c r="G23" t="s">
        <v>1207</v>
      </c>
      <c r="H23">
        <v>3</v>
      </c>
      <c r="J23" t="s">
        <v>583</v>
      </c>
      <c r="K23" t="s">
        <v>318</v>
      </c>
      <c r="L23">
        <v>5.8</v>
      </c>
      <c r="M23">
        <v>204</v>
      </c>
      <c r="N23" t="s">
        <v>1208</v>
      </c>
      <c r="O23">
        <v>297</v>
      </c>
      <c r="X23">
        <v>6.76</v>
      </c>
      <c r="Y23">
        <f t="shared" si="0"/>
        <v>0.86051594029321476</v>
      </c>
      <c r="Z23">
        <f t="shared" si="1"/>
        <v>7.2529709882149449</v>
      </c>
      <c r="AA23">
        <f t="shared" si="2"/>
        <v>7.2529709882149448E-3</v>
      </c>
      <c r="AB23">
        <f t="shared" si="3"/>
        <v>3.408896364461024E-2</v>
      </c>
    </row>
    <row r="24" spans="1:28" x14ac:dyDescent="0.35">
      <c r="A24">
        <v>2018</v>
      </c>
      <c r="B24">
        <v>8</v>
      </c>
      <c r="C24">
        <v>15</v>
      </c>
      <c r="D24">
        <v>310</v>
      </c>
      <c r="E24">
        <v>3</v>
      </c>
      <c r="F24" t="s">
        <v>41</v>
      </c>
      <c r="G24" t="s">
        <v>1207</v>
      </c>
      <c r="H24">
        <v>5</v>
      </c>
      <c r="J24" t="s">
        <v>49</v>
      </c>
      <c r="K24" t="s">
        <v>318</v>
      </c>
      <c r="L24">
        <v>6.6</v>
      </c>
      <c r="M24">
        <v>204</v>
      </c>
      <c r="N24" t="s">
        <v>1208</v>
      </c>
      <c r="O24">
        <v>310</v>
      </c>
      <c r="X24">
        <v>6.74</v>
      </c>
      <c r="Y24">
        <f t="shared" si="0"/>
        <v>0.85727963978632937</v>
      </c>
      <c r="Z24">
        <f t="shared" si="1"/>
        <v>7.1991237634796512</v>
      </c>
      <c r="AA24">
        <f t="shared" si="2"/>
        <v>7.199123763479651E-3</v>
      </c>
      <c r="AB24">
        <f t="shared" si="3"/>
        <v>3.3835881688354358E-2</v>
      </c>
    </row>
    <row r="25" spans="1:28" x14ac:dyDescent="0.35">
      <c r="A25">
        <v>2023</v>
      </c>
      <c r="B25">
        <v>7</v>
      </c>
      <c r="C25">
        <v>25</v>
      </c>
      <c r="D25">
        <v>458</v>
      </c>
      <c r="E25">
        <v>3</v>
      </c>
      <c r="F25" t="s">
        <v>20</v>
      </c>
      <c r="G25" t="s">
        <v>1217</v>
      </c>
      <c r="H25">
        <v>4</v>
      </c>
      <c r="J25" t="s">
        <v>914</v>
      </c>
      <c r="K25">
        <v>23</v>
      </c>
      <c r="L25">
        <v>5.4</v>
      </c>
      <c r="M25">
        <v>204</v>
      </c>
      <c r="N25" t="s">
        <v>1214</v>
      </c>
      <c r="O25">
        <v>458</v>
      </c>
      <c r="X25">
        <v>6.59</v>
      </c>
      <c r="Y25">
        <f t="shared" si="0"/>
        <v>0.83269681770393511</v>
      </c>
      <c r="Z25">
        <f t="shared" si="1"/>
        <v>6.802942773851905</v>
      </c>
      <c r="AA25">
        <f t="shared" si="2"/>
        <v>6.8029427738519046E-3</v>
      </c>
      <c r="AB25">
        <f t="shared" si="3"/>
        <v>3.1973831037103953E-2</v>
      </c>
    </row>
    <row r="26" spans="1:28" x14ac:dyDescent="0.35">
      <c r="A26">
        <v>2016</v>
      </c>
      <c r="B26">
        <v>8</v>
      </c>
      <c r="C26">
        <v>31</v>
      </c>
      <c r="D26">
        <v>251</v>
      </c>
      <c r="E26">
        <v>3</v>
      </c>
      <c r="F26" t="s">
        <v>45</v>
      </c>
      <c r="G26" t="s">
        <v>1215</v>
      </c>
      <c r="H26">
        <v>7</v>
      </c>
      <c r="J26" t="s">
        <v>657</v>
      </c>
      <c r="K26" t="s">
        <v>488</v>
      </c>
      <c r="L26">
        <v>5.6</v>
      </c>
      <c r="M26">
        <v>205</v>
      </c>
      <c r="N26" t="s">
        <v>1210</v>
      </c>
      <c r="O26">
        <v>251</v>
      </c>
      <c r="X26">
        <v>6.58</v>
      </c>
      <c r="Y26">
        <f t="shared" si="0"/>
        <v>0.83103812243909836</v>
      </c>
      <c r="Z26">
        <f t="shared" si="1"/>
        <v>6.7770099370143102</v>
      </c>
      <c r="AA26">
        <f t="shared" si="2"/>
        <v>6.7770099370143104E-3</v>
      </c>
      <c r="AB26">
        <f t="shared" si="3"/>
        <v>3.1851946703967259E-2</v>
      </c>
    </row>
    <row r="27" spans="1:28" x14ac:dyDescent="0.35">
      <c r="A27">
        <v>2024</v>
      </c>
      <c r="B27">
        <v>1</v>
      </c>
      <c r="C27">
        <v>17</v>
      </c>
      <c r="D27">
        <v>596</v>
      </c>
      <c r="E27">
        <v>1</v>
      </c>
      <c r="F27" t="s">
        <v>41</v>
      </c>
      <c r="G27" t="s">
        <v>1207</v>
      </c>
      <c r="H27">
        <v>11</v>
      </c>
      <c r="J27" t="s">
        <v>509</v>
      </c>
      <c r="K27" t="s">
        <v>458</v>
      </c>
      <c r="L27">
        <v>17.899999999999999</v>
      </c>
      <c r="M27">
        <v>205</v>
      </c>
      <c r="N27" t="s">
        <v>1208</v>
      </c>
      <c r="O27">
        <v>596</v>
      </c>
      <c r="X27">
        <v>6.49</v>
      </c>
      <c r="Y27">
        <f t="shared" si="0"/>
        <v>0.81599541245292873</v>
      </c>
      <c r="Z27">
        <f t="shared" si="1"/>
        <v>6.546292590395077</v>
      </c>
      <c r="AA27">
        <f t="shared" si="2"/>
        <v>6.546292590395077E-3</v>
      </c>
      <c r="AB27">
        <f t="shared" si="3"/>
        <v>3.0767575174856863E-2</v>
      </c>
    </row>
    <row r="28" spans="1:28" x14ac:dyDescent="0.35">
      <c r="A28">
        <v>2023</v>
      </c>
      <c r="B28">
        <v>1</v>
      </c>
      <c r="C28">
        <v>30</v>
      </c>
      <c r="D28">
        <v>102</v>
      </c>
      <c r="E28">
        <v>1</v>
      </c>
      <c r="F28" t="s">
        <v>225</v>
      </c>
      <c r="G28" t="s">
        <v>1209</v>
      </c>
      <c r="H28">
        <v>2</v>
      </c>
      <c r="J28">
        <v>4</v>
      </c>
      <c r="K28">
        <v>4</v>
      </c>
      <c r="L28">
        <v>19.7</v>
      </c>
      <c r="M28">
        <v>208</v>
      </c>
      <c r="N28" t="s">
        <v>1209</v>
      </c>
      <c r="O28">
        <v>102</v>
      </c>
      <c r="X28">
        <v>6.07</v>
      </c>
      <c r="Y28">
        <f t="shared" si="0"/>
        <v>0.7429195580542729</v>
      </c>
      <c r="Z28">
        <f t="shared" si="1"/>
        <v>5.5324762475149383</v>
      </c>
      <c r="AA28">
        <f t="shared" si="2"/>
        <v>5.5324762475149379E-3</v>
      </c>
      <c r="AB28">
        <f t="shared" si="3"/>
        <v>2.6002638363320209E-2</v>
      </c>
    </row>
    <row r="29" spans="1:28" x14ac:dyDescent="0.35">
      <c r="A29">
        <v>2023</v>
      </c>
      <c r="B29">
        <v>10</v>
      </c>
      <c r="C29">
        <v>31</v>
      </c>
      <c r="D29">
        <v>521</v>
      </c>
      <c r="E29">
        <v>4</v>
      </c>
      <c r="F29" t="s">
        <v>225</v>
      </c>
      <c r="G29" t="s">
        <v>1216</v>
      </c>
      <c r="H29">
        <v>1</v>
      </c>
      <c r="J29" t="s">
        <v>83</v>
      </c>
      <c r="K29">
        <v>2</v>
      </c>
      <c r="L29">
        <v>6.5</v>
      </c>
      <c r="M29">
        <v>209</v>
      </c>
      <c r="N29" t="s">
        <v>1209</v>
      </c>
      <c r="O29">
        <v>521</v>
      </c>
      <c r="X29">
        <v>5.99</v>
      </c>
      <c r="Y29">
        <f t="shared" si="0"/>
        <v>0.72842845830911829</v>
      </c>
      <c r="Z29">
        <f t="shared" si="1"/>
        <v>5.3509200036083877</v>
      </c>
    </row>
    <row r="30" spans="1:28" x14ac:dyDescent="0.35">
      <c r="A30">
        <v>2019</v>
      </c>
      <c r="B30">
        <v>11</v>
      </c>
      <c r="C30">
        <v>27</v>
      </c>
      <c r="D30">
        <v>56</v>
      </c>
      <c r="E30">
        <v>4</v>
      </c>
      <c r="F30" t="s">
        <v>45</v>
      </c>
      <c r="G30" t="s">
        <v>1215</v>
      </c>
      <c r="H30">
        <v>10</v>
      </c>
      <c r="J30" t="s">
        <v>488</v>
      </c>
      <c r="K30" t="s">
        <v>488</v>
      </c>
      <c r="L30">
        <v>5.9</v>
      </c>
      <c r="M30">
        <v>211</v>
      </c>
      <c r="N30" t="s">
        <v>1210</v>
      </c>
      <c r="O30">
        <v>56</v>
      </c>
      <c r="X30">
        <v>5.92</v>
      </c>
      <c r="Y30">
        <f t="shared" si="0"/>
        <v>0.71558909240814339</v>
      </c>
      <c r="Z30">
        <f t="shared" si="1"/>
        <v>5.1950423515630293</v>
      </c>
      <c r="AA30">
        <f t="shared" si="2"/>
        <v>5.1950423515630291E-3</v>
      </c>
      <c r="AB30">
        <f t="shared" si="3"/>
        <v>2.4416699052346238E-2</v>
      </c>
    </row>
    <row r="31" spans="1:28" x14ac:dyDescent="0.35">
      <c r="A31">
        <v>2016</v>
      </c>
      <c r="B31">
        <v>11</v>
      </c>
      <c r="C31">
        <v>16</v>
      </c>
      <c r="D31">
        <v>178</v>
      </c>
      <c r="E31">
        <v>4</v>
      </c>
      <c r="F31" t="s">
        <v>41</v>
      </c>
      <c r="G31" t="s">
        <v>1207</v>
      </c>
      <c r="H31">
        <v>3</v>
      </c>
      <c r="J31" t="s">
        <v>583</v>
      </c>
      <c r="K31" t="s">
        <v>318</v>
      </c>
      <c r="L31">
        <v>6.2</v>
      </c>
      <c r="M31">
        <v>212</v>
      </c>
      <c r="N31" t="s">
        <v>1208</v>
      </c>
      <c r="O31">
        <v>178</v>
      </c>
      <c r="X31">
        <v>5.51</v>
      </c>
      <c r="Y31">
        <f t="shared" si="0"/>
        <v>0.63719627111223964</v>
      </c>
      <c r="Z31">
        <f t="shared" si="1"/>
        <v>4.3370683964223868</v>
      </c>
      <c r="AA31">
        <f t="shared" si="2"/>
        <v>4.3370683964223866E-3</v>
      </c>
      <c r="AB31">
        <f t="shared" si="3"/>
        <v>2.0384221463185217E-2</v>
      </c>
    </row>
    <row r="32" spans="1:28" x14ac:dyDescent="0.35">
      <c r="A32">
        <v>2022</v>
      </c>
      <c r="B32">
        <v>11</v>
      </c>
      <c r="C32">
        <v>18</v>
      </c>
      <c r="D32">
        <v>110</v>
      </c>
      <c r="E32">
        <v>4</v>
      </c>
      <c r="F32" t="s">
        <v>225</v>
      </c>
      <c r="G32" t="s">
        <v>1209</v>
      </c>
      <c r="H32">
        <v>1</v>
      </c>
      <c r="J32">
        <v>4</v>
      </c>
      <c r="K32">
        <v>4</v>
      </c>
      <c r="L32">
        <v>6.6</v>
      </c>
      <c r="M32">
        <v>213</v>
      </c>
      <c r="N32" t="s">
        <v>1209</v>
      </c>
      <c r="O32">
        <v>110</v>
      </c>
      <c r="X32">
        <v>5.22</v>
      </c>
      <c r="Y32">
        <f t="shared" si="0"/>
        <v>0.57814131505068933</v>
      </c>
      <c r="Z32">
        <f t="shared" si="1"/>
        <v>3.7856574615957519</v>
      </c>
      <c r="AA32">
        <f t="shared" si="2"/>
        <v>3.7856574615957521E-3</v>
      </c>
      <c r="AB32">
        <f t="shared" si="3"/>
        <v>1.7792590069500035E-2</v>
      </c>
    </row>
    <row r="33" spans="1:28" x14ac:dyDescent="0.35">
      <c r="A33">
        <v>2019</v>
      </c>
      <c r="B33">
        <v>8</v>
      </c>
      <c r="C33">
        <v>9</v>
      </c>
      <c r="D33">
        <v>320</v>
      </c>
      <c r="E33">
        <v>3</v>
      </c>
      <c r="F33" t="s">
        <v>45</v>
      </c>
      <c r="G33" t="s">
        <v>1208</v>
      </c>
      <c r="H33">
        <v>8</v>
      </c>
      <c r="J33" t="s">
        <v>632</v>
      </c>
      <c r="K33" t="s">
        <v>317</v>
      </c>
      <c r="L33">
        <v>5.0999999999999996</v>
      </c>
      <c r="M33">
        <v>213</v>
      </c>
      <c r="N33" t="s">
        <v>1210</v>
      </c>
      <c r="O33">
        <v>320</v>
      </c>
      <c r="X33">
        <v>4.87</v>
      </c>
      <c r="Y33">
        <f t="shared" si="0"/>
        <v>0.50233533745480563</v>
      </c>
      <c r="Z33">
        <f t="shared" si="1"/>
        <v>3.1793280190809829</v>
      </c>
      <c r="AA33">
        <f t="shared" si="2"/>
        <v>3.1793280190809828E-3</v>
      </c>
      <c r="AB33">
        <f t="shared" si="3"/>
        <v>1.494284168968062E-2</v>
      </c>
    </row>
    <row r="34" spans="1:28" x14ac:dyDescent="0.35">
      <c r="A34">
        <v>2023</v>
      </c>
      <c r="B34">
        <v>11</v>
      </c>
      <c r="C34">
        <v>3</v>
      </c>
      <c r="D34">
        <v>528</v>
      </c>
      <c r="E34">
        <v>4</v>
      </c>
      <c r="F34" t="s">
        <v>226</v>
      </c>
      <c r="G34" t="s">
        <v>1211</v>
      </c>
      <c r="H34">
        <v>6</v>
      </c>
      <c r="J34" t="s">
        <v>228</v>
      </c>
      <c r="K34">
        <v>7</v>
      </c>
      <c r="L34">
        <v>7.9</v>
      </c>
      <c r="M34">
        <v>213</v>
      </c>
      <c r="N34" t="s">
        <v>1211</v>
      </c>
      <c r="O34">
        <v>528</v>
      </c>
      <c r="X34">
        <v>4.41</v>
      </c>
      <c r="Y34">
        <f t="shared" si="0"/>
        <v>0.39396305251161401</v>
      </c>
      <c r="Z34">
        <f t="shared" si="1"/>
        <v>2.4772113005709966</v>
      </c>
      <c r="AA34">
        <f t="shared" si="2"/>
        <v>2.4772113005709965E-3</v>
      </c>
      <c r="AB34">
        <f t="shared" si="3"/>
        <v>1.1642893112683683E-2</v>
      </c>
    </row>
    <row r="35" spans="1:28" x14ac:dyDescent="0.35">
      <c r="A35">
        <v>2023</v>
      </c>
      <c r="B35">
        <v>8</v>
      </c>
      <c r="C35">
        <v>2</v>
      </c>
      <c r="D35">
        <v>430</v>
      </c>
      <c r="E35">
        <v>3</v>
      </c>
      <c r="F35" t="s">
        <v>225</v>
      </c>
      <c r="G35" t="s">
        <v>1216</v>
      </c>
      <c r="H35">
        <v>1</v>
      </c>
      <c r="J35" t="s">
        <v>67</v>
      </c>
      <c r="K35">
        <v>2</v>
      </c>
      <c r="L35">
        <v>7.3</v>
      </c>
      <c r="M35">
        <v>216</v>
      </c>
      <c r="N35" t="s">
        <v>1209</v>
      </c>
      <c r="O35">
        <v>430</v>
      </c>
      <c r="X35">
        <v>3.86</v>
      </c>
      <c r="Y35">
        <f t="shared" si="0"/>
        <v>0.24846707124946388</v>
      </c>
      <c r="Z35">
        <f t="shared" si="1"/>
        <v>1.7720136837487341</v>
      </c>
      <c r="AA35">
        <f t="shared" si="2"/>
        <v>1.7720136837487341E-3</v>
      </c>
      <c r="AB35">
        <f t="shared" si="3"/>
        <v>8.3284643136190498E-3</v>
      </c>
    </row>
    <row r="36" spans="1:28" x14ac:dyDescent="0.35">
      <c r="A36">
        <v>2023</v>
      </c>
      <c r="B36">
        <v>11</v>
      </c>
      <c r="C36">
        <v>20</v>
      </c>
      <c r="D36">
        <v>525</v>
      </c>
      <c r="E36">
        <v>4</v>
      </c>
      <c r="F36" t="s">
        <v>225</v>
      </c>
      <c r="G36" t="s">
        <v>1218</v>
      </c>
      <c r="H36">
        <v>0</v>
      </c>
      <c r="J36" t="s">
        <v>979</v>
      </c>
      <c r="K36">
        <v>9</v>
      </c>
      <c r="L36">
        <v>8</v>
      </c>
      <c r="M36">
        <v>216</v>
      </c>
      <c r="N36" t="s">
        <v>1209</v>
      </c>
      <c r="O36">
        <v>525</v>
      </c>
      <c r="X36">
        <v>3.74</v>
      </c>
      <c r="Y36">
        <f t="shared" si="0"/>
        <v>0.21397207953420772</v>
      </c>
      <c r="Z36">
        <f t="shared" si="1"/>
        <v>1.6367112951065006</v>
      </c>
      <c r="AA36">
        <f t="shared" si="2"/>
        <v>1.6367112951065005E-3</v>
      </c>
      <c r="AB36">
        <f t="shared" si="3"/>
        <v>7.6925430870005531E-3</v>
      </c>
    </row>
    <row r="37" spans="1:28" x14ac:dyDescent="0.35">
      <c r="A37">
        <v>2019</v>
      </c>
      <c r="B37">
        <v>8</v>
      </c>
      <c r="C37">
        <v>9</v>
      </c>
      <c r="D37">
        <v>313</v>
      </c>
      <c r="E37">
        <v>3</v>
      </c>
      <c r="F37" t="s">
        <v>45</v>
      </c>
      <c r="G37" t="s">
        <v>1208</v>
      </c>
      <c r="H37">
        <v>8</v>
      </c>
      <c r="J37" t="s">
        <v>317</v>
      </c>
      <c r="K37" t="s">
        <v>317</v>
      </c>
      <c r="L37">
        <v>3.5</v>
      </c>
      <c r="M37">
        <v>217</v>
      </c>
      <c r="N37" t="s">
        <v>1210</v>
      </c>
      <c r="O37">
        <v>313</v>
      </c>
      <c r="X37">
        <v>3.68</v>
      </c>
      <c r="Y37">
        <f t="shared" si="0"/>
        <v>0.19630726396389697</v>
      </c>
      <c r="Z37">
        <f t="shared" si="1"/>
        <v>1.5714742313738068</v>
      </c>
      <c r="AA37">
        <f t="shared" si="2"/>
        <v>1.5714742313738068E-3</v>
      </c>
      <c r="AB37">
        <f t="shared" si="3"/>
        <v>7.3859288874568926E-3</v>
      </c>
    </row>
    <row r="38" spans="1:28" x14ac:dyDescent="0.35">
      <c r="A38">
        <v>2018</v>
      </c>
      <c r="B38">
        <v>8</v>
      </c>
      <c r="C38">
        <v>16</v>
      </c>
      <c r="D38">
        <v>325</v>
      </c>
      <c r="E38">
        <v>3</v>
      </c>
      <c r="F38" t="s">
        <v>45</v>
      </c>
      <c r="G38" t="s">
        <v>1208</v>
      </c>
      <c r="H38">
        <v>7</v>
      </c>
      <c r="J38" t="s">
        <v>647</v>
      </c>
      <c r="K38" t="s">
        <v>317</v>
      </c>
      <c r="L38">
        <v>7.2</v>
      </c>
      <c r="M38">
        <v>220</v>
      </c>
      <c r="N38" t="s">
        <v>1210</v>
      </c>
      <c r="O38">
        <v>325</v>
      </c>
      <c r="X38">
        <v>2.39</v>
      </c>
      <c r="Y38">
        <f t="shared" si="0"/>
        <v>-0.27512927911543361</v>
      </c>
      <c r="Z38">
        <f t="shared" si="1"/>
        <v>0.53072643610487813</v>
      </c>
      <c r="AA38">
        <f t="shared" si="2"/>
        <v>5.3072643610487815E-4</v>
      </c>
      <c r="AB38">
        <f t="shared" si="3"/>
        <v>2.4944142496929273E-3</v>
      </c>
    </row>
    <row r="39" spans="1:28" x14ac:dyDescent="0.35">
      <c r="A39">
        <v>2024</v>
      </c>
      <c r="B39">
        <v>8</v>
      </c>
      <c r="C39">
        <v>15</v>
      </c>
      <c r="D39">
        <v>730</v>
      </c>
      <c r="E39">
        <v>3</v>
      </c>
      <c r="F39" t="s">
        <v>225</v>
      </c>
      <c r="G39" t="s">
        <v>1209</v>
      </c>
      <c r="H39">
        <v>3</v>
      </c>
      <c r="J39">
        <v>3</v>
      </c>
      <c r="K39">
        <v>3</v>
      </c>
      <c r="L39">
        <v>8.9</v>
      </c>
      <c r="M39">
        <v>220</v>
      </c>
      <c r="N39" t="s">
        <v>1209</v>
      </c>
      <c r="O39">
        <v>730</v>
      </c>
    </row>
    <row r="40" spans="1:28" x14ac:dyDescent="0.35">
      <c r="A40">
        <v>2021</v>
      </c>
      <c r="B40" t="s">
        <v>28</v>
      </c>
      <c r="C40" t="s">
        <v>28</v>
      </c>
      <c r="D40">
        <v>13</v>
      </c>
      <c r="E40" t="s">
        <v>28</v>
      </c>
      <c r="F40" t="s">
        <v>45</v>
      </c>
      <c r="G40" t="s">
        <v>1208</v>
      </c>
      <c r="H40">
        <v>10</v>
      </c>
      <c r="J40" t="s">
        <v>317</v>
      </c>
      <c r="K40" t="s">
        <v>317</v>
      </c>
      <c r="L40">
        <v>7.4</v>
      </c>
      <c r="M40">
        <v>221</v>
      </c>
      <c r="N40" t="s">
        <v>1210</v>
      </c>
      <c r="O40">
        <v>13</v>
      </c>
    </row>
    <row r="41" spans="1:28" x14ac:dyDescent="0.35">
      <c r="A41">
        <v>2024</v>
      </c>
      <c r="B41">
        <v>1</v>
      </c>
      <c r="C41">
        <v>25</v>
      </c>
      <c r="D41">
        <v>605</v>
      </c>
      <c r="E41">
        <v>1</v>
      </c>
      <c r="F41" t="s">
        <v>20</v>
      </c>
      <c r="G41" t="s">
        <v>1217</v>
      </c>
      <c r="H41">
        <v>5</v>
      </c>
      <c r="J41" t="s">
        <v>1048</v>
      </c>
      <c r="K41">
        <v>23</v>
      </c>
      <c r="L41">
        <v>8.1999999999999993</v>
      </c>
      <c r="M41">
        <v>222</v>
      </c>
      <c r="N41" t="s">
        <v>1214</v>
      </c>
      <c r="O41">
        <v>605</v>
      </c>
    </row>
    <row r="42" spans="1:28" x14ac:dyDescent="0.35">
      <c r="A42">
        <v>2024</v>
      </c>
      <c r="B42">
        <v>4</v>
      </c>
      <c r="C42">
        <v>9</v>
      </c>
      <c r="D42">
        <v>650</v>
      </c>
      <c r="E42">
        <v>2</v>
      </c>
      <c r="F42" t="s">
        <v>225</v>
      </c>
      <c r="G42" t="s">
        <v>1216</v>
      </c>
      <c r="H42">
        <v>2</v>
      </c>
      <c r="J42" t="s">
        <v>235</v>
      </c>
      <c r="K42">
        <v>5</v>
      </c>
      <c r="L42">
        <v>8.6</v>
      </c>
      <c r="M42">
        <v>223</v>
      </c>
      <c r="N42" t="s">
        <v>1209</v>
      </c>
      <c r="O42">
        <v>650</v>
      </c>
    </row>
    <row r="43" spans="1:28" x14ac:dyDescent="0.35">
      <c r="A43">
        <v>2016</v>
      </c>
      <c r="B43">
        <v>9</v>
      </c>
      <c r="C43">
        <v>1</v>
      </c>
      <c r="D43">
        <v>240</v>
      </c>
      <c r="E43">
        <v>3</v>
      </c>
      <c r="F43" t="s">
        <v>45</v>
      </c>
      <c r="G43" t="s">
        <v>1208</v>
      </c>
      <c r="H43">
        <v>5</v>
      </c>
      <c r="J43" t="s">
        <v>647</v>
      </c>
      <c r="K43" t="s">
        <v>317</v>
      </c>
      <c r="L43">
        <v>0.7</v>
      </c>
      <c r="M43">
        <v>224</v>
      </c>
      <c r="N43" t="s">
        <v>1210</v>
      </c>
      <c r="O43">
        <v>240</v>
      </c>
    </row>
    <row r="44" spans="1:28" x14ac:dyDescent="0.35">
      <c r="A44">
        <v>2016</v>
      </c>
      <c r="B44">
        <v>8</v>
      </c>
      <c r="C44">
        <v>31</v>
      </c>
      <c r="D44">
        <v>285</v>
      </c>
      <c r="E44">
        <v>3</v>
      </c>
      <c r="F44" t="s">
        <v>45</v>
      </c>
      <c r="G44" t="s">
        <v>1208</v>
      </c>
      <c r="H44">
        <v>5</v>
      </c>
      <c r="J44" t="s">
        <v>749</v>
      </c>
      <c r="K44" t="s">
        <v>317</v>
      </c>
      <c r="L44">
        <v>10.3</v>
      </c>
      <c r="M44">
        <v>224</v>
      </c>
      <c r="N44" t="s">
        <v>1210</v>
      </c>
      <c r="O44">
        <v>285</v>
      </c>
    </row>
    <row r="45" spans="1:28" x14ac:dyDescent="0.35">
      <c r="A45">
        <v>2017</v>
      </c>
      <c r="B45">
        <v>8</v>
      </c>
      <c r="C45">
        <v>8</v>
      </c>
      <c r="D45">
        <v>86</v>
      </c>
      <c r="E45">
        <v>3</v>
      </c>
      <c r="F45" t="s">
        <v>45</v>
      </c>
      <c r="G45" t="s">
        <v>1215</v>
      </c>
      <c r="H45">
        <v>8</v>
      </c>
      <c r="J45" t="s">
        <v>512</v>
      </c>
      <c r="K45" t="s">
        <v>512</v>
      </c>
      <c r="L45">
        <v>7.3</v>
      </c>
      <c r="M45">
        <v>225</v>
      </c>
      <c r="N45" t="s">
        <v>1210</v>
      </c>
      <c r="O45">
        <v>86</v>
      </c>
    </row>
    <row r="46" spans="1:28" x14ac:dyDescent="0.35">
      <c r="A46">
        <v>2016</v>
      </c>
      <c r="B46">
        <v>9</v>
      </c>
      <c r="C46">
        <v>1</v>
      </c>
      <c r="D46">
        <v>239</v>
      </c>
      <c r="E46">
        <v>3</v>
      </c>
      <c r="F46" t="s">
        <v>45</v>
      </c>
      <c r="G46" t="s">
        <v>1208</v>
      </c>
      <c r="H46">
        <v>5</v>
      </c>
      <c r="J46" t="s">
        <v>647</v>
      </c>
      <c r="K46" t="s">
        <v>317</v>
      </c>
      <c r="L46">
        <v>8.6</v>
      </c>
      <c r="M46">
        <v>225</v>
      </c>
      <c r="N46" t="s">
        <v>1210</v>
      </c>
      <c r="O46">
        <v>239</v>
      </c>
    </row>
    <row r="47" spans="1:28" x14ac:dyDescent="0.35">
      <c r="A47">
        <v>2016</v>
      </c>
      <c r="B47">
        <v>11</v>
      </c>
      <c r="C47">
        <v>7</v>
      </c>
      <c r="D47">
        <v>206</v>
      </c>
      <c r="E47">
        <v>4</v>
      </c>
      <c r="F47" t="s">
        <v>45</v>
      </c>
      <c r="G47" t="s">
        <v>1215</v>
      </c>
      <c r="H47">
        <v>7</v>
      </c>
      <c r="J47" t="s">
        <v>657</v>
      </c>
      <c r="K47" t="s">
        <v>488</v>
      </c>
      <c r="L47">
        <v>7.2</v>
      </c>
      <c r="M47">
        <v>226</v>
      </c>
      <c r="N47" t="s">
        <v>1210</v>
      </c>
      <c r="O47">
        <v>206</v>
      </c>
    </row>
    <row r="48" spans="1:28" x14ac:dyDescent="0.35">
      <c r="A48">
        <v>2016</v>
      </c>
      <c r="B48">
        <v>8</v>
      </c>
      <c r="C48">
        <v>31</v>
      </c>
      <c r="D48">
        <v>279</v>
      </c>
      <c r="E48">
        <v>3</v>
      </c>
      <c r="F48" t="s">
        <v>45</v>
      </c>
      <c r="G48" t="s">
        <v>1215</v>
      </c>
      <c r="H48">
        <v>7</v>
      </c>
      <c r="J48" t="s">
        <v>742</v>
      </c>
      <c r="K48" t="s">
        <v>488</v>
      </c>
      <c r="L48">
        <v>8.5</v>
      </c>
      <c r="M48">
        <v>226</v>
      </c>
      <c r="N48" t="s">
        <v>1210</v>
      </c>
      <c r="O48">
        <v>279</v>
      </c>
    </row>
    <row r="49" spans="1:15" x14ac:dyDescent="0.35">
      <c r="A49">
        <v>2016</v>
      </c>
      <c r="B49">
        <v>11</v>
      </c>
      <c r="C49">
        <v>16</v>
      </c>
      <c r="D49">
        <v>177</v>
      </c>
      <c r="E49">
        <v>4</v>
      </c>
      <c r="F49" t="s">
        <v>41</v>
      </c>
      <c r="G49" t="s">
        <v>1207</v>
      </c>
      <c r="H49">
        <v>3</v>
      </c>
      <c r="J49" t="s">
        <v>583</v>
      </c>
      <c r="K49" t="s">
        <v>318</v>
      </c>
      <c r="L49">
        <v>0.9</v>
      </c>
      <c r="M49">
        <v>227</v>
      </c>
      <c r="N49" t="s">
        <v>1208</v>
      </c>
      <c r="O49">
        <v>177</v>
      </c>
    </row>
    <row r="50" spans="1:15" x14ac:dyDescent="0.35">
      <c r="A50">
        <v>2022</v>
      </c>
      <c r="B50">
        <v>11</v>
      </c>
      <c r="C50">
        <v>14</v>
      </c>
      <c r="D50">
        <v>99</v>
      </c>
      <c r="E50">
        <v>4</v>
      </c>
      <c r="F50" t="s">
        <v>20</v>
      </c>
      <c r="G50" t="s">
        <v>1213</v>
      </c>
      <c r="H50">
        <v>2</v>
      </c>
      <c r="J50">
        <v>37</v>
      </c>
      <c r="K50">
        <v>37</v>
      </c>
      <c r="L50">
        <v>8.4</v>
      </c>
      <c r="M50">
        <v>228</v>
      </c>
      <c r="N50" t="s">
        <v>1214</v>
      </c>
      <c r="O50">
        <v>99</v>
      </c>
    </row>
    <row r="51" spans="1:15" x14ac:dyDescent="0.35">
      <c r="A51">
        <v>2016</v>
      </c>
      <c r="B51">
        <v>8</v>
      </c>
      <c r="C51">
        <v>31</v>
      </c>
      <c r="D51">
        <v>286</v>
      </c>
      <c r="E51">
        <v>3</v>
      </c>
      <c r="F51" t="s">
        <v>45</v>
      </c>
      <c r="G51" t="s">
        <v>1208</v>
      </c>
      <c r="H51">
        <v>5</v>
      </c>
      <c r="J51" t="s">
        <v>749</v>
      </c>
      <c r="K51" t="s">
        <v>317</v>
      </c>
      <c r="L51">
        <v>6.8</v>
      </c>
      <c r="M51">
        <v>230</v>
      </c>
      <c r="N51" t="s">
        <v>1210</v>
      </c>
      <c r="O51">
        <v>286</v>
      </c>
    </row>
    <row r="52" spans="1:15" x14ac:dyDescent="0.35">
      <c r="A52">
        <v>2023</v>
      </c>
      <c r="B52">
        <v>8</v>
      </c>
      <c r="C52">
        <v>2</v>
      </c>
      <c r="D52">
        <v>432</v>
      </c>
      <c r="E52">
        <v>3</v>
      </c>
      <c r="F52" t="s">
        <v>225</v>
      </c>
      <c r="G52" t="s">
        <v>1216</v>
      </c>
      <c r="H52">
        <v>1</v>
      </c>
      <c r="J52" t="s">
        <v>67</v>
      </c>
      <c r="K52">
        <v>2</v>
      </c>
      <c r="L52">
        <v>33.6</v>
      </c>
      <c r="M52">
        <v>230</v>
      </c>
      <c r="N52" t="s">
        <v>1209</v>
      </c>
      <c r="O52">
        <v>432</v>
      </c>
    </row>
    <row r="53" spans="1:15" x14ac:dyDescent="0.35">
      <c r="A53">
        <v>2019</v>
      </c>
      <c r="B53">
        <v>11</v>
      </c>
      <c r="C53">
        <v>27</v>
      </c>
      <c r="D53">
        <v>55</v>
      </c>
      <c r="E53">
        <v>4</v>
      </c>
      <c r="F53" t="s">
        <v>45</v>
      </c>
      <c r="G53" t="s">
        <v>1215</v>
      </c>
      <c r="H53">
        <v>10</v>
      </c>
      <c r="J53" t="s">
        <v>488</v>
      </c>
      <c r="K53" t="s">
        <v>488</v>
      </c>
      <c r="L53">
        <v>8.9</v>
      </c>
      <c r="M53">
        <v>231</v>
      </c>
      <c r="N53" t="s">
        <v>1210</v>
      </c>
      <c r="O53">
        <v>55</v>
      </c>
    </row>
    <row r="54" spans="1:15" x14ac:dyDescent="0.35">
      <c r="A54">
        <v>2016</v>
      </c>
      <c r="B54">
        <v>8</v>
      </c>
      <c r="C54">
        <v>31</v>
      </c>
      <c r="D54">
        <v>250</v>
      </c>
      <c r="E54">
        <v>3</v>
      </c>
      <c r="F54" t="s">
        <v>45</v>
      </c>
      <c r="G54" t="s">
        <v>1215</v>
      </c>
      <c r="H54">
        <v>7</v>
      </c>
      <c r="J54" t="s">
        <v>657</v>
      </c>
      <c r="K54" t="s">
        <v>488</v>
      </c>
      <c r="L54">
        <v>7.6</v>
      </c>
      <c r="M54">
        <v>232</v>
      </c>
      <c r="N54" t="s">
        <v>1210</v>
      </c>
      <c r="O54">
        <v>250</v>
      </c>
    </row>
    <row r="55" spans="1:15" x14ac:dyDescent="0.35">
      <c r="A55" t="s">
        <v>28</v>
      </c>
      <c r="B55" t="s">
        <v>28</v>
      </c>
      <c r="C55" t="s">
        <v>28</v>
      </c>
      <c r="D55">
        <v>302</v>
      </c>
      <c r="E55" t="s">
        <v>28</v>
      </c>
      <c r="F55" t="s">
        <v>28</v>
      </c>
      <c r="G55" t="b">
        <v>0</v>
      </c>
      <c r="H55" t="e">
        <v>#VALUE!</v>
      </c>
      <c r="J55" t="s">
        <v>28</v>
      </c>
      <c r="K55" t="s">
        <v>28</v>
      </c>
      <c r="L55">
        <v>9.1</v>
      </c>
      <c r="M55">
        <v>233</v>
      </c>
      <c r="N55" t="b">
        <v>0</v>
      </c>
      <c r="O55">
        <v>302</v>
      </c>
    </row>
    <row r="56" spans="1:15" x14ac:dyDescent="0.35">
      <c r="A56">
        <v>2024</v>
      </c>
      <c r="B56">
        <v>1</v>
      </c>
      <c r="C56">
        <v>23</v>
      </c>
      <c r="D56">
        <v>609</v>
      </c>
      <c r="E56">
        <v>1</v>
      </c>
      <c r="F56" t="s">
        <v>20</v>
      </c>
      <c r="G56" t="s">
        <v>1213</v>
      </c>
      <c r="H56">
        <v>4</v>
      </c>
      <c r="J56" t="s">
        <v>64</v>
      </c>
      <c r="K56">
        <v>7</v>
      </c>
      <c r="L56">
        <v>29.8</v>
      </c>
      <c r="M56">
        <v>233</v>
      </c>
      <c r="N56" t="s">
        <v>1214</v>
      </c>
      <c r="O56">
        <v>609</v>
      </c>
    </row>
    <row r="57" spans="1:15" x14ac:dyDescent="0.35">
      <c r="A57">
        <v>2016</v>
      </c>
      <c r="B57">
        <v>9</v>
      </c>
      <c r="C57">
        <v>2</v>
      </c>
      <c r="D57">
        <v>295</v>
      </c>
      <c r="E57">
        <v>3</v>
      </c>
      <c r="F57" t="s">
        <v>41</v>
      </c>
      <c r="G57" t="s">
        <v>1207</v>
      </c>
      <c r="H57">
        <v>3</v>
      </c>
      <c r="J57" t="s">
        <v>583</v>
      </c>
      <c r="K57" t="s">
        <v>318</v>
      </c>
      <c r="L57">
        <v>11.6</v>
      </c>
      <c r="M57">
        <v>235</v>
      </c>
      <c r="N57" t="s">
        <v>1208</v>
      </c>
      <c r="O57">
        <v>295</v>
      </c>
    </row>
    <row r="58" spans="1:15" x14ac:dyDescent="0.35">
      <c r="A58">
        <v>2023</v>
      </c>
      <c r="B58">
        <v>11</v>
      </c>
      <c r="C58">
        <v>3</v>
      </c>
      <c r="D58">
        <v>506</v>
      </c>
      <c r="E58">
        <v>4</v>
      </c>
      <c r="F58" t="s">
        <v>226</v>
      </c>
      <c r="G58" t="s">
        <v>1211</v>
      </c>
      <c r="H58">
        <v>6</v>
      </c>
      <c r="J58" t="s">
        <v>783</v>
      </c>
      <c r="K58">
        <v>7</v>
      </c>
      <c r="L58">
        <v>10.199999999999999</v>
      </c>
      <c r="M58">
        <v>235</v>
      </c>
      <c r="N58" t="s">
        <v>1211</v>
      </c>
      <c r="O58">
        <v>506</v>
      </c>
    </row>
    <row r="59" spans="1:15" x14ac:dyDescent="0.35">
      <c r="A59">
        <v>2024</v>
      </c>
      <c r="B59">
        <v>2</v>
      </c>
      <c r="C59">
        <v>23</v>
      </c>
      <c r="D59">
        <v>643</v>
      </c>
      <c r="E59">
        <v>1</v>
      </c>
      <c r="F59" t="s">
        <v>225</v>
      </c>
      <c r="G59" t="s">
        <v>1216</v>
      </c>
      <c r="H59">
        <v>2</v>
      </c>
      <c r="J59" t="s">
        <v>21</v>
      </c>
      <c r="K59">
        <v>2</v>
      </c>
      <c r="L59">
        <v>10.6</v>
      </c>
      <c r="M59">
        <v>235</v>
      </c>
      <c r="N59" t="s">
        <v>1209</v>
      </c>
      <c r="O59">
        <v>643</v>
      </c>
    </row>
    <row r="60" spans="1:15" x14ac:dyDescent="0.35">
      <c r="A60">
        <v>2023</v>
      </c>
      <c r="B60">
        <v>7</v>
      </c>
      <c r="C60">
        <v>18</v>
      </c>
      <c r="D60">
        <v>342</v>
      </c>
      <c r="E60">
        <v>3</v>
      </c>
      <c r="F60" t="s">
        <v>41</v>
      </c>
      <c r="G60" t="s">
        <v>1212</v>
      </c>
      <c r="H60">
        <v>11</v>
      </c>
      <c r="J60" t="s">
        <v>551</v>
      </c>
      <c r="K60" t="s">
        <v>461</v>
      </c>
      <c r="L60">
        <v>9.4</v>
      </c>
      <c r="M60">
        <v>237</v>
      </c>
      <c r="N60" t="s">
        <v>1208</v>
      </c>
      <c r="O60">
        <v>342</v>
      </c>
    </row>
    <row r="61" spans="1:15" x14ac:dyDescent="0.35">
      <c r="A61">
        <v>2016</v>
      </c>
      <c r="B61">
        <v>9</v>
      </c>
      <c r="C61">
        <v>8</v>
      </c>
      <c r="D61">
        <v>223</v>
      </c>
      <c r="E61">
        <v>3</v>
      </c>
      <c r="F61" t="s">
        <v>41</v>
      </c>
      <c r="G61" t="s">
        <v>1207</v>
      </c>
      <c r="H61">
        <v>3</v>
      </c>
      <c r="J61" t="s">
        <v>669</v>
      </c>
      <c r="K61" t="s">
        <v>458</v>
      </c>
      <c r="L61">
        <v>0.9</v>
      </c>
      <c r="M61">
        <v>238</v>
      </c>
      <c r="N61" t="s">
        <v>1208</v>
      </c>
      <c r="O61">
        <v>223</v>
      </c>
    </row>
    <row r="62" spans="1:15" x14ac:dyDescent="0.35">
      <c r="A62">
        <v>2024</v>
      </c>
      <c r="B62">
        <v>2</v>
      </c>
      <c r="C62">
        <v>23</v>
      </c>
      <c r="D62">
        <v>634</v>
      </c>
      <c r="E62">
        <v>1</v>
      </c>
      <c r="F62" t="s">
        <v>225</v>
      </c>
      <c r="G62" t="s">
        <v>1216</v>
      </c>
      <c r="H62">
        <v>2</v>
      </c>
      <c r="J62" t="s">
        <v>21</v>
      </c>
      <c r="K62">
        <v>2</v>
      </c>
      <c r="L62">
        <v>13.9</v>
      </c>
      <c r="M62">
        <v>238</v>
      </c>
      <c r="N62" t="s">
        <v>1209</v>
      </c>
      <c r="O62">
        <v>634</v>
      </c>
    </row>
    <row r="63" spans="1:15" x14ac:dyDescent="0.35">
      <c r="A63">
        <v>2016</v>
      </c>
      <c r="B63">
        <v>9</v>
      </c>
      <c r="C63">
        <v>2</v>
      </c>
      <c r="D63">
        <v>289</v>
      </c>
      <c r="E63">
        <v>3</v>
      </c>
      <c r="F63" t="s">
        <v>41</v>
      </c>
      <c r="G63" t="s">
        <v>1207</v>
      </c>
      <c r="H63">
        <v>3</v>
      </c>
      <c r="J63" t="s">
        <v>755</v>
      </c>
      <c r="K63" t="s">
        <v>458</v>
      </c>
      <c r="L63">
        <v>1</v>
      </c>
      <c r="M63">
        <v>239</v>
      </c>
      <c r="N63" t="s">
        <v>1208</v>
      </c>
      <c r="O63">
        <v>289</v>
      </c>
    </row>
    <row r="64" spans="1:15" x14ac:dyDescent="0.35">
      <c r="A64">
        <v>2022</v>
      </c>
      <c r="B64">
        <v>11</v>
      </c>
      <c r="C64">
        <v>14</v>
      </c>
      <c r="D64">
        <v>121</v>
      </c>
      <c r="E64">
        <v>4</v>
      </c>
      <c r="F64" t="s">
        <v>20</v>
      </c>
      <c r="G64" t="s">
        <v>1213</v>
      </c>
      <c r="H64">
        <v>2</v>
      </c>
      <c r="J64">
        <v>8</v>
      </c>
      <c r="K64">
        <v>8</v>
      </c>
      <c r="L64">
        <v>9.8000000000000007</v>
      </c>
      <c r="M64">
        <v>240</v>
      </c>
      <c r="N64" t="s">
        <v>1214</v>
      </c>
      <c r="O64">
        <v>121</v>
      </c>
    </row>
    <row r="65" spans="1:16" x14ac:dyDescent="0.35">
      <c r="A65">
        <v>2016</v>
      </c>
      <c r="B65">
        <v>11</v>
      </c>
      <c r="C65">
        <v>7</v>
      </c>
      <c r="D65">
        <v>210</v>
      </c>
      <c r="E65">
        <v>4</v>
      </c>
      <c r="F65" t="s">
        <v>45</v>
      </c>
      <c r="G65" t="s">
        <v>1215</v>
      </c>
      <c r="H65">
        <v>7</v>
      </c>
      <c r="J65" t="s">
        <v>662</v>
      </c>
      <c r="K65" t="s">
        <v>488</v>
      </c>
      <c r="L65">
        <v>9.6999999999999993</v>
      </c>
      <c r="M65">
        <v>240</v>
      </c>
      <c r="N65" t="s">
        <v>1210</v>
      </c>
      <c r="O65">
        <v>210</v>
      </c>
    </row>
    <row r="66" spans="1:16" x14ac:dyDescent="0.35">
      <c r="A66">
        <v>2016</v>
      </c>
      <c r="B66">
        <v>11</v>
      </c>
      <c r="C66">
        <v>7</v>
      </c>
      <c r="D66">
        <v>255</v>
      </c>
      <c r="E66">
        <v>4</v>
      </c>
      <c r="F66" t="s">
        <v>45</v>
      </c>
      <c r="G66" t="s">
        <v>1215</v>
      </c>
      <c r="H66">
        <v>7</v>
      </c>
      <c r="J66" t="s">
        <v>711</v>
      </c>
      <c r="K66" t="s">
        <v>512</v>
      </c>
      <c r="L66">
        <v>11.5</v>
      </c>
      <c r="M66">
        <v>240</v>
      </c>
      <c r="N66" t="s">
        <v>1210</v>
      </c>
      <c r="O66">
        <v>255</v>
      </c>
    </row>
    <row r="67" spans="1:16" x14ac:dyDescent="0.35">
      <c r="A67">
        <v>2016</v>
      </c>
      <c r="B67">
        <v>8</v>
      </c>
      <c r="C67">
        <v>31</v>
      </c>
      <c r="D67">
        <v>282</v>
      </c>
      <c r="E67">
        <v>3</v>
      </c>
      <c r="F67" t="s">
        <v>45</v>
      </c>
      <c r="G67" t="s">
        <v>1215</v>
      </c>
      <c r="H67">
        <v>7</v>
      </c>
      <c r="J67" t="s">
        <v>742</v>
      </c>
      <c r="K67" t="s">
        <v>488</v>
      </c>
      <c r="L67">
        <v>8.9</v>
      </c>
      <c r="M67">
        <v>240</v>
      </c>
      <c r="N67" t="s">
        <v>1210</v>
      </c>
      <c r="O67">
        <v>282</v>
      </c>
    </row>
    <row r="68" spans="1:16" x14ac:dyDescent="0.35">
      <c r="A68">
        <v>2024</v>
      </c>
      <c r="B68">
        <v>1</v>
      </c>
      <c r="C68">
        <v>26</v>
      </c>
      <c r="D68">
        <v>574</v>
      </c>
      <c r="E68">
        <v>1</v>
      </c>
      <c r="F68" t="s">
        <v>225</v>
      </c>
      <c r="G68" t="s">
        <v>1209</v>
      </c>
      <c r="H68">
        <v>3</v>
      </c>
      <c r="J68" t="s">
        <v>1018</v>
      </c>
      <c r="K68">
        <v>1</v>
      </c>
      <c r="L68">
        <v>11.1</v>
      </c>
      <c r="M68">
        <v>240</v>
      </c>
      <c r="N68" t="s">
        <v>1209</v>
      </c>
      <c r="O68">
        <v>574</v>
      </c>
    </row>
    <row r="69" spans="1:16" x14ac:dyDescent="0.35">
      <c r="A69">
        <v>2019</v>
      </c>
      <c r="B69">
        <v>11</v>
      </c>
      <c r="C69">
        <v>27</v>
      </c>
      <c r="D69">
        <v>53</v>
      </c>
      <c r="E69">
        <v>4</v>
      </c>
      <c r="F69" t="s">
        <v>45</v>
      </c>
      <c r="G69" t="s">
        <v>1215</v>
      </c>
      <c r="H69">
        <v>10</v>
      </c>
      <c r="J69" t="s">
        <v>488</v>
      </c>
      <c r="K69" t="s">
        <v>488</v>
      </c>
      <c r="L69">
        <v>8.4</v>
      </c>
      <c r="M69">
        <v>243</v>
      </c>
      <c r="N69" t="s">
        <v>1210</v>
      </c>
      <c r="O69">
        <v>53</v>
      </c>
      <c r="P69">
        <v>5.99</v>
      </c>
    </row>
    <row r="70" spans="1:16" x14ac:dyDescent="0.35">
      <c r="A70">
        <v>2017</v>
      </c>
      <c r="B70">
        <v>11</v>
      </c>
      <c r="C70">
        <v>14</v>
      </c>
      <c r="D70">
        <v>68</v>
      </c>
      <c r="E70">
        <v>4</v>
      </c>
      <c r="F70" t="s">
        <v>41</v>
      </c>
      <c r="G70" t="s">
        <v>28</v>
      </c>
      <c r="H70" t="e">
        <v>#VALUE!</v>
      </c>
      <c r="J70" t="s">
        <v>28</v>
      </c>
      <c r="K70" t="s">
        <v>28</v>
      </c>
      <c r="L70">
        <v>7.3</v>
      </c>
      <c r="M70">
        <v>245</v>
      </c>
      <c r="N70" t="s">
        <v>1208</v>
      </c>
      <c r="O70">
        <v>68</v>
      </c>
    </row>
    <row r="71" spans="1:16" x14ac:dyDescent="0.35">
      <c r="A71">
        <v>2016</v>
      </c>
      <c r="B71">
        <v>8</v>
      </c>
      <c r="C71">
        <v>31</v>
      </c>
      <c r="D71">
        <v>249</v>
      </c>
      <c r="E71">
        <v>3</v>
      </c>
      <c r="F71" t="s">
        <v>45</v>
      </c>
      <c r="G71" t="s">
        <v>1215</v>
      </c>
      <c r="H71">
        <v>7</v>
      </c>
      <c r="J71" t="s">
        <v>657</v>
      </c>
      <c r="K71" t="s">
        <v>488</v>
      </c>
      <c r="L71">
        <v>8.8000000000000007</v>
      </c>
      <c r="M71">
        <v>249</v>
      </c>
      <c r="N71" t="s">
        <v>1210</v>
      </c>
      <c r="O71">
        <v>249</v>
      </c>
    </row>
    <row r="72" spans="1:16" x14ac:dyDescent="0.35">
      <c r="A72">
        <v>2016</v>
      </c>
      <c r="B72">
        <v>9</v>
      </c>
      <c r="C72">
        <v>2</v>
      </c>
      <c r="D72">
        <v>294</v>
      </c>
      <c r="E72">
        <v>3</v>
      </c>
      <c r="F72" t="s">
        <v>41</v>
      </c>
      <c r="G72" t="s">
        <v>1207</v>
      </c>
      <c r="H72">
        <v>3</v>
      </c>
      <c r="J72" t="s">
        <v>583</v>
      </c>
      <c r="K72" t="s">
        <v>318</v>
      </c>
      <c r="L72">
        <v>15.6</v>
      </c>
      <c r="M72">
        <v>250</v>
      </c>
      <c r="N72" t="s">
        <v>1208</v>
      </c>
      <c r="O72">
        <v>294</v>
      </c>
    </row>
    <row r="73" spans="1:16" x14ac:dyDescent="0.35">
      <c r="A73">
        <v>2024</v>
      </c>
      <c r="B73">
        <v>1</v>
      </c>
      <c r="C73">
        <v>19</v>
      </c>
      <c r="D73">
        <v>576</v>
      </c>
      <c r="E73">
        <v>1</v>
      </c>
      <c r="F73" t="s">
        <v>41</v>
      </c>
      <c r="G73" t="s">
        <v>1207</v>
      </c>
      <c r="H73">
        <v>11</v>
      </c>
      <c r="J73" t="s">
        <v>509</v>
      </c>
      <c r="K73" t="s">
        <v>458</v>
      </c>
      <c r="L73">
        <v>35.299999999999997</v>
      </c>
      <c r="M73">
        <v>250</v>
      </c>
      <c r="N73" t="s">
        <v>1208</v>
      </c>
      <c r="O73">
        <v>576</v>
      </c>
    </row>
    <row r="74" spans="1:16" x14ac:dyDescent="0.35">
      <c r="A74">
        <v>2016</v>
      </c>
      <c r="B74">
        <v>9</v>
      </c>
      <c r="C74">
        <v>1</v>
      </c>
      <c r="D74">
        <v>241</v>
      </c>
      <c r="E74">
        <v>3</v>
      </c>
      <c r="F74" t="s">
        <v>45</v>
      </c>
      <c r="G74" t="s">
        <v>1208</v>
      </c>
      <c r="H74">
        <v>5</v>
      </c>
      <c r="J74" t="s">
        <v>647</v>
      </c>
      <c r="K74" t="s">
        <v>317</v>
      </c>
      <c r="L74">
        <v>10.7</v>
      </c>
      <c r="M74">
        <v>251</v>
      </c>
      <c r="N74" t="s">
        <v>1210</v>
      </c>
      <c r="O74">
        <v>241</v>
      </c>
    </row>
    <row r="75" spans="1:16" x14ac:dyDescent="0.35">
      <c r="A75">
        <v>2018</v>
      </c>
      <c r="B75">
        <v>8</v>
      </c>
      <c r="C75">
        <v>17</v>
      </c>
      <c r="D75">
        <v>277</v>
      </c>
      <c r="E75">
        <v>3</v>
      </c>
      <c r="F75" t="s">
        <v>45</v>
      </c>
      <c r="G75" t="s">
        <v>1215</v>
      </c>
      <c r="H75">
        <v>9</v>
      </c>
      <c r="J75" t="s">
        <v>740</v>
      </c>
      <c r="K75" t="s">
        <v>488</v>
      </c>
      <c r="L75">
        <v>8.1</v>
      </c>
      <c r="M75">
        <v>251</v>
      </c>
      <c r="N75" t="s">
        <v>1210</v>
      </c>
      <c r="O75">
        <v>277</v>
      </c>
    </row>
    <row r="76" spans="1:16" x14ac:dyDescent="0.35">
      <c r="A76">
        <v>2022</v>
      </c>
      <c r="B76">
        <v>11</v>
      </c>
      <c r="C76">
        <v>15</v>
      </c>
      <c r="D76">
        <v>107</v>
      </c>
      <c r="E76">
        <v>4</v>
      </c>
      <c r="F76" t="s">
        <v>20</v>
      </c>
      <c r="G76" t="s">
        <v>1213</v>
      </c>
      <c r="H76">
        <v>2</v>
      </c>
      <c r="J76">
        <v>7</v>
      </c>
      <c r="K76">
        <v>7</v>
      </c>
      <c r="L76">
        <v>14.8</v>
      </c>
      <c r="M76">
        <v>252</v>
      </c>
      <c r="N76" t="s">
        <v>1214</v>
      </c>
      <c r="O76">
        <v>107</v>
      </c>
    </row>
    <row r="77" spans="1:16" x14ac:dyDescent="0.35">
      <c r="A77">
        <v>2016</v>
      </c>
      <c r="B77">
        <v>8</v>
      </c>
      <c r="C77">
        <v>31</v>
      </c>
      <c r="D77">
        <v>281</v>
      </c>
      <c r="E77">
        <v>3</v>
      </c>
      <c r="F77" t="s">
        <v>45</v>
      </c>
      <c r="G77" t="s">
        <v>1215</v>
      </c>
      <c r="H77">
        <v>7</v>
      </c>
      <c r="J77" t="s">
        <v>742</v>
      </c>
      <c r="K77" t="s">
        <v>488</v>
      </c>
      <c r="L77">
        <v>12.6</v>
      </c>
      <c r="M77">
        <v>252</v>
      </c>
      <c r="N77" t="s">
        <v>1210</v>
      </c>
      <c r="O77">
        <v>281</v>
      </c>
    </row>
    <row r="78" spans="1:16" x14ac:dyDescent="0.35">
      <c r="A78">
        <v>2016</v>
      </c>
      <c r="B78">
        <v>8</v>
      </c>
      <c r="C78">
        <v>31</v>
      </c>
      <c r="D78">
        <v>280</v>
      </c>
      <c r="E78">
        <v>3</v>
      </c>
      <c r="F78" t="s">
        <v>45</v>
      </c>
      <c r="G78" t="s">
        <v>1215</v>
      </c>
      <c r="H78">
        <v>7</v>
      </c>
      <c r="J78" t="s">
        <v>742</v>
      </c>
      <c r="K78" t="s">
        <v>488</v>
      </c>
      <c r="L78">
        <v>9.8000000000000007</v>
      </c>
      <c r="M78">
        <v>253</v>
      </c>
      <c r="N78" t="s">
        <v>1210</v>
      </c>
      <c r="O78">
        <v>280</v>
      </c>
    </row>
    <row r="79" spans="1:16" x14ac:dyDescent="0.35">
      <c r="A79">
        <v>2016</v>
      </c>
      <c r="B79">
        <v>8</v>
      </c>
      <c r="C79">
        <v>31</v>
      </c>
      <c r="D79">
        <v>280</v>
      </c>
      <c r="E79">
        <v>3</v>
      </c>
      <c r="F79" t="s">
        <v>45</v>
      </c>
      <c r="G79" t="s">
        <v>1215</v>
      </c>
      <c r="H79">
        <v>7</v>
      </c>
      <c r="J79" t="s">
        <v>742</v>
      </c>
      <c r="K79" t="s">
        <v>488</v>
      </c>
      <c r="L79">
        <v>9.8000000000000007</v>
      </c>
      <c r="M79">
        <v>253</v>
      </c>
      <c r="N79" t="s">
        <v>1210</v>
      </c>
      <c r="O79">
        <v>280</v>
      </c>
    </row>
    <row r="80" spans="1:16" x14ac:dyDescent="0.35">
      <c r="A80">
        <v>2016</v>
      </c>
      <c r="B80">
        <v>11</v>
      </c>
      <c r="C80">
        <v>7</v>
      </c>
      <c r="D80">
        <v>231</v>
      </c>
      <c r="E80">
        <v>4</v>
      </c>
      <c r="F80" t="s">
        <v>45</v>
      </c>
      <c r="G80" t="s">
        <v>1215</v>
      </c>
      <c r="H80">
        <v>7</v>
      </c>
      <c r="J80" t="s">
        <v>671</v>
      </c>
      <c r="K80" t="s">
        <v>512</v>
      </c>
      <c r="L80">
        <v>12.7</v>
      </c>
      <c r="M80">
        <v>254</v>
      </c>
      <c r="N80" t="s">
        <v>1210</v>
      </c>
      <c r="O80">
        <v>231</v>
      </c>
    </row>
    <row r="81" spans="1:16" x14ac:dyDescent="0.35">
      <c r="A81">
        <v>2023</v>
      </c>
      <c r="B81">
        <v>7</v>
      </c>
      <c r="C81">
        <v>31</v>
      </c>
      <c r="D81">
        <v>453</v>
      </c>
      <c r="E81">
        <v>3</v>
      </c>
      <c r="F81" t="s">
        <v>225</v>
      </c>
      <c r="G81" t="s">
        <v>1216</v>
      </c>
      <c r="H81">
        <v>1</v>
      </c>
      <c r="J81" t="s">
        <v>67</v>
      </c>
      <c r="K81">
        <v>2</v>
      </c>
      <c r="L81">
        <v>13.8</v>
      </c>
      <c r="M81">
        <v>254</v>
      </c>
      <c r="N81" t="s">
        <v>1209</v>
      </c>
      <c r="O81">
        <v>453</v>
      </c>
    </row>
    <row r="82" spans="1:16" x14ac:dyDescent="0.35">
      <c r="A82">
        <v>2024</v>
      </c>
      <c r="B82">
        <v>4</v>
      </c>
      <c r="C82">
        <v>8</v>
      </c>
      <c r="D82">
        <v>671</v>
      </c>
      <c r="E82">
        <v>2</v>
      </c>
      <c r="F82" t="s">
        <v>225</v>
      </c>
      <c r="G82" t="s">
        <v>1216</v>
      </c>
      <c r="H82">
        <v>2</v>
      </c>
      <c r="J82" t="s">
        <v>1093</v>
      </c>
      <c r="K82">
        <v>2</v>
      </c>
      <c r="L82">
        <v>12.5</v>
      </c>
      <c r="M82">
        <v>254</v>
      </c>
      <c r="N82" t="s">
        <v>1209</v>
      </c>
      <c r="O82">
        <v>671</v>
      </c>
    </row>
    <row r="83" spans="1:16" x14ac:dyDescent="0.35">
      <c r="A83">
        <v>2016</v>
      </c>
      <c r="B83">
        <v>9</v>
      </c>
      <c r="C83">
        <v>8</v>
      </c>
      <c r="D83">
        <v>224</v>
      </c>
      <c r="E83">
        <v>3</v>
      </c>
      <c r="F83" t="s">
        <v>41</v>
      </c>
      <c r="G83" t="s">
        <v>1207</v>
      </c>
      <c r="H83">
        <v>3</v>
      </c>
      <c r="J83" t="s">
        <v>669</v>
      </c>
      <c r="K83" t="s">
        <v>458</v>
      </c>
      <c r="L83">
        <v>12.8</v>
      </c>
      <c r="M83">
        <v>255</v>
      </c>
      <c r="N83" t="s">
        <v>1208</v>
      </c>
      <c r="O83">
        <v>224</v>
      </c>
    </row>
    <row r="84" spans="1:16" x14ac:dyDescent="0.35">
      <c r="A84">
        <v>2016</v>
      </c>
      <c r="B84">
        <v>8</v>
      </c>
      <c r="C84">
        <v>31</v>
      </c>
      <c r="D84">
        <v>276</v>
      </c>
      <c r="E84">
        <v>3</v>
      </c>
      <c r="F84" t="s">
        <v>45</v>
      </c>
      <c r="G84" t="s">
        <v>1215</v>
      </c>
      <c r="H84">
        <v>7</v>
      </c>
      <c r="J84" t="s">
        <v>644</v>
      </c>
      <c r="K84" t="s">
        <v>488</v>
      </c>
      <c r="L84">
        <v>1.3</v>
      </c>
      <c r="M84">
        <v>257</v>
      </c>
      <c r="N84" t="s">
        <v>1210</v>
      </c>
      <c r="O84">
        <v>276</v>
      </c>
      <c r="P84">
        <v>7.29</v>
      </c>
    </row>
    <row r="85" spans="1:16" x14ac:dyDescent="0.35">
      <c r="A85">
        <v>2022</v>
      </c>
      <c r="B85">
        <v>11</v>
      </c>
      <c r="C85">
        <v>15</v>
      </c>
      <c r="D85">
        <v>108</v>
      </c>
      <c r="E85">
        <v>4</v>
      </c>
      <c r="F85" t="s">
        <v>20</v>
      </c>
      <c r="G85" t="s">
        <v>1213</v>
      </c>
      <c r="H85">
        <v>2</v>
      </c>
      <c r="J85">
        <v>7</v>
      </c>
      <c r="K85">
        <v>7</v>
      </c>
      <c r="L85">
        <v>11.2</v>
      </c>
      <c r="M85">
        <v>257</v>
      </c>
      <c r="N85" t="s">
        <v>1214</v>
      </c>
      <c r="O85">
        <v>108</v>
      </c>
    </row>
    <row r="86" spans="1:16" x14ac:dyDescent="0.35">
      <c r="A86">
        <v>2017</v>
      </c>
      <c r="B86">
        <v>8</v>
      </c>
      <c r="C86">
        <v>3</v>
      </c>
      <c r="D86">
        <v>137</v>
      </c>
      <c r="E86">
        <v>3</v>
      </c>
      <c r="F86" t="s">
        <v>41</v>
      </c>
      <c r="G86" t="s">
        <v>1207</v>
      </c>
      <c r="H86">
        <v>4</v>
      </c>
      <c r="J86" t="s">
        <v>583</v>
      </c>
      <c r="K86" t="s">
        <v>318</v>
      </c>
      <c r="L86">
        <v>9.9</v>
      </c>
      <c r="M86">
        <v>257</v>
      </c>
      <c r="N86" t="s">
        <v>1208</v>
      </c>
      <c r="O86">
        <v>137</v>
      </c>
    </row>
    <row r="87" spans="1:16" x14ac:dyDescent="0.35">
      <c r="A87">
        <v>2017</v>
      </c>
      <c r="B87">
        <v>8</v>
      </c>
      <c r="C87">
        <v>8</v>
      </c>
      <c r="D87">
        <v>85</v>
      </c>
      <c r="E87">
        <v>3</v>
      </c>
      <c r="F87" t="s">
        <v>45</v>
      </c>
      <c r="G87" t="s">
        <v>1215</v>
      </c>
      <c r="H87">
        <v>8</v>
      </c>
      <c r="J87" t="s">
        <v>512</v>
      </c>
      <c r="K87" t="s">
        <v>512</v>
      </c>
      <c r="L87">
        <v>1.1000000000000001</v>
      </c>
      <c r="M87">
        <v>258</v>
      </c>
      <c r="N87" t="s">
        <v>1210</v>
      </c>
      <c r="O87">
        <v>85</v>
      </c>
    </row>
    <row r="88" spans="1:16" x14ac:dyDescent="0.35">
      <c r="A88">
        <v>2018</v>
      </c>
      <c r="B88">
        <v>8</v>
      </c>
      <c r="C88">
        <v>16</v>
      </c>
      <c r="D88">
        <v>329</v>
      </c>
      <c r="E88">
        <v>3</v>
      </c>
      <c r="F88" t="s">
        <v>45</v>
      </c>
      <c r="G88" t="s">
        <v>1208</v>
      </c>
      <c r="H88">
        <v>7</v>
      </c>
      <c r="J88" t="s">
        <v>632</v>
      </c>
      <c r="K88" t="s">
        <v>317</v>
      </c>
      <c r="L88">
        <v>11.6</v>
      </c>
      <c r="M88">
        <v>258</v>
      </c>
      <c r="N88" t="s">
        <v>1210</v>
      </c>
      <c r="O88">
        <v>329</v>
      </c>
    </row>
    <row r="89" spans="1:16" x14ac:dyDescent="0.35">
      <c r="A89">
        <v>2024</v>
      </c>
      <c r="B89">
        <v>8</v>
      </c>
      <c r="C89">
        <v>13</v>
      </c>
      <c r="D89">
        <v>717</v>
      </c>
      <c r="E89">
        <v>3</v>
      </c>
      <c r="F89" t="s">
        <v>225</v>
      </c>
      <c r="G89" t="s">
        <v>1216</v>
      </c>
      <c r="H89">
        <v>2</v>
      </c>
      <c r="J89" t="s">
        <v>67</v>
      </c>
      <c r="K89">
        <v>2</v>
      </c>
      <c r="L89">
        <v>12</v>
      </c>
      <c r="M89">
        <v>258</v>
      </c>
      <c r="N89" t="s">
        <v>1209</v>
      </c>
      <c r="O89">
        <v>717</v>
      </c>
    </row>
    <row r="90" spans="1:16" x14ac:dyDescent="0.35">
      <c r="A90">
        <v>2016</v>
      </c>
      <c r="B90">
        <v>9</v>
      </c>
      <c r="C90">
        <v>2</v>
      </c>
      <c r="D90">
        <v>222</v>
      </c>
      <c r="E90">
        <v>3</v>
      </c>
      <c r="F90" t="s">
        <v>41</v>
      </c>
      <c r="G90" t="s">
        <v>1207</v>
      </c>
      <c r="H90">
        <v>3</v>
      </c>
      <c r="J90" t="s">
        <v>42</v>
      </c>
      <c r="K90" t="s">
        <v>318</v>
      </c>
      <c r="L90">
        <v>13.7</v>
      </c>
      <c r="M90">
        <v>259</v>
      </c>
      <c r="N90" t="s">
        <v>1208</v>
      </c>
      <c r="O90">
        <v>222</v>
      </c>
    </row>
    <row r="91" spans="1:16" x14ac:dyDescent="0.35">
      <c r="A91">
        <v>2019</v>
      </c>
      <c r="B91">
        <v>8</v>
      </c>
      <c r="C91">
        <v>9</v>
      </c>
      <c r="D91">
        <v>321</v>
      </c>
      <c r="E91">
        <v>3</v>
      </c>
      <c r="F91" t="s">
        <v>45</v>
      </c>
      <c r="G91" t="s">
        <v>1208</v>
      </c>
      <c r="H91">
        <v>8</v>
      </c>
      <c r="J91" t="s">
        <v>46</v>
      </c>
      <c r="K91" t="s">
        <v>317</v>
      </c>
      <c r="L91">
        <v>9.8000000000000007</v>
      </c>
      <c r="M91">
        <v>259</v>
      </c>
      <c r="N91" t="s">
        <v>1210</v>
      </c>
      <c r="O91">
        <v>321</v>
      </c>
    </row>
    <row r="92" spans="1:16" x14ac:dyDescent="0.35">
      <c r="A92">
        <v>2021</v>
      </c>
      <c r="B92">
        <v>10</v>
      </c>
      <c r="C92" t="s">
        <v>28</v>
      </c>
      <c r="D92">
        <v>30</v>
      </c>
      <c r="E92">
        <v>4</v>
      </c>
      <c r="F92" t="s">
        <v>41</v>
      </c>
      <c r="G92" t="s">
        <v>1207</v>
      </c>
      <c r="H92">
        <v>8</v>
      </c>
      <c r="J92" t="s">
        <v>318</v>
      </c>
      <c r="K92" t="s">
        <v>318</v>
      </c>
      <c r="L92">
        <v>12.4</v>
      </c>
      <c r="M92">
        <v>260</v>
      </c>
      <c r="N92" t="s">
        <v>1208</v>
      </c>
      <c r="O92">
        <v>30</v>
      </c>
    </row>
    <row r="93" spans="1:16" x14ac:dyDescent="0.35">
      <c r="A93">
        <v>2024</v>
      </c>
      <c r="B93">
        <v>1</v>
      </c>
      <c r="C93">
        <v>19</v>
      </c>
      <c r="D93">
        <v>578</v>
      </c>
      <c r="E93">
        <v>1</v>
      </c>
      <c r="F93" t="s">
        <v>41</v>
      </c>
      <c r="G93" t="s">
        <v>1207</v>
      </c>
      <c r="H93">
        <v>11</v>
      </c>
      <c r="J93" t="s">
        <v>509</v>
      </c>
      <c r="K93" t="s">
        <v>458</v>
      </c>
      <c r="L93">
        <v>41.3</v>
      </c>
      <c r="M93">
        <v>260</v>
      </c>
      <c r="N93" t="s">
        <v>1208</v>
      </c>
      <c r="O93">
        <v>578</v>
      </c>
    </row>
    <row r="94" spans="1:16" x14ac:dyDescent="0.35">
      <c r="A94">
        <v>2024</v>
      </c>
      <c r="B94">
        <v>2</v>
      </c>
      <c r="C94">
        <v>23</v>
      </c>
      <c r="D94">
        <v>635</v>
      </c>
      <c r="E94">
        <v>1</v>
      </c>
      <c r="F94" t="s">
        <v>225</v>
      </c>
      <c r="G94" t="s">
        <v>1216</v>
      </c>
      <c r="H94">
        <v>2</v>
      </c>
      <c r="J94" t="s">
        <v>21</v>
      </c>
      <c r="K94">
        <v>2</v>
      </c>
      <c r="L94">
        <v>13.2</v>
      </c>
      <c r="M94">
        <v>260</v>
      </c>
      <c r="N94" t="s">
        <v>1209</v>
      </c>
      <c r="O94">
        <v>635</v>
      </c>
    </row>
    <row r="95" spans="1:16" x14ac:dyDescent="0.35">
      <c r="A95">
        <v>2023</v>
      </c>
      <c r="B95">
        <v>7</v>
      </c>
      <c r="C95">
        <v>31</v>
      </c>
      <c r="D95">
        <v>419</v>
      </c>
      <c r="E95">
        <v>3</v>
      </c>
      <c r="F95" t="s">
        <v>225</v>
      </c>
      <c r="G95" t="s">
        <v>1216</v>
      </c>
      <c r="H95">
        <v>1</v>
      </c>
      <c r="J95" t="s">
        <v>58</v>
      </c>
      <c r="K95">
        <v>2</v>
      </c>
      <c r="L95">
        <v>18.600000000000001</v>
      </c>
      <c r="M95">
        <v>260.39999999999998</v>
      </c>
      <c r="N95" t="s">
        <v>1209</v>
      </c>
      <c r="O95">
        <v>419</v>
      </c>
    </row>
    <row r="96" spans="1:16" x14ac:dyDescent="0.35">
      <c r="A96">
        <v>2016</v>
      </c>
      <c r="B96">
        <v>11</v>
      </c>
      <c r="C96">
        <v>7</v>
      </c>
      <c r="D96">
        <v>253</v>
      </c>
      <c r="E96">
        <v>4</v>
      </c>
      <c r="F96" t="s">
        <v>45</v>
      </c>
      <c r="G96" t="s">
        <v>1215</v>
      </c>
      <c r="H96">
        <v>7</v>
      </c>
      <c r="J96" t="s">
        <v>711</v>
      </c>
      <c r="K96" t="s">
        <v>512</v>
      </c>
      <c r="L96">
        <v>12.9</v>
      </c>
      <c r="M96">
        <v>261</v>
      </c>
      <c r="N96" t="s">
        <v>1210</v>
      </c>
      <c r="O96">
        <v>253</v>
      </c>
    </row>
    <row r="97" spans="1:15" x14ac:dyDescent="0.35">
      <c r="A97">
        <v>2023</v>
      </c>
      <c r="B97">
        <v>11</v>
      </c>
      <c r="C97">
        <v>14</v>
      </c>
      <c r="D97">
        <v>517</v>
      </c>
      <c r="E97">
        <v>4</v>
      </c>
      <c r="F97" t="s">
        <v>225</v>
      </c>
      <c r="G97" t="s">
        <v>1209</v>
      </c>
      <c r="H97">
        <v>2</v>
      </c>
      <c r="J97" t="s">
        <v>227</v>
      </c>
      <c r="K97">
        <v>4</v>
      </c>
      <c r="L97">
        <v>15.7</v>
      </c>
      <c r="M97">
        <v>261</v>
      </c>
      <c r="N97" t="s">
        <v>1209</v>
      </c>
      <c r="O97">
        <v>517</v>
      </c>
    </row>
    <row r="98" spans="1:15" x14ac:dyDescent="0.35">
      <c r="A98">
        <v>2023</v>
      </c>
      <c r="B98">
        <v>11</v>
      </c>
      <c r="C98">
        <v>3</v>
      </c>
      <c r="D98">
        <v>535</v>
      </c>
      <c r="E98">
        <v>4</v>
      </c>
      <c r="F98" t="s">
        <v>226</v>
      </c>
      <c r="G98" t="s">
        <v>1211</v>
      </c>
      <c r="H98">
        <v>6</v>
      </c>
      <c r="J98" t="s">
        <v>988</v>
      </c>
      <c r="K98">
        <v>7</v>
      </c>
      <c r="L98">
        <v>11.5</v>
      </c>
      <c r="M98">
        <v>261</v>
      </c>
      <c r="N98" t="s">
        <v>1211</v>
      </c>
      <c r="O98">
        <v>535</v>
      </c>
    </row>
    <row r="99" spans="1:15" x14ac:dyDescent="0.35">
      <c r="A99">
        <v>2023</v>
      </c>
      <c r="B99">
        <v>11</v>
      </c>
      <c r="C99">
        <v>9</v>
      </c>
      <c r="D99">
        <v>548</v>
      </c>
      <c r="E99">
        <v>4</v>
      </c>
      <c r="F99" t="s">
        <v>20</v>
      </c>
      <c r="G99" t="s">
        <v>1213</v>
      </c>
      <c r="H99">
        <v>3</v>
      </c>
      <c r="J99" t="s">
        <v>64</v>
      </c>
      <c r="K99">
        <v>7</v>
      </c>
      <c r="L99">
        <v>12.8</v>
      </c>
      <c r="M99">
        <v>261</v>
      </c>
      <c r="N99" t="s">
        <v>1214</v>
      </c>
      <c r="O99">
        <v>548</v>
      </c>
    </row>
    <row r="100" spans="1:15" x14ac:dyDescent="0.35">
      <c r="A100">
        <v>2023</v>
      </c>
      <c r="B100">
        <v>7</v>
      </c>
      <c r="C100">
        <v>28</v>
      </c>
      <c r="D100">
        <v>437</v>
      </c>
      <c r="E100">
        <v>3</v>
      </c>
      <c r="F100" t="s">
        <v>225</v>
      </c>
      <c r="G100" t="s">
        <v>1209</v>
      </c>
      <c r="H100">
        <v>2</v>
      </c>
      <c r="J100" t="s">
        <v>898</v>
      </c>
      <c r="K100">
        <v>4</v>
      </c>
      <c r="L100">
        <v>35.5</v>
      </c>
      <c r="M100">
        <v>262</v>
      </c>
      <c r="N100" t="s">
        <v>1209</v>
      </c>
      <c r="O100">
        <v>437</v>
      </c>
    </row>
    <row r="101" spans="1:15" x14ac:dyDescent="0.35">
      <c r="A101">
        <v>2016</v>
      </c>
      <c r="B101">
        <v>8</v>
      </c>
      <c r="C101">
        <v>31</v>
      </c>
      <c r="D101">
        <v>248</v>
      </c>
      <c r="E101">
        <v>3</v>
      </c>
      <c r="F101" t="s">
        <v>45</v>
      </c>
      <c r="G101" t="s">
        <v>1215</v>
      </c>
      <c r="H101">
        <v>7</v>
      </c>
      <c r="J101" t="s">
        <v>657</v>
      </c>
      <c r="K101" t="s">
        <v>488</v>
      </c>
      <c r="L101">
        <v>1.4</v>
      </c>
      <c r="M101">
        <v>264</v>
      </c>
      <c r="N101" t="s">
        <v>1210</v>
      </c>
      <c r="O101">
        <v>248</v>
      </c>
    </row>
    <row r="102" spans="1:15" x14ac:dyDescent="0.35">
      <c r="A102">
        <v>2016</v>
      </c>
      <c r="B102">
        <v>8</v>
      </c>
      <c r="C102">
        <v>31</v>
      </c>
      <c r="D102">
        <v>274</v>
      </c>
      <c r="E102">
        <v>3</v>
      </c>
      <c r="F102" t="s">
        <v>45</v>
      </c>
      <c r="G102" t="s">
        <v>1215</v>
      </c>
      <c r="H102">
        <v>7</v>
      </c>
      <c r="J102" t="s">
        <v>644</v>
      </c>
      <c r="K102" t="s">
        <v>488</v>
      </c>
      <c r="L102">
        <v>1.4</v>
      </c>
      <c r="M102">
        <v>264</v>
      </c>
      <c r="N102" t="s">
        <v>1210</v>
      </c>
      <c r="O102">
        <v>274</v>
      </c>
    </row>
    <row r="103" spans="1:15" x14ac:dyDescent="0.35">
      <c r="A103">
        <v>2017</v>
      </c>
      <c r="B103">
        <v>8</v>
      </c>
      <c r="C103">
        <v>3</v>
      </c>
      <c r="D103">
        <v>138</v>
      </c>
      <c r="E103">
        <v>3</v>
      </c>
      <c r="F103" t="s">
        <v>41</v>
      </c>
      <c r="G103" t="s">
        <v>1207</v>
      </c>
      <c r="H103">
        <v>4</v>
      </c>
      <c r="J103" t="s">
        <v>583</v>
      </c>
      <c r="K103" t="s">
        <v>318</v>
      </c>
      <c r="L103">
        <v>11.1</v>
      </c>
      <c r="M103">
        <v>266</v>
      </c>
      <c r="N103" t="s">
        <v>1208</v>
      </c>
      <c r="O103">
        <v>138</v>
      </c>
    </row>
    <row r="104" spans="1:15" x14ac:dyDescent="0.35">
      <c r="A104">
        <v>2023</v>
      </c>
      <c r="B104">
        <v>7</v>
      </c>
      <c r="C104">
        <v>31</v>
      </c>
      <c r="D104">
        <v>454</v>
      </c>
      <c r="E104">
        <v>3</v>
      </c>
      <c r="F104" t="s">
        <v>225</v>
      </c>
      <c r="G104" t="s">
        <v>1216</v>
      </c>
      <c r="H104">
        <v>1</v>
      </c>
      <c r="J104" t="s">
        <v>67</v>
      </c>
      <c r="K104">
        <v>2</v>
      </c>
      <c r="L104">
        <v>16.100000000000001</v>
      </c>
      <c r="M104">
        <v>266</v>
      </c>
      <c r="N104" t="s">
        <v>1209</v>
      </c>
      <c r="O104">
        <v>454</v>
      </c>
    </row>
    <row r="105" spans="1:15" x14ac:dyDescent="0.35">
      <c r="A105">
        <v>2023</v>
      </c>
      <c r="B105">
        <v>11</v>
      </c>
      <c r="C105">
        <v>17</v>
      </c>
      <c r="D105">
        <v>514</v>
      </c>
      <c r="E105">
        <v>4</v>
      </c>
      <c r="F105" t="s">
        <v>225</v>
      </c>
      <c r="G105" t="s">
        <v>1216</v>
      </c>
      <c r="H105">
        <v>1</v>
      </c>
      <c r="J105" t="s">
        <v>896</v>
      </c>
      <c r="K105">
        <v>5</v>
      </c>
      <c r="L105">
        <v>16.899999999999999</v>
      </c>
      <c r="M105">
        <v>267</v>
      </c>
      <c r="N105" t="s">
        <v>1209</v>
      </c>
      <c r="O105">
        <v>514</v>
      </c>
    </row>
    <row r="106" spans="1:15" x14ac:dyDescent="0.35">
      <c r="A106">
        <v>2024</v>
      </c>
      <c r="B106">
        <v>1</v>
      </c>
      <c r="C106">
        <v>16</v>
      </c>
      <c r="D106">
        <v>592</v>
      </c>
      <c r="E106">
        <v>1</v>
      </c>
      <c r="F106" t="s">
        <v>45</v>
      </c>
      <c r="G106" t="s">
        <v>1208</v>
      </c>
      <c r="H106">
        <v>13</v>
      </c>
      <c r="J106" t="s">
        <v>990</v>
      </c>
      <c r="K106" t="s">
        <v>317</v>
      </c>
      <c r="L106">
        <v>16.600000000000001</v>
      </c>
      <c r="M106">
        <v>267</v>
      </c>
      <c r="N106" t="s">
        <v>1210</v>
      </c>
      <c r="O106">
        <v>592</v>
      </c>
    </row>
    <row r="107" spans="1:15" x14ac:dyDescent="0.35">
      <c r="A107">
        <v>2016</v>
      </c>
      <c r="B107">
        <v>9</v>
      </c>
      <c r="C107">
        <v>1</v>
      </c>
      <c r="D107">
        <v>244</v>
      </c>
      <c r="E107">
        <v>3</v>
      </c>
      <c r="F107" t="s">
        <v>45</v>
      </c>
      <c r="G107" t="s">
        <v>1208</v>
      </c>
      <c r="H107">
        <v>5</v>
      </c>
      <c r="J107" t="s">
        <v>647</v>
      </c>
      <c r="K107" t="s">
        <v>317</v>
      </c>
      <c r="L107">
        <v>15.2</v>
      </c>
      <c r="M107">
        <v>268</v>
      </c>
      <c r="N107" t="s">
        <v>1210</v>
      </c>
      <c r="O107">
        <v>244</v>
      </c>
    </row>
    <row r="108" spans="1:15" x14ac:dyDescent="0.35">
      <c r="A108">
        <v>2023</v>
      </c>
      <c r="B108">
        <v>8</v>
      </c>
      <c r="C108">
        <v>2</v>
      </c>
      <c r="D108">
        <v>424</v>
      </c>
      <c r="E108">
        <v>3</v>
      </c>
      <c r="F108" t="s">
        <v>226</v>
      </c>
      <c r="G108" t="s">
        <v>1211</v>
      </c>
      <c r="H108">
        <v>6</v>
      </c>
      <c r="J108" t="s">
        <v>64</v>
      </c>
      <c r="K108">
        <v>7</v>
      </c>
      <c r="L108">
        <v>17.899999999999999</v>
      </c>
      <c r="M108">
        <v>269</v>
      </c>
      <c r="N108" t="s">
        <v>1211</v>
      </c>
      <c r="O108">
        <v>424</v>
      </c>
    </row>
    <row r="109" spans="1:15" x14ac:dyDescent="0.35">
      <c r="A109">
        <v>2021</v>
      </c>
      <c r="B109">
        <v>10</v>
      </c>
      <c r="C109">
        <v>11</v>
      </c>
      <c r="D109">
        <v>487</v>
      </c>
      <c r="E109">
        <v>4</v>
      </c>
      <c r="F109" t="s">
        <v>226</v>
      </c>
      <c r="G109" t="s">
        <v>1214</v>
      </c>
      <c r="H109">
        <v>3</v>
      </c>
      <c r="J109" t="s">
        <v>51</v>
      </c>
      <c r="K109" t="s">
        <v>942</v>
      </c>
      <c r="L109">
        <v>35</v>
      </c>
      <c r="M109">
        <v>269</v>
      </c>
      <c r="N109" t="s">
        <v>1211</v>
      </c>
      <c r="O109">
        <v>487</v>
      </c>
    </row>
    <row r="110" spans="1:15" x14ac:dyDescent="0.35">
      <c r="A110">
        <v>2016</v>
      </c>
      <c r="B110">
        <v>11</v>
      </c>
      <c r="C110">
        <v>8</v>
      </c>
      <c r="D110">
        <v>188</v>
      </c>
      <c r="E110">
        <v>4</v>
      </c>
      <c r="F110" t="s">
        <v>45</v>
      </c>
      <c r="G110" t="s">
        <v>1208</v>
      </c>
      <c r="H110">
        <v>5</v>
      </c>
      <c r="J110" t="s">
        <v>46</v>
      </c>
      <c r="K110" t="s">
        <v>317</v>
      </c>
      <c r="L110">
        <v>12.3</v>
      </c>
      <c r="M110">
        <v>270</v>
      </c>
      <c r="N110" t="s">
        <v>1210</v>
      </c>
      <c r="O110">
        <v>188</v>
      </c>
    </row>
    <row r="111" spans="1:15" x14ac:dyDescent="0.35">
      <c r="A111">
        <v>2022</v>
      </c>
      <c r="B111">
        <v>11</v>
      </c>
      <c r="C111">
        <v>1</v>
      </c>
      <c r="D111">
        <v>408</v>
      </c>
      <c r="E111">
        <v>4</v>
      </c>
      <c r="F111" t="s">
        <v>41</v>
      </c>
      <c r="G111" t="s">
        <v>1207</v>
      </c>
      <c r="H111">
        <v>9</v>
      </c>
      <c r="J111" t="s">
        <v>583</v>
      </c>
      <c r="K111" t="s">
        <v>318</v>
      </c>
      <c r="L111">
        <v>9.3000000000000007</v>
      </c>
      <c r="M111">
        <v>270</v>
      </c>
      <c r="N111" t="s">
        <v>1208</v>
      </c>
      <c r="O111">
        <v>408</v>
      </c>
    </row>
    <row r="112" spans="1:15" x14ac:dyDescent="0.35">
      <c r="A112">
        <v>2023</v>
      </c>
      <c r="B112">
        <v>11</v>
      </c>
      <c r="C112">
        <v>3</v>
      </c>
      <c r="D112">
        <v>529</v>
      </c>
      <c r="E112">
        <v>4</v>
      </c>
      <c r="F112" t="s">
        <v>226</v>
      </c>
      <c r="G112" t="s">
        <v>1211</v>
      </c>
      <c r="H112">
        <v>6</v>
      </c>
      <c r="J112" t="s">
        <v>228</v>
      </c>
      <c r="K112">
        <v>7</v>
      </c>
      <c r="L112">
        <v>15.3</v>
      </c>
      <c r="M112">
        <v>270</v>
      </c>
      <c r="N112" t="s">
        <v>1211</v>
      </c>
      <c r="O112">
        <v>529</v>
      </c>
    </row>
    <row r="113" spans="1:16" x14ac:dyDescent="0.35">
      <c r="A113">
        <v>2024</v>
      </c>
      <c r="B113">
        <v>8</v>
      </c>
      <c r="C113">
        <v>8</v>
      </c>
      <c r="D113">
        <v>697</v>
      </c>
      <c r="E113">
        <v>3</v>
      </c>
      <c r="F113" t="s">
        <v>45</v>
      </c>
      <c r="G113" t="s">
        <v>1215</v>
      </c>
      <c r="H113">
        <v>15</v>
      </c>
      <c r="J113" t="s">
        <v>742</v>
      </c>
      <c r="K113" t="s">
        <v>488</v>
      </c>
      <c r="L113">
        <v>14.7</v>
      </c>
      <c r="M113">
        <v>270</v>
      </c>
      <c r="N113" t="s">
        <v>1210</v>
      </c>
      <c r="O113">
        <v>697</v>
      </c>
    </row>
    <row r="114" spans="1:16" x14ac:dyDescent="0.35">
      <c r="A114">
        <v>2023</v>
      </c>
      <c r="B114">
        <v>7</v>
      </c>
      <c r="C114">
        <v>26</v>
      </c>
      <c r="D114">
        <v>444</v>
      </c>
      <c r="E114">
        <v>3</v>
      </c>
      <c r="F114" t="s">
        <v>225</v>
      </c>
      <c r="G114" t="s">
        <v>1209</v>
      </c>
      <c r="H114">
        <v>2</v>
      </c>
      <c r="J114" t="s">
        <v>227</v>
      </c>
      <c r="K114">
        <v>4</v>
      </c>
      <c r="L114">
        <v>16.5</v>
      </c>
      <c r="M114">
        <v>271</v>
      </c>
      <c r="N114" t="s">
        <v>1209</v>
      </c>
      <c r="O114">
        <v>444</v>
      </c>
    </row>
    <row r="115" spans="1:16" x14ac:dyDescent="0.35">
      <c r="A115">
        <v>2018</v>
      </c>
      <c r="B115">
        <v>8</v>
      </c>
      <c r="C115">
        <v>15</v>
      </c>
      <c r="D115">
        <v>308</v>
      </c>
      <c r="E115">
        <v>3</v>
      </c>
      <c r="F115" t="s">
        <v>41</v>
      </c>
      <c r="G115" t="s">
        <v>1207</v>
      </c>
      <c r="H115">
        <v>5</v>
      </c>
      <c r="J115" t="s">
        <v>49</v>
      </c>
      <c r="K115" t="s">
        <v>318</v>
      </c>
      <c r="L115">
        <v>23.7</v>
      </c>
      <c r="M115">
        <v>272</v>
      </c>
      <c r="N115" t="s">
        <v>1208</v>
      </c>
      <c r="O115">
        <v>308</v>
      </c>
    </row>
    <row r="116" spans="1:16" x14ac:dyDescent="0.35">
      <c r="A116">
        <v>2023</v>
      </c>
      <c r="B116">
        <v>7</v>
      </c>
      <c r="C116">
        <v>19</v>
      </c>
      <c r="D116">
        <v>361</v>
      </c>
      <c r="E116">
        <v>3</v>
      </c>
      <c r="F116" t="s">
        <v>41</v>
      </c>
      <c r="G116" t="s">
        <v>1207</v>
      </c>
      <c r="H116">
        <v>10</v>
      </c>
      <c r="J116" t="s">
        <v>42</v>
      </c>
      <c r="K116" t="s">
        <v>318</v>
      </c>
      <c r="L116">
        <v>13.2</v>
      </c>
      <c r="M116">
        <v>273</v>
      </c>
      <c r="N116" t="s">
        <v>1208</v>
      </c>
      <c r="O116">
        <v>361</v>
      </c>
    </row>
    <row r="117" spans="1:16" x14ac:dyDescent="0.35">
      <c r="A117">
        <v>2023</v>
      </c>
      <c r="B117">
        <v>7</v>
      </c>
      <c r="C117">
        <v>21</v>
      </c>
      <c r="D117">
        <v>413</v>
      </c>
      <c r="E117">
        <v>3</v>
      </c>
      <c r="F117" t="s">
        <v>20</v>
      </c>
      <c r="G117" t="s">
        <v>1213</v>
      </c>
      <c r="H117">
        <v>3</v>
      </c>
      <c r="J117" t="s">
        <v>55</v>
      </c>
      <c r="K117">
        <v>8</v>
      </c>
      <c r="L117">
        <v>15.1</v>
      </c>
      <c r="M117">
        <v>273</v>
      </c>
      <c r="N117" t="s">
        <v>1214</v>
      </c>
      <c r="O117">
        <v>413</v>
      </c>
    </row>
    <row r="118" spans="1:16" x14ac:dyDescent="0.35">
      <c r="A118">
        <v>2023</v>
      </c>
      <c r="B118">
        <v>11</v>
      </c>
      <c r="C118">
        <v>7</v>
      </c>
      <c r="D118">
        <v>498</v>
      </c>
      <c r="E118">
        <v>4</v>
      </c>
      <c r="F118" t="s">
        <v>41</v>
      </c>
      <c r="G118" t="s">
        <v>1207</v>
      </c>
      <c r="H118">
        <v>10</v>
      </c>
      <c r="J118" t="s">
        <v>49</v>
      </c>
      <c r="K118" t="s">
        <v>318</v>
      </c>
      <c r="L118">
        <v>16.3</v>
      </c>
      <c r="M118">
        <v>275</v>
      </c>
      <c r="N118" t="s">
        <v>1208</v>
      </c>
      <c r="O118">
        <v>498</v>
      </c>
      <c r="P118">
        <v>7.53</v>
      </c>
    </row>
    <row r="119" spans="1:16" x14ac:dyDescent="0.35">
      <c r="A119">
        <v>2024</v>
      </c>
      <c r="B119">
        <v>8</v>
      </c>
      <c r="C119">
        <v>20</v>
      </c>
      <c r="D119">
        <v>834</v>
      </c>
      <c r="E119">
        <v>3</v>
      </c>
      <c r="F119" t="s">
        <v>226</v>
      </c>
      <c r="G119" t="s">
        <v>1211</v>
      </c>
      <c r="H119">
        <v>7</v>
      </c>
      <c r="J119" t="s">
        <v>64</v>
      </c>
      <c r="K119">
        <v>7</v>
      </c>
      <c r="L119">
        <v>17.899999999999999</v>
      </c>
      <c r="M119">
        <v>276</v>
      </c>
      <c r="N119" t="s">
        <v>1211</v>
      </c>
      <c r="O119">
        <v>834</v>
      </c>
    </row>
    <row r="120" spans="1:16" x14ac:dyDescent="0.35">
      <c r="A120">
        <v>2024</v>
      </c>
      <c r="B120">
        <v>1</v>
      </c>
      <c r="C120">
        <v>19</v>
      </c>
      <c r="D120">
        <v>582</v>
      </c>
      <c r="E120">
        <v>1</v>
      </c>
      <c r="F120" t="s">
        <v>41</v>
      </c>
      <c r="G120" t="s">
        <v>1207</v>
      </c>
      <c r="H120">
        <v>11</v>
      </c>
      <c r="J120" t="s">
        <v>42</v>
      </c>
      <c r="K120" t="s">
        <v>318</v>
      </c>
      <c r="L120">
        <v>17</v>
      </c>
      <c r="M120">
        <v>277</v>
      </c>
      <c r="N120" t="s">
        <v>1208</v>
      </c>
      <c r="O120">
        <v>582</v>
      </c>
    </row>
    <row r="121" spans="1:16" x14ac:dyDescent="0.35">
      <c r="A121">
        <v>2019</v>
      </c>
      <c r="B121">
        <v>2</v>
      </c>
      <c r="C121">
        <v>21</v>
      </c>
      <c r="D121">
        <v>169</v>
      </c>
      <c r="E121">
        <v>1</v>
      </c>
      <c r="F121" t="s">
        <v>45</v>
      </c>
      <c r="G121" t="s">
        <v>1208</v>
      </c>
      <c r="H121">
        <v>8</v>
      </c>
      <c r="J121" t="s">
        <v>615</v>
      </c>
      <c r="K121" t="s">
        <v>317</v>
      </c>
      <c r="L121">
        <v>17.399999999999999</v>
      </c>
      <c r="M121">
        <v>278</v>
      </c>
      <c r="N121" t="s">
        <v>1210</v>
      </c>
      <c r="O121">
        <v>169</v>
      </c>
    </row>
    <row r="122" spans="1:16" x14ac:dyDescent="0.35">
      <c r="A122">
        <v>2023</v>
      </c>
      <c r="B122">
        <v>8</v>
      </c>
      <c r="C122">
        <v>1</v>
      </c>
      <c r="D122">
        <v>435</v>
      </c>
      <c r="E122">
        <v>3</v>
      </c>
      <c r="F122" t="s">
        <v>225</v>
      </c>
      <c r="G122" t="s">
        <v>1216</v>
      </c>
      <c r="H122">
        <v>1</v>
      </c>
      <c r="J122" t="s">
        <v>896</v>
      </c>
      <c r="K122">
        <v>5</v>
      </c>
      <c r="L122">
        <v>22.8</v>
      </c>
      <c r="M122">
        <v>278</v>
      </c>
      <c r="N122" t="s">
        <v>1209</v>
      </c>
      <c r="O122">
        <v>435</v>
      </c>
    </row>
    <row r="123" spans="1:16" x14ac:dyDescent="0.35">
      <c r="A123">
        <v>2016</v>
      </c>
      <c r="B123">
        <v>8</v>
      </c>
      <c r="C123">
        <v>30</v>
      </c>
      <c r="D123">
        <v>215</v>
      </c>
      <c r="E123">
        <v>3</v>
      </c>
      <c r="F123" t="s">
        <v>45</v>
      </c>
      <c r="G123" t="s">
        <v>1215</v>
      </c>
      <c r="H123">
        <v>7</v>
      </c>
      <c r="J123" t="s">
        <v>671</v>
      </c>
      <c r="K123" t="s">
        <v>512</v>
      </c>
      <c r="L123">
        <v>17.5</v>
      </c>
      <c r="M123">
        <v>280</v>
      </c>
      <c r="N123" t="s">
        <v>1210</v>
      </c>
      <c r="O123">
        <v>215</v>
      </c>
    </row>
    <row r="124" spans="1:16" x14ac:dyDescent="0.35">
      <c r="A124">
        <v>2016</v>
      </c>
      <c r="B124">
        <v>9</v>
      </c>
      <c r="C124">
        <v>2</v>
      </c>
      <c r="D124">
        <v>219</v>
      </c>
      <c r="E124">
        <v>3</v>
      </c>
      <c r="F124" t="s">
        <v>41</v>
      </c>
      <c r="G124" t="s">
        <v>1207</v>
      </c>
      <c r="H124">
        <v>3</v>
      </c>
      <c r="J124" t="s">
        <v>49</v>
      </c>
      <c r="K124" t="s">
        <v>318</v>
      </c>
      <c r="L124">
        <v>1.7</v>
      </c>
      <c r="M124">
        <v>280</v>
      </c>
      <c r="N124" t="s">
        <v>1208</v>
      </c>
      <c r="O124">
        <v>219</v>
      </c>
    </row>
    <row r="125" spans="1:16" x14ac:dyDescent="0.35">
      <c r="A125">
        <v>2016</v>
      </c>
      <c r="B125">
        <v>8</v>
      </c>
      <c r="C125">
        <v>30</v>
      </c>
      <c r="D125">
        <v>271</v>
      </c>
      <c r="E125">
        <v>3</v>
      </c>
      <c r="F125" t="s">
        <v>45</v>
      </c>
      <c r="G125" t="s">
        <v>1215</v>
      </c>
      <c r="H125">
        <v>7</v>
      </c>
      <c r="J125" t="s">
        <v>731</v>
      </c>
      <c r="K125" t="s">
        <v>512</v>
      </c>
      <c r="L125">
        <v>17.899999999999999</v>
      </c>
      <c r="M125">
        <v>280</v>
      </c>
      <c r="N125" t="s">
        <v>1210</v>
      </c>
      <c r="O125">
        <v>271</v>
      </c>
    </row>
    <row r="126" spans="1:16" x14ac:dyDescent="0.35">
      <c r="A126">
        <v>2016</v>
      </c>
      <c r="B126">
        <v>8</v>
      </c>
      <c r="C126">
        <v>30</v>
      </c>
      <c r="D126">
        <v>271</v>
      </c>
      <c r="E126">
        <v>3</v>
      </c>
      <c r="F126" t="s">
        <v>45</v>
      </c>
      <c r="G126" t="s">
        <v>1215</v>
      </c>
      <c r="H126">
        <v>7</v>
      </c>
      <c r="J126" t="s">
        <v>731</v>
      </c>
      <c r="K126" t="s">
        <v>512</v>
      </c>
      <c r="L126">
        <v>17.899999999999999</v>
      </c>
      <c r="M126">
        <v>280</v>
      </c>
      <c r="N126" t="s">
        <v>1210</v>
      </c>
      <c r="O126">
        <v>271</v>
      </c>
    </row>
    <row r="127" spans="1:16" x14ac:dyDescent="0.35">
      <c r="A127">
        <v>2023</v>
      </c>
      <c r="B127">
        <v>8</v>
      </c>
      <c r="C127">
        <v>2</v>
      </c>
      <c r="D127">
        <v>441</v>
      </c>
      <c r="E127">
        <v>3</v>
      </c>
      <c r="F127" t="s">
        <v>226</v>
      </c>
      <c r="G127" t="s">
        <v>1211</v>
      </c>
      <c r="H127">
        <v>6</v>
      </c>
      <c r="J127" t="s">
        <v>228</v>
      </c>
      <c r="K127">
        <v>7</v>
      </c>
      <c r="L127">
        <v>19.899999999999999</v>
      </c>
      <c r="M127">
        <v>280</v>
      </c>
      <c r="N127" t="s">
        <v>1211</v>
      </c>
      <c r="O127">
        <v>441</v>
      </c>
    </row>
    <row r="128" spans="1:16" x14ac:dyDescent="0.35">
      <c r="A128">
        <v>2024</v>
      </c>
      <c r="B128">
        <v>1</v>
      </c>
      <c r="C128">
        <v>22</v>
      </c>
      <c r="D128">
        <v>588</v>
      </c>
      <c r="E128">
        <v>1</v>
      </c>
      <c r="F128" t="s">
        <v>20</v>
      </c>
      <c r="G128" t="s">
        <v>1213</v>
      </c>
      <c r="H128">
        <v>4</v>
      </c>
      <c r="J128" t="s">
        <v>55</v>
      </c>
      <c r="K128">
        <v>8</v>
      </c>
      <c r="L128">
        <v>52.9</v>
      </c>
      <c r="M128">
        <v>280</v>
      </c>
      <c r="N128" t="s">
        <v>1214</v>
      </c>
      <c r="O128">
        <v>588</v>
      </c>
    </row>
    <row r="129" spans="1:15" x14ac:dyDescent="0.35">
      <c r="A129">
        <v>2011</v>
      </c>
      <c r="B129">
        <v>11</v>
      </c>
      <c r="C129">
        <v>14</v>
      </c>
      <c r="D129">
        <v>614</v>
      </c>
      <c r="E129">
        <v>4</v>
      </c>
      <c r="F129" t="s">
        <v>45</v>
      </c>
      <c r="G129" t="s">
        <v>1215</v>
      </c>
      <c r="H129">
        <v>2</v>
      </c>
      <c r="J129" t="s">
        <v>667</v>
      </c>
      <c r="K129" t="s">
        <v>512</v>
      </c>
      <c r="L129">
        <v>22</v>
      </c>
      <c r="M129">
        <v>280</v>
      </c>
      <c r="N129" t="s">
        <v>1210</v>
      </c>
      <c r="O129">
        <v>614</v>
      </c>
    </row>
    <row r="130" spans="1:15" x14ac:dyDescent="0.35">
      <c r="A130">
        <v>2021</v>
      </c>
      <c r="B130">
        <v>10</v>
      </c>
      <c r="C130" t="s">
        <v>28</v>
      </c>
      <c r="D130">
        <v>31</v>
      </c>
      <c r="E130">
        <v>4</v>
      </c>
      <c r="F130" t="s">
        <v>41</v>
      </c>
      <c r="G130" t="s">
        <v>1207</v>
      </c>
      <c r="H130">
        <v>8</v>
      </c>
      <c r="J130" t="s">
        <v>318</v>
      </c>
      <c r="K130" t="s">
        <v>318</v>
      </c>
      <c r="L130">
        <v>16.5</v>
      </c>
      <c r="M130">
        <v>281</v>
      </c>
      <c r="N130" t="s">
        <v>1208</v>
      </c>
      <c r="O130">
        <v>31</v>
      </c>
    </row>
    <row r="131" spans="1:15" x14ac:dyDescent="0.35">
      <c r="A131">
        <v>2016</v>
      </c>
      <c r="B131">
        <v>9</v>
      </c>
      <c r="C131">
        <v>1</v>
      </c>
      <c r="D131">
        <v>266</v>
      </c>
      <c r="E131">
        <v>3</v>
      </c>
      <c r="F131" t="s">
        <v>45</v>
      </c>
      <c r="G131" t="s">
        <v>1208</v>
      </c>
      <c r="H131">
        <v>5</v>
      </c>
      <c r="J131" t="s">
        <v>718</v>
      </c>
      <c r="K131" t="s">
        <v>317</v>
      </c>
      <c r="L131">
        <v>13.7</v>
      </c>
      <c r="M131">
        <v>281</v>
      </c>
      <c r="N131" t="s">
        <v>1210</v>
      </c>
      <c r="O131">
        <v>266</v>
      </c>
    </row>
    <row r="132" spans="1:15" x14ac:dyDescent="0.35">
      <c r="A132">
        <v>2023</v>
      </c>
      <c r="B132">
        <v>11</v>
      </c>
      <c r="C132">
        <v>9</v>
      </c>
      <c r="D132">
        <v>501</v>
      </c>
      <c r="E132">
        <v>4</v>
      </c>
      <c r="F132" t="s">
        <v>20</v>
      </c>
      <c r="G132" t="s">
        <v>1213</v>
      </c>
      <c r="H132">
        <v>3</v>
      </c>
      <c r="J132" t="s">
        <v>783</v>
      </c>
      <c r="K132">
        <v>7</v>
      </c>
      <c r="L132">
        <v>17</v>
      </c>
      <c r="M132">
        <v>281</v>
      </c>
      <c r="N132" t="s">
        <v>1214</v>
      </c>
      <c r="O132">
        <v>501</v>
      </c>
    </row>
    <row r="133" spans="1:15" x14ac:dyDescent="0.35">
      <c r="A133">
        <v>2019</v>
      </c>
      <c r="B133">
        <v>11</v>
      </c>
      <c r="C133">
        <v>27</v>
      </c>
      <c r="D133">
        <v>54</v>
      </c>
      <c r="E133">
        <v>4</v>
      </c>
      <c r="F133" t="s">
        <v>45</v>
      </c>
      <c r="G133" t="s">
        <v>1215</v>
      </c>
      <c r="H133">
        <v>10</v>
      </c>
      <c r="J133" t="s">
        <v>488</v>
      </c>
      <c r="K133" t="s">
        <v>488</v>
      </c>
      <c r="L133">
        <v>16.100000000000001</v>
      </c>
      <c r="M133">
        <v>282</v>
      </c>
      <c r="N133" t="s">
        <v>1210</v>
      </c>
      <c r="O133">
        <v>54</v>
      </c>
    </row>
    <row r="134" spans="1:15" x14ac:dyDescent="0.35">
      <c r="A134">
        <v>2023</v>
      </c>
      <c r="B134">
        <v>7</v>
      </c>
      <c r="C134">
        <v>17</v>
      </c>
      <c r="D134">
        <v>349</v>
      </c>
      <c r="E134">
        <v>3</v>
      </c>
      <c r="F134" t="s">
        <v>45</v>
      </c>
      <c r="G134" t="s">
        <v>1208</v>
      </c>
      <c r="H134">
        <v>12</v>
      </c>
      <c r="J134" t="s">
        <v>236</v>
      </c>
      <c r="K134" t="s">
        <v>317</v>
      </c>
      <c r="L134">
        <v>17.7</v>
      </c>
      <c r="M134">
        <v>282</v>
      </c>
      <c r="N134" t="s">
        <v>1210</v>
      </c>
      <c r="O134">
        <v>349</v>
      </c>
    </row>
    <row r="135" spans="1:15" x14ac:dyDescent="0.35">
      <c r="A135">
        <v>2022</v>
      </c>
      <c r="B135">
        <v>11</v>
      </c>
      <c r="C135">
        <v>1</v>
      </c>
      <c r="D135">
        <v>409</v>
      </c>
      <c r="E135">
        <v>4</v>
      </c>
      <c r="F135" t="s">
        <v>41</v>
      </c>
      <c r="G135" t="s">
        <v>1207</v>
      </c>
      <c r="H135">
        <v>9</v>
      </c>
      <c r="J135" t="s">
        <v>583</v>
      </c>
      <c r="K135" t="s">
        <v>318</v>
      </c>
      <c r="L135">
        <v>12.8</v>
      </c>
      <c r="M135">
        <v>282</v>
      </c>
      <c r="N135" t="s">
        <v>1208</v>
      </c>
      <c r="O135">
        <v>409</v>
      </c>
    </row>
    <row r="136" spans="1:15" x14ac:dyDescent="0.35">
      <c r="A136">
        <v>2019</v>
      </c>
      <c r="B136">
        <v>8</v>
      </c>
      <c r="C136">
        <v>9</v>
      </c>
      <c r="D136">
        <v>319</v>
      </c>
      <c r="E136">
        <v>3</v>
      </c>
      <c r="F136" t="s">
        <v>45</v>
      </c>
      <c r="G136" t="s">
        <v>1208</v>
      </c>
      <c r="H136">
        <v>8</v>
      </c>
      <c r="J136" t="s">
        <v>632</v>
      </c>
      <c r="K136" t="s">
        <v>317</v>
      </c>
      <c r="L136">
        <v>11.1</v>
      </c>
      <c r="M136">
        <v>283</v>
      </c>
      <c r="N136" t="s">
        <v>1210</v>
      </c>
      <c r="O136">
        <v>319</v>
      </c>
    </row>
    <row r="137" spans="1:15" x14ac:dyDescent="0.35">
      <c r="A137">
        <v>2023</v>
      </c>
      <c r="B137">
        <v>7</v>
      </c>
      <c r="C137">
        <v>19</v>
      </c>
      <c r="D137">
        <v>360</v>
      </c>
      <c r="E137">
        <v>3</v>
      </c>
      <c r="F137" t="s">
        <v>41</v>
      </c>
      <c r="G137" t="s">
        <v>1207</v>
      </c>
      <c r="H137">
        <v>10</v>
      </c>
      <c r="J137" t="s">
        <v>42</v>
      </c>
      <c r="K137" t="s">
        <v>318</v>
      </c>
      <c r="L137">
        <v>14.7</v>
      </c>
      <c r="M137">
        <v>283</v>
      </c>
      <c r="N137" t="s">
        <v>1208</v>
      </c>
      <c r="O137">
        <v>360</v>
      </c>
    </row>
    <row r="138" spans="1:15" x14ac:dyDescent="0.35">
      <c r="A138">
        <v>2016</v>
      </c>
      <c r="B138">
        <v>8</v>
      </c>
      <c r="C138">
        <v>30</v>
      </c>
      <c r="D138">
        <v>214</v>
      </c>
      <c r="E138">
        <v>3</v>
      </c>
      <c r="F138" t="s">
        <v>45</v>
      </c>
      <c r="G138" t="s">
        <v>1215</v>
      </c>
      <c r="H138">
        <v>7</v>
      </c>
      <c r="J138" t="s">
        <v>671</v>
      </c>
      <c r="K138" t="s">
        <v>512</v>
      </c>
      <c r="L138">
        <v>19.2</v>
      </c>
      <c r="M138">
        <v>284</v>
      </c>
      <c r="N138" t="s">
        <v>1210</v>
      </c>
      <c r="O138">
        <v>214</v>
      </c>
    </row>
    <row r="139" spans="1:15" x14ac:dyDescent="0.35">
      <c r="A139">
        <v>2016</v>
      </c>
      <c r="B139">
        <v>8</v>
      </c>
      <c r="C139">
        <v>30</v>
      </c>
      <c r="D139">
        <v>272</v>
      </c>
      <c r="E139">
        <v>3</v>
      </c>
      <c r="F139" t="s">
        <v>45</v>
      </c>
      <c r="G139" t="s">
        <v>1215</v>
      </c>
      <c r="H139">
        <v>7</v>
      </c>
      <c r="J139" t="s">
        <v>731</v>
      </c>
      <c r="K139" t="s">
        <v>512</v>
      </c>
      <c r="L139">
        <v>19.3</v>
      </c>
      <c r="M139">
        <v>284</v>
      </c>
      <c r="N139" t="s">
        <v>1210</v>
      </c>
      <c r="O139">
        <v>272</v>
      </c>
    </row>
    <row r="140" spans="1:15" x14ac:dyDescent="0.35">
      <c r="A140">
        <v>2019</v>
      </c>
      <c r="B140">
        <v>2</v>
      </c>
      <c r="C140">
        <v>21</v>
      </c>
      <c r="D140">
        <v>159</v>
      </c>
      <c r="E140">
        <v>1</v>
      </c>
      <c r="F140" t="s">
        <v>45</v>
      </c>
      <c r="G140" t="s">
        <v>1208</v>
      </c>
      <c r="H140">
        <v>8</v>
      </c>
      <c r="J140" t="s">
        <v>602</v>
      </c>
      <c r="K140" t="s">
        <v>317</v>
      </c>
      <c r="L140">
        <v>16.7</v>
      </c>
      <c r="M140">
        <v>285</v>
      </c>
      <c r="N140" t="s">
        <v>1210</v>
      </c>
      <c r="O140">
        <v>159</v>
      </c>
    </row>
    <row r="141" spans="1:15" x14ac:dyDescent="0.35">
      <c r="A141">
        <v>2016</v>
      </c>
      <c r="B141">
        <v>9</v>
      </c>
      <c r="C141">
        <v>1</v>
      </c>
      <c r="D141">
        <v>264</v>
      </c>
      <c r="E141">
        <v>3</v>
      </c>
      <c r="F141" t="s">
        <v>45</v>
      </c>
      <c r="G141" t="s">
        <v>1208</v>
      </c>
      <c r="H141">
        <v>5</v>
      </c>
      <c r="J141" t="s">
        <v>718</v>
      </c>
      <c r="K141" t="s">
        <v>317</v>
      </c>
      <c r="L141">
        <v>16.2</v>
      </c>
      <c r="M141">
        <v>285</v>
      </c>
      <c r="N141" t="s">
        <v>1210</v>
      </c>
      <c r="O141">
        <v>264</v>
      </c>
    </row>
    <row r="142" spans="1:15" x14ac:dyDescent="0.35">
      <c r="A142">
        <v>2019</v>
      </c>
      <c r="B142">
        <v>8</v>
      </c>
      <c r="C142">
        <v>9</v>
      </c>
      <c r="D142">
        <v>318</v>
      </c>
      <c r="E142">
        <v>3</v>
      </c>
      <c r="F142" t="s">
        <v>45</v>
      </c>
      <c r="G142" t="s">
        <v>1208</v>
      </c>
      <c r="H142">
        <v>8</v>
      </c>
      <c r="J142" t="s">
        <v>632</v>
      </c>
      <c r="K142" t="s">
        <v>317</v>
      </c>
      <c r="L142">
        <v>13.3</v>
      </c>
      <c r="M142">
        <v>285</v>
      </c>
      <c r="N142" t="s">
        <v>1210</v>
      </c>
      <c r="O142">
        <v>318</v>
      </c>
    </row>
    <row r="143" spans="1:15" x14ac:dyDescent="0.35">
      <c r="A143">
        <v>2011</v>
      </c>
      <c r="B143">
        <v>11</v>
      </c>
      <c r="C143">
        <v>14</v>
      </c>
      <c r="D143">
        <v>619</v>
      </c>
      <c r="E143">
        <v>4</v>
      </c>
      <c r="F143" t="s">
        <v>45</v>
      </c>
      <c r="G143" t="s">
        <v>1215</v>
      </c>
      <c r="H143">
        <v>2</v>
      </c>
      <c r="J143" t="s">
        <v>667</v>
      </c>
      <c r="K143" t="s">
        <v>512</v>
      </c>
      <c r="L143">
        <v>21.4</v>
      </c>
      <c r="M143">
        <v>285</v>
      </c>
      <c r="N143" t="s">
        <v>1210</v>
      </c>
      <c r="O143">
        <v>619</v>
      </c>
    </row>
    <row r="144" spans="1:15" x14ac:dyDescent="0.35">
      <c r="A144">
        <v>2024</v>
      </c>
      <c r="B144">
        <v>4</v>
      </c>
      <c r="C144">
        <v>5</v>
      </c>
      <c r="D144">
        <v>653</v>
      </c>
      <c r="E144">
        <v>2</v>
      </c>
      <c r="F144" t="s">
        <v>225</v>
      </c>
      <c r="G144" t="s">
        <v>1209</v>
      </c>
      <c r="H144">
        <v>3</v>
      </c>
      <c r="J144" t="s">
        <v>1018</v>
      </c>
      <c r="K144">
        <v>1</v>
      </c>
      <c r="L144">
        <v>20.3</v>
      </c>
      <c r="M144">
        <v>286</v>
      </c>
      <c r="N144" t="s">
        <v>1209</v>
      </c>
      <c r="O144">
        <v>653</v>
      </c>
    </row>
    <row r="145" spans="1:15" x14ac:dyDescent="0.35">
      <c r="A145">
        <v>2018</v>
      </c>
      <c r="B145">
        <v>8</v>
      </c>
      <c r="C145">
        <v>15</v>
      </c>
      <c r="D145">
        <v>333</v>
      </c>
      <c r="E145">
        <v>3</v>
      </c>
      <c r="F145" t="s">
        <v>41</v>
      </c>
      <c r="G145" t="s">
        <v>1207</v>
      </c>
      <c r="H145">
        <v>5</v>
      </c>
      <c r="J145" t="s">
        <v>42</v>
      </c>
      <c r="K145" t="s">
        <v>318</v>
      </c>
      <c r="L145">
        <v>17.399999999999999</v>
      </c>
      <c r="M145">
        <v>287</v>
      </c>
      <c r="N145" t="s">
        <v>1208</v>
      </c>
      <c r="O145">
        <v>333</v>
      </c>
    </row>
    <row r="146" spans="1:15" x14ac:dyDescent="0.35">
      <c r="A146">
        <v>2024</v>
      </c>
      <c r="B146">
        <v>8</v>
      </c>
      <c r="C146">
        <v>19</v>
      </c>
      <c r="D146">
        <v>811</v>
      </c>
      <c r="E146">
        <v>3</v>
      </c>
      <c r="F146" t="s">
        <v>225</v>
      </c>
      <c r="G146" t="s">
        <v>1209</v>
      </c>
      <c r="H146">
        <v>3</v>
      </c>
      <c r="J146">
        <v>3</v>
      </c>
      <c r="K146">
        <v>3</v>
      </c>
      <c r="L146">
        <v>20.7</v>
      </c>
      <c r="M146">
        <v>287</v>
      </c>
      <c r="N146" t="s">
        <v>1209</v>
      </c>
      <c r="O146">
        <v>811</v>
      </c>
    </row>
    <row r="147" spans="1:15" x14ac:dyDescent="0.35">
      <c r="A147">
        <v>2017</v>
      </c>
      <c r="B147">
        <v>8</v>
      </c>
      <c r="C147">
        <v>8</v>
      </c>
      <c r="D147">
        <v>126</v>
      </c>
      <c r="E147">
        <v>3</v>
      </c>
      <c r="F147" t="s">
        <v>45</v>
      </c>
      <c r="G147" t="s">
        <v>1215</v>
      </c>
      <c r="H147">
        <v>8</v>
      </c>
      <c r="J147" t="s">
        <v>512</v>
      </c>
      <c r="K147" t="s">
        <v>512</v>
      </c>
      <c r="L147">
        <v>16.399999999999999</v>
      </c>
      <c r="M147">
        <v>288</v>
      </c>
      <c r="N147" t="s">
        <v>1210</v>
      </c>
      <c r="O147">
        <v>126</v>
      </c>
    </row>
    <row r="148" spans="1:15" x14ac:dyDescent="0.35">
      <c r="A148">
        <v>2019</v>
      </c>
      <c r="B148">
        <v>2</v>
      </c>
      <c r="C148">
        <v>20</v>
      </c>
      <c r="D148">
        <v>162</v>
      </c>
      <c r="E148">
        <v>1</v>
      </c>
      <c r="F148" t="s">
        <v>45</v>
      </c>
      <c r="G148" t="s">
        <v>1208</v>
      </c>
      <c r="H148">
        <v>8</v>
      </c>
      <c r="J148" t="s">
        <v>610</v>
      </c>
      <c r="K148" t="s">
        <v>317</v>
      </c>
      <c r="L148">
        <v>18.5</v>
      </c>
      <c r="M148">
        <v>289</v>
      </c>
      <c r="N148" t="s">
        <v>1210</v>
      </c>
      <c r="O148">
        <v>162</v>
      </c>
    </row>
    <row r="149" spans="1:15" x14ac:dyDescent="0.35">
      <c r="A149">
        <v>2022</v>
      </c>
      <c r="B149">
        <v>11</v>
      </c>
      <c r="C149">
        <v>15</v>
      </c>
      <c r="D149">
        <v>100</v>
      </c>
      <c r="E149">
        <v>4</v>
      </c>
      <c r="F149" t="s">
        <v>20</v>
      </c>
      <c r="G149" t="s">
        <v>1214</v>
      </c>
      <c r="H149">
        <v>4</v>
      </c>
      <c r="J149">
        <v>6</v>
      </c>
      <c r="K149">
        <v>6</v>
      </c>
      <c r="L149">
        <v>20.5</v>
      </c>
      <c r="M149">
        <v>290</v>
      </c>
      <c r="N149" t="s">
        <v>1214</v>
      </c>
      <c r="O149">
        <v>100</v>
      </c>
    </row>
    <row r="150" spans="1:15" x14ac:dyDescent="0.35">
      <c r="A150">
        <v>2016</v>
      </c>
      <c r="B150">
        <v>11</v>
      </c>
      <c r="C150">
        <v>8</v>
      </c>
      <c r="D150">
        <v>199</v>
      </c>
      <c r="E150">
        <v>4</v>
      </c>
      <c r="F150" t="s">
        <v>41</v>
      </c>
      <c r="G150" t="s">
        <v>1212</v>
      </c>
      <c r="H150">
        <v>4</v>
      </c>
      <c r="J150" t="s">
        <v>551</v>
      </c>
      <c r="K150" t="s">
        <v>461</v>
      </c>
      <c r="L150">
        <v>22.1</v>
      </c>
      <c r="M150">
        <v>290</v>
      </c>
      <c r="N150" t="s">
        <v>1208</v>
      </c>
      <c r="O150">
        <v>199</v>
      </c>
    </row>
    <row r="151" spans="1:15" x14ac:dyDescent="0.35">
      <c r="A151">
        <v>2016</v>
      </c>
      <c r="B151">
        <v>9</v>
      </c>
      <c r="C151">
        <v>1</v>
      </c>
      <c r="D151">
        <v>261</v>
      </c>
      <c r="E151">
        <v>3</v>
      </c>
      <c r="F151" t="s">
        <v>45</v>
      </c>
      <c r="G151" t="s">
        <v>1208</v>
      </c>
      <c r="H151">
        <v>5</v>
      </c>
      <c r="J151" t="s">
        <v>718</v>
      </c>
      <c r="K151" t="s">
        <v>317</v>
      </c>
      <c r="L151">
        <v>1.7</v>
      </c>
      <c r="M151">
        <v>290</v>
      </c>
      <c r="N151" t="s">
        <v>1210</v>
      </c>
      <c r="O151">
        <v>261</v>
      </c>
    </row>
    <row r="152" spans="1:15" x14ac:dyDescent="0.35">
      <c r="A152">
        <v>2023</v>
      </c>
      <c r="B152">
        <v>8</v>
      </c>
      <c r="C152">
        <v>2</v>
      </c>
      <c r="D152">
        <v>440</v>
      </c>
      <c r="E152">
        <v>3</v>
      </c>
      <c r="F152" t="s">
        <v>226</v>
      </c>
      <c r="G152" t="s">
        <v>1211</v>
      </c>
      <c r="H152">
        <v>6</v>
      </c>
      <c r="J152" t="s">
        <v>228</v>
      </c>
      <c r="K152">
        <v>7</v>
      </c>
      <c r="L152">
        <v>25.1</v>
      </c>
      <c r="M152">
        <v>290</v>
      </c>
      <c r="N152" t="s">
        <v>1211</v>
      </c>
      <c r="O152">
        <v>440</v>
      </c>
    </row>
    <row r="153" spans="1:15" x14ac:dyDescent="0.35">
      <c r="A153">
        <v>2023</v>
      </c>
      <c r="B153">
        <v>11</v>
      </c>
      <c r="C153">
        <v>9</v>
      </c>
      <c r="D153">
        <v>502</v>
      </c>
      <c r="E153">
        <v>4</v>
      </c>
      <c r="F153" t="s">
        <v>20</v>
      </c>
      <c r="G153" t="s">
        <v>1213</v>
      </c>
      <c r="H153">
        <v>3</v>
      </c>
      <c r="J153" t="s">
        <v>783</v>
      </c>
      <c r="K153">
        <v>7</v>
      </c>
      <c r="L153">
        <v>20.100000000000001</v>
      </c>
      <c r="M153">
        <v>290</v>
      </c>
      <c r="N153" t="s">
        <v>1214</v>
      </c>
      <c r="O153">
        <v>502</v>
      </c>
    </row>
    <row r="154" spans="1:15" x14ac:dyDescent="0.35">
      <c r="A154">
        <v>2024</v>
      </c>
      <c r="B154">
        <v>2</v>
      </c>
      <c r="C154">
        <v>23</v>
      </c>
      <c r="D154">
        <v>631</v>
      </c>
      <c r="E154">
        <v>1</v>
      </c>
      <c r="F154" t="s">
        <v>225</v>
      </c>
      <c r="G154" t="s">
        <v>1216</v>
      </c>
      <c r="H154">
        <v>2</v>
      </c>
      <c r="J154" t="s">
        <v>21</v>
      </c>
      <c r="K154">
        <v>2</v>
      </c>
      <c r="L154">
        <v>19.399999999999999</v>
      </c>
      <c r="M154">
        <v>290</v>
      </c>
      <c r="N154" t="s">
        <v>1209</v>
      </c>
      <c r="O154">
        <v>631</v>
      </c>
    </row>
    <row r="155" spans="1:15" x14ac:dyDescent="0.35">
      <c r="A155">
        <v>2024</v>
      </c>
      <c r="B155">
        <v>6</v>
      </c>
      <c r="C155">
        <v>19</v>
      </c>
      <c r="D155">
        <v>804</v>
      </c>
      <c r="E155">
        <v>3</v>
      </c>
      <c r="F155" t="s">
        <v>225</v>
      </c>
      <c r="G155" t="s">
        <v>1209</v>
      </c>
      <c r="H155">
        <v>3</v>
      </c>
      <c r="J155" t="s">
        <v>1162</v>
      </c>
      <c r="K155">
        <v>3</v>
      </c>
      <c r="L155">
        <v>20.5</v>
      </c>
      <c r="M155">
        <v>290</v>
      </c>
      <c r="N155" t="s">
        <v>1209</v>
      </c>
      <c r="O155">
        <v>804</v>
      </c>
    </row>
    <row r="156" spans="1:15" x14ac:dyDescent="0.35">
      <c r="A156">
        <v>2017</v>
      </c>
      <c r="B156">
        <v>8</v>
      </c>
      <c r="C156">
        <v>8</v>
      </c>
      <c r="D156">
        <v>87</v>
      </c>
      <c r="E156">
        <v>3</v>
      </c>
      <c r="F156" t="s">
        <v>45</v>
      </c>
      <c r="G156" t="s">
        <v>1215</v>
      </c>
      <c r="H156">
        <v>8</v>
      </c>
      <c r="J156" t="s">
        <v>512</v>
      </c>
      <c r="K156" t="s">
        <v>512</v>
      </c>
      <c r="L156">
        <v>17.600000000000001</v>
      </c>
      <c r="M156">
        <v>291</v>
      </c>
      <c r="N156" t="s">
        <v>1210</v>
      </c>
      <c r="O156">
        <v>87</v>
      </c>
    </row>
    <row r="157" spans="1:15" x14ac:dyDescent="0.35">
      <c r="A157">
        <v>2016</v>
      </c>
      <c r="B157">
        <v>9</v>
      </c>
      <c r="C157">
        <v>2</v>
      </c>
      <c r="D157">
        <v>216</v>
      </c>
      <c r="E157">
        <v>3</v>
      </c>
      <c r="F157" t="s">
        <v>41</v>
      </c>
      <c r="G157" t="s">
        <v>1207</v>
      </c>
      <c r="H157">
        <v>3</v>
      </c>
      <c r="J157" t="s">
        <v>49</v>
      </c>
      <c r="K157" t="s">
        <v>318</v>
      </c>
      <c r="L157">
        <v>19.100000000000001</v>
      </c>
      <c r="M157">
        <v>291</v>
      </c>
      <c r="N157" t="s">
        <v>1208</v>
      </c>
      <c r="O157">
        <v>216</v>
      </c>
    </row>
    <row r="158" spans="1:15" x14ac:dyDescent="0.35">
      <c r="A158">
        <v>2017</v>
      </c>
      <c r="B158">
        <v>8</v>
      </c>
      <c r="C158">
        <v>8</v>
      </c>
      <c r="D158">
        <v>74</v>
      </c>
      <c r="E158">
        <v>3</v>
      </c>
      <c r="F158" t="s">
        <v>45</v>
      </c>
      <c r="G158" t="s">
        <v>1215</v>
      </c>
      <c r="H158">
        <v>8</v>
      </c>
      <c r="J158" t="s">
        <v>512</v>
      </c>
      <c r="K158" t="s">
        <v>512</v>
      </c>
      <c r="L158">
        <v>20.7</v>
      </c>
      <c r="M158">
        <v>292</v>
      </c>
      <c r="N158" t="s">
        <v>1210</v>
      </c>
      <c r="O158">
        <v>74</v>
      </c>
    </row>
    <row r="159" spans="1:15" x14ac:dyDescent="0.35">
      <c r="A159">
        <v>2019</v>
      </c>
      <c r="B159">
        <v>2</v>
      </c>
      <c r="C159">
        <v>21</v>
      </c>
      <c r="D159">
        <v>164</v>
      </c>
      <c r="E159">
        <v>1</v>
      </c>
      <c r="F159" t="s">
        <v>45</v>
      </c>
      <c r="G159" t="s">
        <v>1208</v>
      </c>
      <c r="H159">
        <v>8</v>
      </c>
      <c r="J159" t="s">
        <v>236</v>
      </c>
      <c r="K159" t="s">
        <v>317</v>
      </c>
      <c r="L159">
        <v>2</v>
      </c>
      <c r="M159">
        <v>292</v>
      </c>
      <c r="N159" t="s">
        <v>1210</v>
      </c>
      <c r="O159">
        <v>164</v>
      </c>
    </row>
    <row r="160" spans="1:15" x14ac:dyDescent="0.35">
      <c r="A160">
        <v>2023</v>
      </c>
      <c r="B160">
        <v>7</v>
      </c>
      <c r="C160">
        <v>17</v>
      </c>
      <c r="D160">
        <v>400</v>
      </c>
      <c r="E160">
        <v>3</v>
      </c>
      <c r="F160" t="s">
        <v>45</v>
      </c>
      <c r="G160" t="s">
        <v>1208</v>
      </c>
      <c r="H160">
        <v>12</v>
      </c>
      <c r="J160" t="s">
        <v>865</v>
      </c>
      <c r="K160" t="s">
        <v>317</v>
      </c>
      <c r="L160">
        <v>16.5</v>
      </c>
      <c r="M160">
        <v>292</v>
      </c>
      <c r="N160" t="s">
        <v>1210</v>
      </c>
      <c r="O160">
        <v>400</v>
      </c>
    </row>
    <row r="161" spans="1:16" x14ac:dyDescent="0.35">
      <c r="A161">
        <v>2023</v>
      </c>
      <c r="B161">
        <v>7</v>
      </c>
      <c r="C161">
        <v>25</v>
      </c>
      <c r="D161">
        <v>452</v>
      </c>
      <c r="E161">
        <v>3</v>
      </c>
      <c r="F161" t="s">
        <v>20</v>
      </c>
      <c r="G161" t="s">
        <v>1214</v>
      </c>
      <c r="H161">
        <v>5</v>
      </c>
      <c r="J161" t="s">
        <v>234</v>
      </c>
      <c r="K161">
        <v>6</v>
      </c>
      <c r="L161">
        <v>18.899999999999999</v>
      </c>
      <c r="M161">
        <v>292</v>
      </c>
      <c r="N161" t="s">
        <v>1214</v>
      </c>
      <c r="O161">
        <v>452</v>
      </c>
    </row>
    <row r="162" spans="1:16" x14ac:dyDescent="0.35">
      <c r="A162">
        <v>2023</v>
      </c>
      <c r="B162">
        <v>7</v>
      </c>
      <c r="C162">
        <v>25</v>
      </c>
      <c r="D162">
        <v>452</v>
      </c>
      <c r="E162">
        <v>3</v>
      </c>
      <c r="F162" t="s">
        <v>20</v>
      </c>
      <c r="G162" t="s">
        <v>1214</v>
      </c>
      <c r="H162">
        <v>5</v>
      </c>
      <c r="J162" t="s">
        <v>234</v>
      </c>
      <c r="K162">
        <v>6</v>
      </c>
      <c r="L162">
        <v>18.899999999999999</v>
      </c>
      <c r="M162">
        <v>292</v>
      </c>
      <c r="N162" t="s">
        <v>1214</v>
      </c>
      <c r="O162">
        <v>452</v>
      </c>
    </row>
    <row r="163" spans="1:16" x14ac:dyDescent="0.35">
      <c r="A163">
        <v>2023</v>
      </c>
      <c r="B163">
        <v>11</v>
      </c>
      <c r="C163">
        <v>2</v>
      </c>
      <c r="D163">
        <v>537</v>
      </c>
      <c r="E163">
        <v>4</v>
      </c>
      <c r="F163" t="s">
        <v>45</v>
      </c>
      <c r="G163" t="s">
        <v>1208</v>
      </c>
      <c r="H163">
        <v>12</v>
      </c>
      <c r="J163" t="s">
        <v>990</v>
      </c>
      <c r="K163" t="s">
        <v>317</v>
      </c>
      <c r="L163">
        <v>19.899999999999999</v>
      </c>
      <c r="M163">
        <v>292</v>
      </c>
      <c r="N163" t="s">
        <v>1210</v>
      </c>
      <c r="O163">
        <v>537</v>
      </c>
    </row>
    <row r="164" spans="1:16" x14ac:dyDescent="0.35">
      <c r="A164">
        <v>2016</v>
      </c>
      <c r="B164">
        <v>9</v>
      </c>
      <c r="C164">
        <v>2</v>
      </c>
      <c r="D164">
        <v>218</v>
      </c>
      <c r="E164">
        <v>3</v>
      </c>
      <c r="F164" t="s">
        <v>41</v>
      </c>
      <c r="G164" t="s">
        <v>1207</v>
      </c>
      <c r="H164">
        <v>3</v>
      </c>
      <c r="J164" t="s">
        <v>49</v>
      </c>
      <c r="K164" t="s">
        <v>318</v>
      </c>
      <c r="L164">
        <v>1.9</v>
      </c>
      <c r="M164">
        <v>293</v>
      </c>
      <c r="N164" t="s">
        <v>1208</v>
      </c>
      <c r="O164">
        <v>218</v>
      </c>
    </row>
    <row r="165" spans="1:16" x14ac:dyDescent="0.35">
      <c r="A165">
        <v>2016</v>
      </c>
      <c r="B165">
        <v>8</v>
      </c>
      <c r="C165">
        <v>30</v>
      </c>
      <c r="D165">
        <v>270</v>
      </c>
      <c r="E165">
        <v>3</v>
      </c>
      <c r="F165" t="s">
        <v>45</v>
      </c>
      <c r="G165" t="s">
        <v>1215</v>
      </c>
      <c r="H165">
        <v>7</v>
      </c>
      <c r="J165" t="s">
        <v>731</v>
      </c>
      <c r="K165" t="s">
        <v>512</v>
      </c>
      <c r="L165">
        <v>18.399999999999999</v>
      </c>
      <c r="M165">
        <v>293</v>
      </c>
      <c r="N165" t="s">
        <v>1210</v>
      </c>
      <c r="O165">
        <v>270</v>
      </c>
    </row>
    <row r="166" spans="1:16" x14ac:dyDescent="0.35">
      <c r="A166">
        <v>2023</v>
      </c>
      <c r="B166">
        <v>8</v>
      </c>
      <c r="C166">
        <v>2</v>
      </c>
      <c r="D166">
        <v>431</v>
      </c>
      <c r="E166">
        <v>3</v>
      </c>
      <c r="F166" t="s">
        <v>225</v>
      </c>
      <c r="G166" t="s">
        <v>1216</v>
      </c>
      <c r="H166">
        <v>1</v>
      </c>
      <c r="J166" t="s">
        <v>67</v>
      </c>
      <c r="K166">
        <v>2</v>
      </c>
      <c r="L166">
        <v>21.1</v>
      </c>
      <c r="M166">
        <v>293</v>
      </c>
      <c r="N166" t="s">
        <v>1209</v>
      </c>
      <c r="O166">
        <v>431</v>
      </c>
    </row>
    <row r="167" spans="1:16" x14ac:dyDescent="0.35">
      <c r="A167">
        <v>2016</v>
      </c>
      <c r="B167">
        <v>9</v>
      </c>
      <c r="C167">
        <v>1</v>
      </c>
      <c r="D167">
        <v>221</v>
      </c>
      <c r="E167">
        <v>3</v>
      </c>
      <c r="F167" t="s">
        <v>41</v>
      </c>
      <c r="G167" t="s">
        <v>1212</v>
      </c>
      <c r="H167">
        <v>4</v>
      </c>
      <c r="J167" t="s">
        <v>551</v>
      </c>
      <c r="K167" t="s">
        <v>461</v>
      </c>
      <c r="L167">
        <v>24.6</v>
      </c>
      <c r="M167">
        <v>294</v>
      </c>
      <c r="N167" t="s">
        <v>1208</v>
      </c>
      <c r="O167">
        <v>221</v>
      </c>
    </row>
    <row r="168" spans="1:16" x14ac:dyDescent="0.35">
      <c r="A168">
        <v>2016</v>
      </c>
      <c r="B168">
        <v>9</v>
      </c>
      <c r="C168">
        <v>1</v>
      </c>
      <c r="D168">
        <v>221</v>
      </c>
      <c r="E168">
        <v>3</v>
      </c>
      <c r="F168" t="s">
        <v>41</v>
      </c>
      <c r="G168" t="s">
        <v>1212</v>
      </c>
      <c r="H168">
        <v>4</v>
      </c>
      <c r="J168" t="s">
        <v>551</v>
      </c>
      <c r="K168" t="s">
        <v>461</v>
      </c>
      <c r="L168">
        <v>24.6</v>
      </c>
      <c r="M168">
        <v>294</v>
      </c>
      <c r="N168" t="s">
        <v>1208</v>
      </c>
      <c r="O168">
        <v>221</v>
      </c>
    </row>
    <row r="169" spans="1:16" x14ac:dyDescent="0.35">
      <c r="A169">
        <v>2022</v>
      </c>
      <c r="B169" t="s">
        <v>28</v>
      </c>
      <c r="C169" t="s">
        <v>28</v>
      </c>
      <c r="D169">
        <v>113</v>
      </c>
      <c r="E169" t="s">
        <v>28</v>
      </c>
      <c r="F169" t="s">
        <v>225</v>
      </c>
      <c r="G169" t="s">
        <v>1209</v>
      </c>
      <c r="H169">
        <v>1</v>
      </c>
      <c r="J169">
        <v>4</v>
      </c>
      <c r="K169">
        <v>4</v>
      </c>
      <c r="L169">
        <v>20.8</v>
      </c>
      <c r="M169">
        <v>295</v>
      </c>
      <c r="N169" t="s">
        <v>1209</v>
      </c>
      <c r="O169">
        <v>113</v>
      </c>
      <c r="P169">
        <v>9.7899999999999991</v>
      </c>
    </row>
    <row r="170" spans="1:16" x14ac:dyDescent="0.35">
      <c r="A170">
        <v>2017</v>
      </c>
      <c r="B170">
        <v>2</v>
      </c>
      <c r="C170">
        <v>10</v>
      </c>
      <c r="D170">
        <v>140</v>
      </c>
      <c r="E170">
        <v>1</v>
      </c>
      <c r="F170" t="s">
        <v>41</v>
      </c>
      <c r="G170" t="s">
        <v>1207</v>
      </c>
      <c r="H170">
        <v>4</v>
      </c>
      <c r="J170" t="s">
        <v>91</v>
      </c>
      <c r="K170" t="s">
        <v>318</v>
      </c>
      <c r="L170">
        <v>16.100000000000001</v>
      </c>
      <c r="M170">
        <v>295</v>
      </c>
      <c r="N170" t="s">
        <v>1208</v>
      </c>
      <c r="O170">
        <v>140</v>
      </c>
    </row>
    <row r="171" spans="1:16" x14ac:dyDescent="0.35">
      <c r="A171">
        <v>2023</v>
      </c>
      <c r="B171">
        <v>11</v>
      </c>
      <c r="C171">
        <v>14</v>
      </c>
      <c r="D171">
        <v>516</v>
      </c>
      <c r="E171">
        <v>4</v>
      </c>
      <c r="F171" t="s">
        <v>225</v>
      </c>
      <c r="G171" t="s">
        <v>1209</v>
      </c>
      <c r="H171">
        <v>2</v>
      </c>
      <c r="J171" t="s">
        <v>227</v>
      </c>
      <c r="K171">
        <v>4</v>
      </c>
      <c r="L171">
        <v>23.2</v>
      </c>
      <c r="M171">
        <v>295</v>
      </c>
      <c r="N171" t="s">
        <v>1209</v>
      </c>
      <c r="O171">
        <v>516</v>
      </c>
    </row>
    <row r="172" spans="1:16" x14ac:dyDescent="0.35">
      <c r="A172">
        <v>2017</v>
      </c>
      <c r="B172">
        <v>8</v>
      </c>
      <c r="C172">
        <v>14</v>
      </c>
      <c r="D172">
        <v>135</v>
      </c>
      <c r="E172">
        <v>3</v>
      </c>
      <c r="F172" t="s">
        <v>45</v>
      </c>
      <c r="G172" t="s">
        <v>1208</v>
      </c>
      <c r="H172">
        <v>6</v>
      </c>
      <c r="J172" t="s">
        <v>317</v>
      </c>
      <c r="K172" t="s">
        <v>317</v>
      </c>
      <c r="L172">
        <v>14.4</v>
      </c>
      <c r="M172">
        <v>296</v>
      </c>
      <c r="N172" t="s">
        <v>1210</v>
      </c>
      <c r="O172">
        <v>135</v>
      </c>
    </row>
    <row r="173" spans="1:16" x14ac:dyDescent="0.35">
      <c r="A173">
        <v>2017</v>
      </c>
      <c r="B173">
        <v>11</v>
      </c>
      <c r="C173">
        <v>9</v>
      </c>
      <c r="D173">
        <v>72</v>
      </c>
      <c r="E173">
        <v>4</v>
      </c>
      <c r="F173" t="s">
        <v>45</v>
      </c>
      <c r="G173" t="s">
        <v>1208</v>
      </c>
      <c r="H173">
        <v>6</v>
      </c>
      <c r="J173" t="s">
        <v>317</v>
      </c>
      <c r="K173" t="s">
        <v>317</v>
      </c>
      <c r="L173">
        <v>2</v>
      </c>
      <c r="M173">
        <v>297</v>
      </c>
      <c r="N173" t="s">
        <v>1210</v>
      </c>
      <c r="O173">
        <v>72</v>
      </c>
    </row>
    <row r="174" spans="1:16" x14ac:dyDescent="0.35">
      <c r="A174">
        <v>2019</v>
      </c>
      <c r="B174">
        <v>11</v>
      </c>
      <c r="C174">
        <v>27</v>
      </c>
      <c r="D174">
        <v>52</v>
      </c>
      <c r="E174">
        <v>4</v>
      </c>
      <c r="F174" t="s">
        <v>45</v>
      </c>
      <c r="G174" t="s">
        <v>1215</v>
      </c>
      <c r="H174">
        <v>10</v>
      </c>
      <c r="J174" t="s">
        <v>488</v>
      </c>
      <c r="K174" t="s">
        <v>488</v>
      </c>
      <c r="L174">
        <v>18.600000000000001</v>
      </c>
      <c r="M174">
        <v>298</v>
      </c>
      <c r="N174" t="s">
        <v>1210</v>
      </c>
      <c r="O174">
        <v>52</v>
      </c>
    </row>
    <row r="175" spans="1:16" x14ac:dyDescent="0.35">
      <c r="A175">
        <v>2016</v>
      </c>
      <c r="B175">
        <v>11</v>
      </c>
      <c r="C175">
        <v>8</v>
      </c>
      <c r="D175">
        <v>181</v>
      </c>
      <c r="E175">
        <v>4</v>
      </c>
      <c r="F175" t="s">
        <v>45</v>
      </c>
      <c r="G175" t="s">
        <v>1208</v>
      </c>
      <c r="H175">
        <v>5</v>
      </c>
      <c r="J175" t="s">
        <v>632</v>
      </c>
      <c r="K175" t="s">
        <v>317</v>
      </c>
      <c r="L175">
        <v>18.5</v>
      </c>
      <c r="M175">
        <v>299</v>
      </c>
      <c r="N175" t="s">
        <v>1210</v>
      </c>
      <c r="O175">
        <v>181</v>
      </c>
    </row>
    <row r="176" spans="1:16" x14ac:dyDescent="0.35">
      <c r="A176">
        <v>2023</v>
      </c>
      <c r="B176">
        <v>7</v>
      </c>
      <c r="C176">
        <v>17</v>
      </c>
      <c r="D176">
        <v>393</v>
      </c>
      <c r="E176">
        <v>3</v>
      </c>
      <c r="F176" t="s">
        <v>45</v>
      </c>
      <c r="G176" t="s">
        <v>1208</v>
      </c>
      <c r="H176">
        <v>12</v>
      </c>
      <c r="J176" t="s">
        <v>632</v>
      </c>
      <c r="K176" t="s">
        <v>317</v>
      </c>
      <c r="L176">
        <v>2.1</v>
      </c>
      <c r="M176">
        <v>300</v>
      </c>
      <c r="N176" t="s">
        <v>1210</v>
      </c>
      <c r="O176">
        <v>393</v>
      </c>
      <c r="P176">
        <v>6.07</v>
      </c>
    </row>
    <row r="177" spans="1:15" x14ac:dyDescent="0.35">
      <c r="A177">
        <v>2023</v>
      </c>
      <c r="B177">
        <v>7</v>
      </c>
      <c r="C177">
        <v>19</v>
      </c>
      <c r="D177">
        <v>350</v>
      </c>
      <c r="E177">
        <v>3</v>
      </c>
      <c r="F177" t="s">
        <v>41</v>
      </c>
      <c r="G177" t="s">
        <v>1207</v>
      </c>
      <c r="H177">
        <v>10</v>
      </c>
      <c r="J177" t="s">
        <v>583</v>
      </c>
      <c r="K177" t="s">
        <v>318</v>
      </c>
      <c r="L177">
        <v>19.600000000000001</v>
      </c>
      <c r="M177">
        <v>300</v>
      </c>
      <c r="N177" t="s">
        <v>1208</v>
      </c>
      <c r="O177">
        <v>350</v>
      </c>
    </row>
    <row r="178" spans="1:15" x14ac:dyDescent="0.35">
      <c r="A178">
        <v>2024</v>
      </c>
      <c r="B178">
        <v>1</v>
      </c>
      <c r="C178">
        <v>23</v>
      </c>
      <c r="D178">
        <v>680</v>
      </c>
      <c r="E178">
        <v>1</v>
      </c>
      <c r="F178" t="s">
        <v>20</v>
      </c>
      <c r="G178" t="s">
        <v>1213</v>
      </c>
      <c r="H178">
        <v>4</v>
      </c>
      <c r="J178" t="s">
        <v>783</v>
      </c>
      <c r="K178">
        <v>7</v>
      </c>
      <c r="L178">
        <v>31.3</v>
      </c>
      <c r="M178">
        <v>300</v>
      </c>
      <c r="N178" t="s">
        <v>1214</v>
      </c>
      <c r="O178">
        <v>680</v>
      </c>
    </row>
    <row r="179" spans="1:15" x14ac:dyDescent="0.35">
      <c r="A179">
        <v>2016</v>
      </c>
      <c r="B179">
        <v>11</v>
      </c>
      <c r="C179">
        <v>16</v>
      </c>
      <c r="D179">
        <v>212</v>
      </c>
      <c r="E179">
        <v>4</v>
      </c>
      <c r="F179" t="s">
        <v>41</v>
      </c>
      <c r="G179" t="s">
        <v>1207</v>
      </c>
      <c r="H179">
        <v>3</v>
      </c>
      <c r="J179" t="s">
        <v>669</v>
      </c>
      <c r="K179" t="s">
        <v>458</v>
      </c>
      <c r="L179">
        <v>2.5</v>
      </c>
      <c r="M179">
        <v>301</v>
      </c>
      <c r="N179" t="s">
        <v>1208</v>
      </c>
      <c r="O179">
        <v>212</v>
      </c>
    </row>
    <row r="180" spans="1:15" x14ac:dyDescent="0.35">
      <c r="A180">
        <v>2023</v>
      </c>
      <c r="B180">
        <v>7</v>
      </c>
      <c r="C180">
        <v>17</v>
      </c>
      <c r="D180">
        <v>385</v>
      </c>
      <c r="E180">
        <v>3</v>
      </c>
      <c r="F180" t="s">
        <v>45</v>
      </c>
      <c r="G180" t="s">
        <v>1208</v>
      </c>
      <c r="H180">
        <v>12</v>
      </c>
      <c r="J180" t="s">
        <v>46</v>
      </c>
      <c r="K180" t="s">
        <v>317</v>
      </c>
      <c r="L180">
        <v>18.100000000000001</v>
      </c>
      <c r="M180">
        <v>301</v>
      </c>
      <c r="N180" t="s">
        <v>1210</v>
      </c>
      <c r="O180">
        <v>385</v>
      </c>
    </row>
    <row r="181" spans="1:15" x14ac:dyDescent="0.35">
      <c r="A181">
        <v>2016</v>
      </c>
      <c r="B181">
        <v>9</v>
      </c>
      <c r="C181">
        <v>1</v>
      </c>
      <c r="D181">
        <v>267</v>
      </c>
      <c r="E181">
        <v>3</v>
      </c>
      <c r="F181" t="s">
        <v>45</v>
      </c>
      <c r="G181" t="s">
        <v>1208</v>
      </c>
      <c r="H181">
        <v>5</v>
      </c>
      <c r="J181" t="s">
        <v>718</v>
      </c>
      <c r="K181" t="s">
        <v>317</v>
      </c>
      <c r="L181">
        <v>20.399999999999999</v>
      </c>
      <c r="M181">
        <v>302</v>
      </c>
      <c r="N181" t="s">
        <v>1210</v>
      </c>
      <c r="O181">
        <v>267</v>
      </c>
    </row>
    <row r="182" spans="1:15" x14ac:dyDescent="0.35">
      <c r="A182">
        <v>2016</v>
      </c>
      <c r="B182">
        <v>9</v>
      </c>
      <c r="C182">
        <v>1</v>
      </c>
      <c r="D182">
        <v>267</v>
      </c>
      <c r="E182">
        <v>3</v>
      </c>
      <c r="F182" t="s">
        <v>45</v>
      </c>
      <c r="G182" t="s">
        <v>1208</v>
      </c>
      <c r="H182">
        <v>5</v>
      </c>
      <c r="J182" t="s">
        <v>718</v>
      </c>
      <c r="K182" t="s">
        <v>317</v>
      </c>
      <c r="L182">
        <v>20.399999999999999</v>
      </c>
      <c r="M182">
        <v>302</v>
      </c>
      <c r="N182" t="s">
        <v>1210</v>
      </c>
      <c r="O182">
        <v>267</v>
      </c>
    </row>
    <row r="183" spans="1:15" x14ac:dyDescent="0.35">
      <c r="A183">
        <v>2017</v>
      </c>
      <c r="B183">
        <v>11</v>
      </c>
      <c r="C183">
        <v>9</v>
      </c>
      <c r="D183">
        <v>81</v>
      </c>
      <c r="E183">
        <v>4</v>
      </c>
      <c r="F183" t="s">
        <v>45</v>
      </c>
      <c r="G183" t="s">
        <v>1208</v>
      </c>
      <c r="H183">
        <v>6</v>
      </c>
      <c r="J183" t="s">
        <v>317</v>
      </c>
      <c r="K183" t="s">
        <v>317</v>
      </c>
      <c r="L183">
        <v>19.7</v>
      </c>
      <c r="M183">
        <v>304</v>
      </c>
      <c r="N183" t="s">
        <v>1210</v>
      </c>
      <c r="O183">
        <v>81</v>
      </c>
    </row>
    <row r="184" spans="1:15" x14ac:dyDescent="0.35">
      <c r="A184">
        <v>2024</v>
      </c>
      <c r="B184">
        <v>2</v>
      </c>
      <c r="C184">
        <v>23</v>
      </c>
      <c r="D184">
        <v>636</v>
      </c>
      <c r="E184">
        <v>1</v>
      </c>
      <c r="F184" t="s">
        <v>225</v>
      </c>
      <c r="G184" t="s">
        <v>1216</v>
      </c>
      <c r="H184">
        <v>2</v>
      </c>
      <c r="J184" t="s">
        <v>21</v>
      </c>
      <c r="K184">
        <v>2</v>
      </c>
      <c r="L184">
        <v>25.8</v>
      </c>
      <c r="M184">
        <v>304</v>
      </c>
      <c r="N184" t="s">
        <v>1209</v>
      </c>
      <c r="O184">
        <v>636</v>
      </c>
    </row>
    <row r="185" spans="1:15" x14ac:dyDescent="0.35">
      <c r="A185">
        <v>2017</v>
      </c>
      <c r="B185">
        <v>11</v>
      </c>
      <c r="C185">
        <v>9</v>
      </c>
      <c r="D185">
        <v>83</v>
      </c>
      <c r="E185">
        <v>4</v>
      </c>
      <c r="F185" t="s">
        <v>45</v>
      </c>
      <c r="G185" t="s">
        <v>1208</v>
      </c>
      <c r="H185">
        <v>6</v>
      </c>
      <c r="J185" t="s">
        <v>317</v>
      </c>
      <c r="K185" t="s">
        <v>317</v>
      </c>
      <c r="L185">
        <v>19.3</v>
      </c>
      <c r="M185">
        <v>305</v>
      </c>
      <c r="N185" t="s">
        <v>1210</v>
      </c>
      <c r="O185">
        <v>83</v>
      </c>
    </row>
    <row r="186" spans="1:15" x14ac:dyDescent="0.35">
      <c r="A186">
        <v>2016</v>
      </c>
      <c r="B186">
        <v>8</v>
      </c>
      <c r="C186">
        <v>30</v>
      </c>
      <c r="D186">
        <v>213</v>
      </c>
      <c r="E186">
        <v>3</v>
      </c>
      <c r="F186" t="s">
        <v>45</v>
      </c>
      <c r="G186" t="s">
        <v>1215</v>
      </c>
      <c r="H186">
        <v>7</v>
      </c>
      <c r="J186" t="s">
        <v>671</v>
      </c>
      <c r="K186" t="s">
        <v>512</v>
      </c>
      <c r="L186">
        <v>23.9</v>
      </c>
      <c r="M186">
        <v>305</v>
      </c>
      <c r="N186" t="s">
        <v>1210</v>
      </c>
      <c r="O186">
        <v>213</v>
      </c>
    </row>
    <row r="187" spans="1:15" x14ac:dyDescent="0.35">
      <c r="A187">
        <v>2023</v>
      </c>
      <c r="B187">
        <v>10</v>
      </c>
      <c r="C187">
        <v>30</v>
      </c>
      <c r="D187">
        <v>523</v>
      </c>
      <c r="E187">
        <v>4</v>
      </c>
      <c r="F187" t="s">
        <v>225</v>
      </c>
      <c r="G187" t="s">
        <v>1209</v>
      </c>
      <c r="H187">
        <v>2</v>
      </c>
      <c r="J187" t="s">
        <v>237</v>
      </c>
      <c r="K187">
        <v>3</v>
      </c>
      <c r="L187">
        <v>24.7</v>
      </c>
      <c r="M187">
        <v>305</v>
      </c>
      <c r="N187" t="s">
        <v>1209</v>
      </c>
      <c r="O187">
        <v>523</v>
      </c>
    </row>
    <row r="188" spans="1:15" x14ac:dyDescent="0.35">
      <c r="A188">
        <v>2024</v>
      </c>
      <c r="B188">
        <v>1</v>
      </c>
      <c r="C188">
        <v>18</v>
      </c>
      <c r="D188">
        <v>556</v>
      </c>
      <c r="E188">
        <v>1</v>
      </c>
      <c r="F188" t="s">
        <v>41</v>
      </c>
      <c r="G188" t="s">
        <v>1207</v>
      </c>
      <c r="H188">
        <v>11</v>
      </c>
      <c r="J188" t="s">
        <v>583</v>
      </c>
      <c r="K188" t="s">
        <v>318</v>
      </c>
      <c r="L188">
        <v>22.2</v>
      </c>
      <c r="M188">
        <v>305</v>
      </c>
      <c r="N188" t="s">
        <v>1208</v>
      </c>
      <c r="O188">
        <v>556</v>
      </c>
    </row>
    <row r="189" spans="1:15" x14ac:dyDescent="0.35">
      <c r="A189">
        <v>2022</v>
      </c>
      <c r="B189">
        <v>11</v>
      </c>
      <c r="C189">
        <v>4</v>
      </c>
      <c r="D189">
        <v>104</v>
      </c>
      <c r="E189">
        <v>4</v>
      </c>
      <c r="F189" t="s">
        <v>45</v>
      </c>
      <c r="G189" t="s">
        <v>1208</v>
      </c>
      <c r="H189">
        <v>11</v>
      </c>
      <c r="J189" t="s">
        <v>317</v>
      </c>
      <c r="K189" t="s">
        <v>317</v>
      </c>
      <c r="L189">
        <v>22.5</v>
      </c>
      <c r="M189">
        <v>307</v>
      </c>
      <c r="N189" t="s">
        <v>1210</v>
      </c>
      <c r="O189">
        <v>104</v>
      </c>
    </row>
    <row r="190" spans="1:15" x14ac:dyDescent="0.35">
      <c r="A190">
        <v>2022</v>
      </c>
      <c r="B190">
        <v>11</v>
      </c>
      <c r="C190">
        <v>1</v>
      </c>
      <c r="D190">
        <v>366</v>
      </c>
      <c r="E190">
        <v>4</v>
      </c>
      <c r="F190" t="s">
        <v>41</v>
      </c>
      <c r="G190" t="s">
        <v>1207</v>
      </c>
      <c r="H190">
        <v>9</v>
      </c>
      <c r="J190" t="s">
        <v>583</v>
      </c>
      <c r="K190" t="s">
        <v>318</v>
      </c>
      <c r="L190">
        <v>16.600000000000001</v>
      </c>
      <c r="M190">
        <v>308</v>
      </c>
      <c r="N190" t="s">
        <v>1208</v>
      </c>
      <c r="O190">
        <v>366</v>
      </c>
    </row>
    <row r="191" spans="1:15" x14ac:dyDescent="0.35">
      <c r="A191">
        <v>2021</v>
      </c>
      <c r="B191">
        <v>10</v>
      </c>
      <c r="C191" t="s">
        <v>28</v>
      </c>
      <c r="D191">
        <v>32</v>
      </c>
      <c r="E191">
        <v>4</v>
      </c>
      <c r="F191" t="s">
        <v>41</v>
      </c>
      <c r="G191" t="s">
        <v>1207</v>
      </c>
      <c r="H191">
        <v>8</v>
      </c>
      <c r="J191" t="s">
        <v>318</v>
      </c>
      <c r="K191" t="s">
        <v>318</v>
      </c>
      <c r="L191">
        <v>24.7</v>
      </c>
      <c r="M191">
        <v>309</v>
      </c>
      <c r="N191" t="s">
        <v>1208</v>
      </c>
      <c r="O191">
        <v>32</v>
      </c>
    </row>
    <row r="192" spans="1:15" x14ac:dyDescent="0.35">
      <c r="A192" t="s">
        <v>28</v>
      </c>
      <c r="B192" t="s">
        <v>28</v>
      </c>
      <c r="C192" t="s">
        <v>28</v>
      </c>
      <c r="D192">
        <v>404</v>
      </c>
      <c r="E192" t="s">
        <v>28</v>
      </c>
      <c r="F192" t="s">
        <v>28</v>
      </c>
      <c r="G192" t="b">
        <v>0</v>
      </c>
      <c r="H192" t="e">
        <v>#VALUE!</v>
      </c>
      <c r="J192" t="s">
        <v>28</v>
      </c>
      <c r="K192" t="s">
        <v>28</v>
      </c>
      <c r="L192">
        <v>17.399999999999999</v>
      </c>
      <c r="M192">
        <v>309</v>
      </c>
      <c r="N192" t="b">
        <v>0</v>
      </c>
      <c r="O192">
        <v>404</v>
      </c>
    </row>
    <row r="193" spans="1:16" x14ac:dyDescent="0.35">
      <c r="A193">
        <v>2024</v>
      </c>
      <c r="B193">
        <v>1</v>
      </c>
      <c r="C193">
        <v>17</v>
      </c>
      <c r="D193">
        <v>554</v>
      </c>
      <c r="E193">
        <v>1</v>
      </c>
      <c r="F193" t="s">
        <v>41</v>
      </c>
      <c r="G193" t="s">
        <v>1207</v>
      </c>
      <c r="H193">
        <v>11</v>
      </c>
      <c r="J193" t="s">
        <v>49</v>
      </c>
      <c r="K193" t="s">
        <v>318</v>
      </c>
      <c r="L193">
        <v>22.6</v>
      </c>
      <c r="M193">
        <v>309</v>
      </c>
      <c r="N193" t="s">
        <v>1208</v>
      </c>
      <c r="O193">
        <v>554</v>
      </c>
    </row>
    <row r="194" spans="1:16" x14ac:dyDescent="0.35">
      <c r="A194">
        <v>2023</v>
      </c>
      <c r="B194">
        <v>7</v>
      </c>
      <c r="C194">
        <v>21</v>
      </c>
      <c r="D194">
        <v>426</v>
      </c>
      <c r="E194">
        <v>3</v>
      </c>
      <c r="F194" t="s">
        <v>20</v>
      </c>
      <c r="G194" t="s">
        <v>1213</v>
      </c>
      <c r="H194">
        <v>3</v>
      </c>
      <c r="J194" t="s">
        <v>231</v>
      </c>
      <c r="K194">
        <v>8</v>
      </c>
      <c r="L194">
        <v>2.7</v>
      </c>
      <c r="M194">
        <v>310</v>
      </c>
      <c r="N194" t="s">
        <v>1214</v>
      </c>
      <c r="O194">
        <v>426</v>
      </c>
      <c r="P194">
        <v>5.92</v>
      </c>
    </row>
    <row r="195" spans="1:16" x14ac:dyDescent="0.35">
      <c r="A195">
        <v>2017</v>
      </c>
      <c r="B195">
        <v>8</v>
      </c>
      <c r="C195">
        <v>8</v>
      </c>
      <c r="D195">
        <v>125</v>
      </c>
      <c r="E195">
        <v>3</v>
      </c>
      <c r="F195" t="s">
        <v>45</v>
      </c>
      <c r="G195" t="s">
        <v>1215</v>
      </c>
      <c r="H195">
        <v>8</v>
      </c>
      <c r="J195" t="s">
        <v>512</v>
      </c>
      <c r="K195" t="s">
        <v>512</v>
      </c>
      <c r="L195">
        <v>21.2</v>
      </c>
      <c r="M195">
        <v>310</v>
      </c>
      <c r="N195" t="s">
        <v>1210</v>
      </c>
      <c r="O195">
        <v>125</v>
      </c>
    </row>
    <row r="196" spans="1:16" x14ac:dyDescent="0.35">
      <c r="A196">
        <v>2016</v>
      </c>
      <c r="B196">
        <v>11</v>
      </c>
      <c r="C196">
        <v>7</v>
      </c>
      <c r="D196">
        <v>192</v>
      </c>
      <c r="E196">
        <v>4</v>
      </c>
      <c r="F196" t="s">
        <v>45</v>
      </c>
      <c r="G196" t="s">
        <v>1208</v>
      </c>
      <c r="H196">
        <v>5</v>
      </c>
      <c r="J196" t="s">
        <v>644</v>
      </c>
      <c r="K196" t="s">
        <v>317</v>
      </c>
      <c r="L196">
        <v>22.3</v>
      </c>
      <c r="M196">
        <v>310</v>
      </c>
      <c r="N196" t="s">
        <v>1210</v>
      </c>
      <c r="O196">
        <v>192</v>
      </c>
    </row>
    <row r="197" spans="1:16" x14ac:dyDescent="0.35">
      <c r="A197">
        <v>2023</v>
      </c>
      <c r="B197">
        <v>7</v>
      </c>
      <c r="C197">
        <v>17</v>
      </c>
      <c r="D197">
        <v>391</v>
      </c>
      <c r="E197">
        <v>3</v>
      </c>
      <c r="F197" t="s">
        <v>45</v>
      </c>
      <c r="G197" t="s">
        <v>1208</v>
      </c>
      <c r="H197">
        <v>12</v>
      </c>
      <c r="J197" t="s">
        <v>632</v>
      </c>
      <c r="K197" t="s">
        <v>317</v>
      </c>
      <c r="L197">
        <v>20.100000000000001</v>
      </c>
      <c r="M197">
        <v>310</v>
      </c>
      <c r="N197" t="s">
        <v>1210</v>
      </c>
      <c r="O197">
        <v>391</v>
      </c>
    </row>
    <row r="198" spans="1:16" x14ac:dyDescent="0.35">
      <c r="A198">
        <v>2024</v>
      </c>
      <c r="B198">
        <v>1</v>
      </c>
      <c r="C198">
        <v>16</v>
      </c>
      <c r="D198">
        <v>590</v>
      </c>
      <c r="E198">
        <v>1</v>
      </c>
      <c r="F198" t="s">
        <v>45</v>
      </c>
      <c r="G198" t="s">
        <v>1208</v>
      </c>
      <c r="H198">
        <v>13</v>
      </c>
      <c r="J198" t="s">
        <v>236</v>
      </c>
      <c r="K198" t="s">
        <v>317</v>
      </c>
      <c r="L198">
        <v>28.6</v>
      </c>
      <c r="M198">
        <v>310</v>
      </c>
      <c r="N198" t="s">
        <v>1210</v>
      </c>
      <c r="O198">
        <v>590</v>
      </c>
    </row>
    <row r="199" spans="1:16" x14ac:dyDescent="0.35">
      <c r="A199">
        <v>2021</v>
      </c>
      <c r="B199">
        <v>10</v>
      </c>
      <c r="C199" t="s">
        <v>28</v>
      </c>
      <c r="D199">
        <v>15</v>
      </c>
      <c r="E199">
        <v>4</v>
      </c>
      <c r="F199" t="s">
        <v>41</v>
      </c>
      <c r="G199" t="s">
        <v>1207</v>
      </c>
      <c r="H199">
        <v>8</v>
      </c>
      <c r="J199" t="s">
        <v>458</v>
      </c>
      <c r="K199" t="s">
        <v>458</v>
      </c>
      <c r="L199">
        <v>26.4</v>
      </c>
      <c r="M199">
        <v>313</v>
      </c>
      <c r="N199" t="s">
        <v>1208</v>
      </c>
      <c r="O199">
        <v>15</v>
      </c>
    </row>
    <row r="200" spans="1:16" x14ac:dyDescent="0.35">
      <c r="A200">
        <v>2017</v>
      </c>
      <c r="B200">
        <v>8</v>
      </c>
      <c r="C200">
        <v>8</v>
      </c>
      <c r="D200">
        <v>73</v>
      </c>
      <c r="E200">
        <v>3</v>
      </c>
      <c r="F200" t="s">
        <v>45</v>
      </c>
      <c r="G200" t="s">
        <v>1215</v>
      </c>
      <c r="H200">
        <v>8</v>
      </c>
      <c r="J200" t="s">
        <v>512</v>
      </c>
      <c r="K200" t="s">
        <v>512</v>
      </c>
      <c r="L200">
        <v>21.8</v>
      </c>
      <c r="M200">
        <v>313</v>
      </c>
      <c r="N200" t="s">
        <v>1210</v>
      </c>
      <c r="O200">
        <v>73</v>
      </c>
    </row>
    <row r="201" spans="1:16" x14ac:dyDescent="0.35">
      <c r="A201">
        <v>2019</v>
      </c>
      <c r="B201">
        <v>2</v>
      </c>
      <c r="C201">
        <v>18</v>
      </c>
      <c r="D201">
        <v>161</v>
      </c>
      <c r="E201">
        <v>1</v>
      </c>
      <c r="F201" t="s">
        <v>41</v>
      </c>
      <c r="G201" t="s">
        <v>1207</v>
      </c>
      <c r="H201">
        <v>6</v>
      </c>
      <c r="J201" t="s">
        <v>608</v>
      </c>
      <c r="K201" t="s">
        <v>318</v>
      </c>
      <c r="L201">
        <v>28.2</v>
      </c>
      <c r="M201">
        <v>313</v>
      </c>
      <c r="N201" t="s">
        <v>1208</v>
      </c>
      <c r="O201">
        <v>161</v>
      </c>
    </row>
    <row r="202" spans="1:16" x14ac:dyDescent="0.35">
      <c r="A202">
        <v>2023</v>
      </c>
      <c r="B202">
        <v>8</v>
      </c>
      <c r="C202">
        <v>2</v>
      </c>
      <c r="D202">
        <v>433</v>
      </c>
      <c r="E202">
        <v>3</v>
      </c>
      <c r="F202" t="s">
        <v>225</v>
      </c>
      <c r="G202" t="s">
        <v>1216</v>
      </c>
      <c r="H202">
        <v>1</v>
      </c>
      <c r="J202" t="s">
        <v>67</v>
      </c>
      <c r="K202">
        <v>2</v>
      </c>
      <c r="L202">
        <v>25.8</v>
      </c>
      <c r="M202">
        <v>313</v>
      </c>
      <c r="N202" t="s">
        <v>1209</v>
      </c>
      <c r="O202">
        <v>433</v>
      </c>
    </row>
    <row r="203" spans="1:16" x14ac:dyDescent="0.35">
      <c r="A203">
        <v>2024</v>
      </c>
      <c r="B203">
        <v>3</v>
      </c>
      <c r="C203">
        <v>13</v>
      </c>
      <c r="D203">
        <v>675</v>
      </c>
      <c r="E203">
        <v>2</v>
      </c>
      <c r="F203" t="s">
        <v>226</v>
      </c>
      <c r="G203" t="s">
        <v>1211</v>
      </c>
      <c r="H203">
        <v>7</v>
      </c>
      <c r="J203" t="s">
        <v>783</v>
      </c>
      <c r="K203">
        <v>7</v>
      </c>
      <c r="L203">
        <v>26.6</v>
      </c>
      <c r="M203">
        <v>313</v>
      </c>
      <c r="N203" t="s">
        <v>1211</v>
      </c>
      <c r="O203">
        <v>675</v>
      </c>
    </row>
    <row r="204" spans="1:16" x14ac:dyDescent="0.35">
      <c r="A204">
        <v>2024</v>
      </c>
      <c r="B204">
        <v>8</v>
      </c>
      <c r="C204">
        <v>9</v>
      </c>
      <c r="D204">
        <v>855</v>
      </c>
      <c r="E204">
        <v>3</v>
      </c>
      <c r="F204" t="s">
        <v>41</v>
      </c>
      <c r="G204" t="s">
        <v>1207</v>
      </c>
      <c r="H204">
        <v>11</v>
      </c>
      <c r="J204" t="s">
        <v>42</v>
      </c>
      <c r="K204" t="s">
        <v>318</v>
      </c>
      <c r="L204">
        <v>25.9</v>
      </c>
      <c r="M204">
        <v>313</v>
      </c>
      <c r="N204" t="s">
        <v>1208</v>
      </c>
      <c r="O204">
        <v>855</v>
      </c>
    </row>
    <row r="205" spans="1:16" x14ac:dyDescent="0.35">
      <c r="A205">
        <v>2017</v>
      </c>
      <c r="B205">
        <v>11</v>
      </c>
      <c r="C205">
        <v>8</v>
      </c>
      <c r="D205">
        <v>67</v>
      </c>
      <c r="E205">
        <v>4</v>
      </c>
      <c r="F205" t="s">
        <v>45</v>
      </c>
      <c r="G205" t="s">
        <v>1215</v>
      </c>
      <c r="H205">
        <v>8</v>
      </c>
      <c r="J205" t="s">
        <v>512</v>
      </c>
      <c r="K205" t="s">
        <v>512</v>
      </c>
      <c r="L205">
        <v>2.2000000000000002</v>
      </c>
      <c r="M205">
        <v>314</v>
      </c>
      <c r="N205" t="s">
        <v>1210</v>
      </c>
      <c r="O205">
        <v>67</v>
      </c>
    </row>
    <row r="206" spans="1:16" x14ac:dyDescent="0.35">
      <c r="A206">
        <v>2023</v>
      </c>
      <c r="B206">
        <v>1</v>
      </c>
      <c r="C206">
        <v>30</v>
      </c>
      <c r="D206">
        <v>101</v>
      </c>
      <c r="E206">
        <v>1</v>
      </c>
      <c r="F206" t="s">
        <v>225</v>
      </c>
      <c r="G206" t="s">
        <v>1209</v>
      </c>
      <c r="H206">
        <v>2</v>
      </c>
      <c r="J206">
        <v>1</v>
      </c>
      <c r="K206">
        <v>1</v>
      </c>
      <c r="L206">
        <v>43.4</v>
      </c>
      <c r="M206">
        <v>315</v>
      </c>
      <c r="N206" t="s">
        <v>1209</v>
      </c>
      <c r="O206">
        <v>101</v>
      </c>
    </row>
    <row r="207" spans="1:16" x14ac:dyDescent="0.35">
      <c r="A207">
        <v>2023</v>
      </c>
      <c r="B207">
        <v>11</v>
      </c>
      <c r="C207">
        <v>8</v>
      </c>
      <c r="D207">
        <v>526</v>
      </c>
      <c r="E207">
        <v>4</v>
      </c>
      <c r="F207" t="s">
        <v>20</v>
      </c>
      <c r="G207" t="s">
        <v>1213</v>
      </c>
      <c r="H207">
        <v>3</v>
      </c>
      <c r="J207" t="s">
        <v>55</v>
      </c>
      <c r="K207">
        <v>8</v>
      </c>
      <c r="L207">
        <v>26.9</v>
      </c>
      <c r="M207">
        <v>315</v>
      </c>
      <c r="N207" t="s">
        <v>1214</v>
      </c>
      <c r="O207">
        <v>526</v>
      </c>
    </row>
    <row r="208" spans="1:16" x14ac:dyDescent="0.35">
      <c r="A208">
        <v>2024</v>
      </c>
      <c r="B208">
        <v>8</v>
      </c>
      <c r="C208">
        <v>15</v>
      </c>
      <c r="D208">
        <v>774</v>
      </c>
      <c r="E208">
        <v>3</v>
      </c>
      <c r="F208" t="s">
        <v>225</v>
      </c>
      <c r="G208" t="s">
        <v>1209</v>
      </c>
      <c r="H208">
        <v>3</v>
      </c>
      <c r="J208">
        <v>3</v>
      </c>
      <c r="K208">
        <v>3</v>
      </c>
      <c r="L208">
        <v>57.1</v>
      </c>
      <c r="M208">
        <v>315</v>
      </c>
      <c r="N208" t="s">
        <v>1209</v>
      </c>
      <c r="O208">
        <v>774</v>
      </c>
    </row>
    <row r="209" spans="1:16" x14ac:dyDescent="0.35">
      <c r="A209">
        <v>2017</v>
      </c>
      <c r="B209">
        <v>8</v>
      </c>
      <c r="C209">
        <v>8</v>
      </c>
      <c r="D209">
        <v>75</v>
      </c>
      <c r="E209">
        <v>3</v>
      </c>
      <c r="F209" t="s">
        <v>45</v>
      </c>
      <c r="G209" t="s">
        <v>1215</v>
      </c>
      <c r="H209">
        <v>8</v>
      </c>
      <c r="J209" t="s">
        <v>512</v>
      </c>
      <c r="K209" t="s">
        <v>512</v>
      </c>
      <c r="L209">
        <v>21.6</v>
      </c>
      <c r="M209">
        <v>316</v>
      </c>
      <c r="N209" t="s">
        <v>1210</v>
      </c>
      <c r="O209">
        <v>75</v>
      </c>
    </row>
    <row r="210" spans="1:16" x14ac:dyDescent="0.35">
      <c r="A210">
        <v>2024</v>
      </c>
      <c r="B210">
        <v>8</v>
      </c>
      <c r="C210">
        <v>14</v>
      </c>
      <c r="D210">
        <v>722</v>
      </c>
      <c r="E210">
        <v>3</v>
      </c>
      <c r="F210" t="s">
        <v>225</v>
      </c>
      <c r="G210" t="s">
        <v>1209</v>
      </c>
      <c r="H210">
        <v>3</v>
      </c>
      <c r="J210" t="s">
        <v>1139</v>
      </c>
      <c r="K210">
        <v>4</v>
      </c>
      <c r="L210">
        <v>38.799999999999997</v>
      </c>
      <c r="M210">
        <v>316</v>
      </c>
      <c r="N210" t="s">
        <v>1209</v>
      </c>
      <c r="O210">
        <v>722</v>
      </c>
    </row>
    <row r="211" spans="1:16" x14ac:dyDescent="0.35">
      <c r="A211">
        <v>2023</v>
      </c>
      <c r="B211">
        <v>7</v>
      </c>
      <c r="C211">
        <v>19</v>
      </c>
      <c r="D211">
        <v>376</v>
      </c>
      <c r="E211">
        <v>3</v>
      </c>
      <c r="F211" t="s">
        <v>41</v>
      </c>
      <c r="G211" t="s">
        <v>1212</v>
      </c>
      <c r="H211">
        <v>11</v>
      </c>
      <c r="J211" t="s">
        <v>544</v>
      </c>
      <c r="K211" t="s">
        <v>461</v>
      </c>
      <c r="L211">
        <v>24.8</v>
      </c>
      <c r="M211">
        <v>317</v>
      </c>
      <c r="N211" t="s">
        <v>1208</v>
      </c>
      <c r="O211">
        <v>376</v>
      </c>
      <c r="P211">
        <v>7.24</v>
      </c>
    </row>
    <row r="212" spans="1:16" x14ac:dyDescent="0.35">
      <c r="A212">
        <v>2017</v>
      </c>
      <c r="B212">
        <v>11</v>
      </c>
      <c r="C212">
        <v>13</v>
      </c>
      <c r="D212">
        <v>66</v>
      </c>
      <c r="E212">
        <v>4</v>
      </c>
      <c r="F212" t="s">
        <v>41</v>
      </c>
      <c r="G212" t="s">
        <v>1207</v>
      </c>
      <c r="H212">
        <v>4</v>
      </c>
      <c r="J212" t="s">
        <v>42</v>
      </c>
      <c r="K212" t="s">
        <v>318</v>
      </c>
      <c r="L212">
        <v>26.2</v>
      </c>
      <c r="M212">
        <v>317</v>
      </c>
      <c r="N212" t="s">
        <v>1208</v>
      </c>
      <c r="O212">
        <v>66</v>
      </c>
    </row>
    <row r="213" spans="1:16" x14ac:dyDescent="0.35">
      <c r="A213">
        <v>2022</v>
      </c>
      <c r="B213">
        <v>11</v>
      </c>
      <c r="C213">
        <v>14</v>
      </c>
      <c r="D213">
        <v>119</v>
      </c>
      <c r="E213">
        <v>4</v>
      </c>
      <c r="F213" t="s">
        <v>20</v>
      </c>
      <c r="G213" t="s">
        <v>1213</v>
      </c>
      <c r="H213">
        <v>2</v>
      </c>
      <c r="J213">
        <v>8</v>
      </c>
      <c r="K213">
        <v>8</v>
      </c>
      <c r="L213">
        <v>26.3</v>
      </c>
      <c r="M213">
        <v>317</v>
      </c>
      <c r="N213" t="s">
        <v>1214</v>
      </c>
      <c r="O213">
        <v>119</v>
      </c>
    </row>
    <row r="214" spans="1:16" x14ac:dyDescent="0.35">
      <c r="A214">
        <v>2018</v>
      </c>
      <c r="B214">
        <v>8</v>
      </c>
      <c r="C214">
        <v>16</v>
      </c>
      <c r="D214">
        <v>331</v>
      </c>
      <c r="E214">
        <v>3</v>
      </c>
      <c r="F214" t="s">
        <v>45</v>
      </c>
      <c r="G214" t="s">
        <v>1208</v>
      </c>
      <c r="H214">
        <v>7</v>
      </c>
      <c r="J214" t="s">
        <v>632</v>
      </c>
      <c r="K214" t="s">
        <v>317</v>
      </c>
      <c r="L214">
        <v>22.4</v>
      </c>
      <c r="M214">
        <v>317</v>
      </c>
      <c r="N214" t="s">
        <v>1210</v>
      </c>
      <c r="O214">
        <v>331</v>
      </c>
    </row>
    <row r="215" spans="1:16" x14ac:dyDescent="0.35">
      <c r="A215">
        <v>2024</v>
      </c>
      <c r="B215">
        <v>2</v>
      </c>
      <c r="C215">
        <v>1</v>
      </c>
      <c r="D215">
        <v>625</v>
      </c>
      <c r="E215">
        <v>1</v>
      </c>
      <c r="F215" t="s">
        <v>226</v>
      </c>
      <c r="G215" t="s">
        <v>1211</v>
      </c>
      <c r="H215">
        <v>7</v>
      </c>
      <c r="J215" t="s">
        <v>64</v>
      </c>
      <c r="K215">
        <v>7</v>
      </c>
      <c r="L215">
        <v>27.7</v>
      </c>
      <c r="M215">
        <v>317</v>
      </c>
      <c r="N215" t="s">
        <v>1211</v>
      </c>
      <c r="O215">
        <v>625</v>
      </c>
    </row>
    <row r="216" spans="1:16" x14ac:dyDescent="0.35">
      <c r="A216">
        <v>2024</v>
      </c>
      <c r="B216">
        <v>1</v>
      </c>
      <c r="C216">
        <v>30</v>
      </c>
      <c r="D216">
        <v>648</v>
      </c>
      <c r="E216">
        <v>1</v>
      </c>
      <c r="F216" t="s">
        <v>225</v>
      </c>
      <c r="G216" t="s">
        <v>1216</v>
      </c>
      <c r="H216">
        <v>2</v>
      </c>
      <c r="J216" t="s">
        <v>58</v>
      </c>
      <c r="K216">
        <v>2</v>
      </c>
      <c r="L216">
        <v>27.3</v>
      </c>
      <c r="M216">
        <v>317</v>
      </c>
      <c r="N216" t="s">
        <v>1209</v>
      </c>
      <c r="O216">
        <v>648</v>
      </c>
    </row>
    <row r="217" spans="1:16" x14ac:dyDescent="0.35">
      <c r="A217">
        <v>2024</v>
      </c>
      <c r="B217">
        <v>3</v>
      </c>
      <c r="C217">
        <v>13</v>
      </c>
      <c r="D217">
        <v>672</v>
      </c>
      <c r="E217">
        <v>2</v>
      </c>
      <c r="F217" t="s">
        <v>226</v>
      </c>
      <c r="G217" t="s">
        <v>1211</v>
      </c>
      <c r="H217">
        <v>7</v>
      </c>
      <c r="J217" t="s">
        <v>783</v>
      </c>
      <c r="K217">
        <v>7</v>
      </c>
      <c r="L217">
        <v>31.3</v>
      </c>
      <c r="M217">
        <v>317</v>
      </c>
      <c r="N217" t="s">
        <v>1211</v>
      </c>
      <c r="O217">
        <v>672</v>
      </c>
    </row>
    <row r="218" spans="1:16" x14ac:dyDescent="0.35">
      <c r="A218">
        <v>2024</v>
      </c>
      <c r="B218">
        <v>1</v>
      </c>
      <c r="C218">
        <v>19</v>
      </c>
      <c r="D218">
        <v>591</v>
      </c>
      <c r="E218">
        <v>1</v>
      </c>
      <c r="F218" t="s">
        <v>41</v>
      </c>
      <c r="G218" t="s">
        <v>1207</v>
      </c>
      <c r="H218">
        <v>11</v>
      </c>
      <c r="J218" t="s">
        <v>1035</v>
      </c>
      <c r="K218" t="s">
        <v>318</v>
      </c>
      <c r="L218">
        <v>26.3</v>
      </c>
      <c r="M218">
        <v>318</v>
      </c>
      <c r="N218" t="s">
        <v>1208</v>
      </c>
      <c r="O218">
        <v>591</v>
      </c>
    </row>
    <row r="219" spans="1:16" x14ac:dyDescent="0.35">
      <c r="A219">
        <v>2024</v>
      </c>
      <c r="B219">
        <v>2</v>
      </c>
      <c r="C219">
        <v>23</v>
      </c>
      <c r="D219">
        <v>630</v>
      </c>
      <c r="E219">
        <v>1</v>
      </c>
      <c r="F219" t="s">
        <v>225</v>
      </c>
      <c r="G219" t="s">
        <v>1216</v>
      </c>
      <c r="H219">
        <v>2</v>
      </c>
      <c r="J219" t="s">
        <v>21</v>
      </c>
      <c r="K219">
        <v>2</v>
      </c>
      <c r="L219">
        <v>30.9</v>
      </c>
      <c r="M219">
        <v>318</v>
      </c>
      <c r="N219" t="s">
        <v>1209</v>
      </c>
      <c r="O219">
        <v>630</v>
      </c>
    </row>
    <row r="220" spans="1:16" x14ac:dyDescent="0.35">
      <c r="A220">
        <v>2023</v>
      </c>
      <c r="B220">
        <v>10</v>
      </c>
      <c r="C220">
        <v>31</v>
      </c>
      <c r="D220">
        <v>544</v>
      </c>
      <c r="E220">
        <v>4</v>
      </c>
      <c r="F220" t="s">
        <v>225</v>
      </c>
      <c r="G220" t="s">
        <v>1216</v>
      </c>
      <c r="H220">
        <v>1</v>
      </c>
      <c r="J220" t="s">
        <v>67</v>
      </c>
      <c r="K220">
        <v>2</v>
      </c>
      <c r="L220">
        <v>27</v>
      </c>
      <c r="M220">
        <v>319</v>
      </c>
      <c r="N220" t="s">
        <v>1209</v>
      </c>
      <c r="O220">
        <v>544</v>
      </c>
    </row>
    <row r="221" spans="1:16" x14ac:dyDescent="0.35">
      <c r="A221">
        <v>2012</v>
      </c>
      <c r="B221">
        <v>10</v>
      </c>
      <c r="C221">
        <v>5</v>
      </c>
      <c r="D221">
        <v>624</v>
      </c>
      <c r="E221">
        <v>4</v>
      </c>
      <c r="F221" t="s">
        <v>45</v>
      </c>
      <c r="G221" t="s">
        <v>1215</v>
      </c>
      <c r="H221">
        <v>3</v>
      </c>
      <c r="J221" t="s">
        <v>1062</v>
      </c>
      <c r="K221" t="s">
        <v>512</v>
      </c>
      <c r="L221">
        <v>24.9</v>
      </c>
      <c r="M221">
        <v>319</v>
      </c>
      <c r="N221" t="s">
        <v>1210</v>
      </c>
      <c r="O221">
        <v>624</v>
      </c>
    </row>
    <row r="222" spans="1:16" x14ac:dyDescent="0.35">
      <c r="A222">
        <v>2016</v>
      </c>
      <c r="B222">
        <v>9</v>
      </c>
      <c r="C222">
        <v>1</v>
      </c>
      <c r="D222">
        <v>237</v>
      </c>
      <c r="E222">
        <v>3</v>
      </c>
      <c r="F222" t="s">
        <v>45</v>
      </c>
      <c r="G222" t="s">
        <v>1208</v>
      </c>
      <c r="H222">
        <v>5</v>
      </c>
      <c r="J222" t="s">
        <v>647</v>
      </c>
      <c r="K222" t="s">
        <v>317</v>
      </c>
      <c r="L222">
        <v>26.9</v>
      </c>
      <c r="M222">
        <v>320</v>
      </c>
      <c r="N222" t="s">
        <v>1210</v>
      </c>
      <c r="O222">
        <v>237</v>
      </c>
    </row>
    <row r="223" spans="1:16" x14ac:dyDescent="0.35">
      <c r="A223">
        <v>2016</v>
      </c>
      <c r="B223">
        <v>9</v>
      </c>
      <c r="C223">
        <v>1</v>
      </c>
      <c r="D223">
        <v>265</v>
      </c>
      <c r="E223">
        <v>3</v>
      </c>
      <c r="F223" t="s">
        <v>45</v>
      </c>
      <c r="G223" t="s">
        <v>1208</v>
      </c>
      <c r="H223">
        <v>5</v>
      </c>
      <c r="J223" t="s">
        <v>718</v>
      </c>
      <c r="K223" t="s">
        <v>317</v>
      </c>
      <c r="L223">
        <v>2.6</v>
      </c>
      <c r="M223">
        <v>320</v>
      </c>
      <c r="N223" t="s">
        <v>1210</v>
      </c>
      <c r="O223">
        <v>265</v>
      </c>
    </row>
    <row r="224" spans="1:16" x14ac:dyDescent="0.35">
      <c r="A224">
        <v>2023</v>
      </c>
      <c r="B224">
        <v>8</v>
      </c>
      <c r="C224">
        <v>1</v>
      </c>
      <c r="D224">
        <v>427</v>
      </c>
      <c r="E224">
        <v>3</v>
      </c>
      <c r="F224" t="s">
        <v>225</v>
      </c>
      <c r="G224" t="s">
        <v>1216</v>
      </c>
      <c r="H224">
        <v>1</v>
      </c>
      <c r="J224" t="s">
        <v>235</v>
      </c>
      <c r="K224">
        <v>5</v>
      </c>
      <c r="L224">
        <v>26.9</v>
      </c>
      <c r="M224">
        <v>320</v>
      </c>
      <c r="N224" t="s">
        <v>1209</v>
      </c>
      <c r="O224">
        <v>427</v>
      </c>
    </row>
    <row r="225" spans="1:15" x14ac:dyDescent="0.35">
      <c r="A225">
        <v>2023</v>
      </c>
      <c r="B225">
        <v>11</v>
      </c>
      <c r="C225">
        <v>3</v>
      </c>
      <c r="D225">
        <v>507</v>
      </c>
      <c r="E225">
        <v>4</v>
      </c>
      <c r="F225" t="s">
        <v>226</v>
      </c>
      <c r="G225" t="s">
        <v>1211</v>
      </c>
      <c r="H225">
        <v>6</v>
      </c>
      <c r="J225" t="s">
        <v>783</v>
      </c>
      <c r="K225">
        <v>7</v>
      </c>
      <c r="L225">
        <v>28.3</v>
      </c>
      <c r="M225">
        <v>320</v>
      </c>
      <c r="N225" t="s">
        <v>1211</v>
      </c>
      <c r="O225">
        <v>507</v>
      </c>
    </row>
    <row r="226" spans="1:15" x14ac:dyDescent="0.35">
      <c r="A226">
        <v>2024</v>
      </c>
      <c r="B226">
        <v>8</v>
      </c>
      <c r="C226">
        <v>19</v>
      </c>
      <c r="D226">
        <v>747</v>
      </c>
      <c r="E226">
        <v>3</v>
      </c>
      <c r="F226" t="s">
        <v>225</v>
      </c>
      <c r="G226" t="s">
        <v>1209</v>
      </c>
      <c r="H226">
        <v>3</v>
      </c>
      <c r="J226">
        <v>3</v>
      </c>
      <c r="K226">
        <v>3</v>
      </c>
      <c r="L226">
        <v>43</v>
      </c>
      <c r="M226">
        <v>320</v>
      </c>
      <c r="N226" t="s">
        <v>1209</v>
      </c>
      <c r="O226">
        <v>747</v>
      </c>
    </row>
    <row r="227" spans="1:15" x14ac:dyDescent="0.35">
      <c r="A227">
        <v>2024</v>
      </c>
      <c r="B227">
        <v>2</v>
      </c>
      <c r="C227">
        <v>1</v>
      </c>
      <c r="D227">
        <v>626</v>
      </c>
      <c r="E227">
        <v>1</v>
      </c>
      <c r="F227" t="s">
        <v>226</v>
      </c>
      <c r="G227" t="s">
        <v>1211</v>
      </c>
      <c r="H227">
        <v>7</v>
      </c>
      <c r="J227" t="s">
        <v>64</v>
      </c>
      <c r="K227">
        <v>7</v>
      </c>
      <c r="L227">
        <v>26</v>
      </c>
      <c r="M227">
        <v>321</v>
      </c>
      <c r="N227" t="s">
        <v>1211</v>
      </c>
      <c r="O227">
        <v>626</v>
      </c>
    </row>
    <row r="228" spans="1:15" x14ac:dyDescent="0.35">
      <c r="A228">
        <v>2016</v>
      </c>
      <c r="B228">
        <v>9</v>
      </c>
      <c r="C228">
        <v>1</v>
      </c>
      <c r="D228">
        <v>259</v>
      </c>
      <c r="E228">
        <v>3</v>
      </c>
      <c r="F228" t="s">
        <v>45</v>
      </c>
      <c r="G228" t="s">
        <v>1208</v>
      </c>
      <c r="H228">
        <v>5</v>
      </c>
      <c r="J228" t="s">
        <v>718</v>
      </c>
      <c r="K228" t="s">
        <v>317</v>
      </c>
      <c r="L228">
        <v>24.4</v>
      </c>
      <c r="M228">
        <v>322</v>
      </c>
      <c r="N228" t="s">
        <v>1210</v>
      </c>
      <c r="O228">
        <v>259</v>
      </c>
    </row>
    <row r="229" spans="1:15" x14ac:dyDescent="0.35">
      <c r="A229">
        <v>2024</v>
      </c>
      <c r="B229">
        <v>6</v>
      </c>
      <c r="C229">
        <v>19</v>
      </c>
      <c r="D229">
        <v>803</v>
      </c>
      <c r="E229">
        <v>3</v>
      </c>
      <c r="F229" t="s">
        <v>225</v>
      </c>
      <c r="G229" t="s">
        <v>1209</v>
      </c>
      <c r="H229">
        <v>3</v>
      </c>
      <c r="J229" t="s">
        <v>1162</v>
      </c>
      <c r="K229">
        <v>3</v>
      </c>
      <c r="L229">
        <v>30.9</v>
      </c>
      <c r="M229">
        <v>322</v>
      </c>
      <c r="N229" t="s">
        <v>1209</v>
      </c>
      <c r="O229">
        <v>803</v>
      </c>
    </row>
    <row r="230" spans="1:15" x14ac:dyDescent="0.35">
      <c r="A230">
        <v>2023</v>
      </c>
      <c r="B230">
        <v>2</v>
      </c>
      <c r="C230">
        <v>10</v>
      </c>
      <c r="D230">
        <v>142</v>
      </c>
      <c r="E230">
        <v>1</v>
      </c>
      <c r="F230" t="s">
        <v>41</v>
      </c>
      <c r="G230" t="s">
        <v>1207</v>
      </c>
      <c r="H230">
        <v>10</v>
      </c>
      <c r="J230" t="s">
        <v>91</v>
      </c>
      <c r="K230" t="s">
        <v>318</v>
      </c>
      <c r="L230">
        <v>20.399999999999999</v>
      </c>
      <c r="M230">
        <v>323</v>
      </c>
      <c r="N230" t="s">
        <v>1208</v>
      </c>
      <c r="O230">
        <v>142</v>
      </c>
    </row>
    <row r="231" spans="1:15" x14ac:dyDescent="0.35">
      <c r="A231">
        <v>2016</v>
      </c>
      <c r="B231">
        <v>9</v>
      </c>
      <c r="C231">
        <v>2</v>
      </c>
      <c r="D231">
        <v>217</v>
      </c>
      <c r="E231">
        <v>3</v>
      </c>
      <c r="F231" t="s">
        <v>41</v>
      </c>
      <c r="G231" t="s">
        <v>1207</v>
      </c>
      <c r="H231">
        <v>3</v>
      </c>
      <c r="J231" t="s">
        <v>49</v>
      </c>
      <c r="K231" t="s">
        <v>318</v>
      </c>
      <c r="L231">
        <v>28.1</v>
      </c>
      <c r="M231">
        <v>323</v>
      </c>
      <c r="N231" t="s">
        <v>1208</v>
      </c>
      <c r="O231">
        <v>217</v>
      </c>
    </row>
    <row r="232" spans="1:15" x14ac:dyDescent="0.35">
      <c r="A232">
        <v>2024</v>
      </c>
      <c r="B232">
        <v>1</v>
      </c>
      <c r="C232">
        <v>16</v>
      </c>
      <c r="D232">
        <v>571</v>
      </c>
      <c r="E232">
        <v>1</v>
      </c>
      <c r="F232" t="s">
        <v>45</v>
      </c>
      <c r="G232" t="s">
        <v>1208</v>
      </c>
      <c r="H232">
        <v>13</v>
      </c>
      <c r="J232" t="s">
        <v>615</v>
      </c>
      <c r="K232" t="s">
        <v>317</v>
      </c>
      <c r="L232">
        <v>33.700000000000003</v>
      </c>
      <c r="M232">
        <v>323</v>
      </c>
      <c r="N232" t="s">
        <v>1210</v>
      </c>
      <c r="O232">
        <v>571</v>
      </c>
    </row>
    <row r="233" spans="1:15" x14ac:dyDescent="0.35">
      <c r="A233">
        <v>2021</v>
      </c>
      <c r="B233" t="s">
        <v>28</v>
      </c>
      <c r="C233" t="s">
        <v>28</v>
      </c>
      <c r="D233">
        <v>14</v>
      </c>
      <c r="E233" t="s">
        <v>28</v>
      </c>
      <c r="F233" t="s">
        <v>45</v>
      </c>
      <c r="G233" t="s">
        <v>1208</v>
      </c>
      <c r="H233">
        <v>10</v>
      </c>
      <c r="J233" t="s">
        <v>317</v>
      </c>
      <c r="K233" t="s">
        <v>317</v>
      </c>
      <c r="L233">
        <v>26.6</v>
      </c>
      <c r="M233">
        <v>324</v>
      </c>
      <c r="N233" t="s">
        <v>1210</v>
      </c>
      <c r="O233">
        <v>14</v>
      </c>
    </row>
    <row r="234" spans="1:15" x14ac:dyDescent="0.35">
      <c r="A234">
        <v>2021</v>
      </c>
      <c r="B234">
        <v>10</v>
      </c>
      <c r="C234">
        <v>11</v>
      </c>
      <c r="D234">
        <v>471</v>
      </c>
      <c r="E234">
        <v>4</v>
      </c>
      <c r="F234" t="s">
        <v>226</v>
      </c>
      <c r="G234" t="s">
        <v>1214</v>
      </c>
      <c r="H234">
        <v>3</v>
      </c>
      <c r="J234" t="s">
        <v>51</v>
      </c>
      <c r="K234" t="s">
        <v>927</v>
      </c>
      <c r="L234">
        <v>25</v>
      </c>
      <c r="M234">
        <v>324</v>
      </c>
      <c r="N234" t="s">
        <v>1211</v>
      </c>
      <c r="O234">
        <v>471</v>
      </c>
    </row>
    <row r="235" spans="1:15" x14ac:dyDescent="0.35">
      <c r="A235">
        <v>2023</v>
      </c>
      <c r="B235">
        <v>11</v>
      </c>
      <c r="C235">
        <v>17</v>
      </c>
      <c r="D235">
        <v>513</v>
      </c>
      <c r="E235">
        <v>4</v>
      </c>
      <c r="F235" t="s">
        <v>225</v>
      </c>
      <c r="G235" t="s">
        <v>1216</v>
      </c>
      <c r="H235">
        <v>1</v>
      </c>
      <c r="J235" t="s">
        <v>896</v>
      </c>
      <c r="K235">
        <v>5</v>
      </c>
      <c r="L235">
        <v>37.1</v>
      </c>
      <c r="M235">
        <v>324</v>
      </c>
      <c r="N235" t="s">
        <v>1209</v>
      </c>
      <c r="O235">
        <v>513</v>
      </c>
    </row>
    <row r="236" spans="1:15" x14ac:dyDescent="0.35">
      <c r="A236">
        <v>2024</v>
      </c>
      <c r="B236">
        <v>4</v>
      </c>
      <c r="C236">
        <v>8</v>
      </c>
      <c r="D236">
        <v>657</v>
      </c>
      <c r="E236">
        <v>2</v>
      </c>
      <c r="F236" t="s">
        <v>225</v>
      </c>
      <c r="G236" t="s">
        <v>1209</v>
      </c>
      <c r="H236">
        <v>3</v>
      </c>
      <c r="J236" t="s">
        <v>1076</v>
      </c>
      <c r="K236">
        <v>3</v>
      </c>
      <c r="L236">
        <v>18.899999999999999</v>
      </c>
      <c r="M236">
        <v>324</v>
      </c>
      <c r="N236" t="s">
        <v>1209</v>
      </c>
      <c r="O236">
        <v>657</v>
      </c>
    </row>
    <row r="237" spans="1:15" x14ac:dyDescent="0.35">
      <c r="A237">
        <v>2019</v>
      </c>
      <c r="B237">
        <v>11</v>
      </c>
      <c r="C237">
        <v>27</v>
      </c>
      <c r="D237">
        <v>51</v>
      </c>
      <c r="E237">
        <v>4</v>
      </c>
      <c r="F237" t="s">
        <v>45</v>
      </c>
      <c r="G237" t="s">
        <v>1215</v>
      </c>
      <c r="H237">
        <v>10</v>
      </c>
      <c r="J237" t="s">
        <v>488</v>
      </c>
      <c r="K237" t="s">
        <v>488</v>
      </c>
      <c r="L237">
        <v>25.7</v>
      </c>
      <c r="M237">
        <v>325</v>
      </c>
      <c r="N237" t="s">
        <v>1210</v>
      </c>
      <c r="O237">
        <v>51</v>
      </c>
    </row>
    <row r="238" spans="1:15" x14ac:dyDescent="0.35">
      <c r="A238">
        <v>2024</v>
      </c>
      <c r="B238">
        <v>3</v>
      </c>
      <c r="C238">
        <v>28</v>
      </c>
      <c r="D238">
        <v>661</v>
      </c>
      <c r="E238">
        <v>2</v>
      </c>
      <c r="F238" t="s">
        <v>41</v>
      </c>
      <c r="G238" t="s">
        <v>1207</v>
      </c>
      <c r="H238">
        <v>11</v>
      </c>
      <c r="J238" t="s">
        <v>42</v>
      </c>
      <c r="K238" t="s">
        <v>318</v>
      </c>
      <c r="L238">
        <v>29.8</v>
      </c>
      <c r="M238">
        <v>325</v>
      </c>
      <c r="N238" t="s">
        <v>1208</v>
      </c>
      <c r="O238">
        <v>661</v>
      </c>
    </row>
    <row r="239" spans="1:15" x14ac:dyDescent="0.35">
      <c r="A239">
        <v>2024</v>
      </c>
      <c r="B239">
        <v>8</v>
      </c>
      <c r="C239">
        <v>19</v>
      </c>
      <c r="D239">
        <v>756</v>
      </c>
      <c r="E239">
        <v>3</v>
      </c>
      <c r="F239" t="s">
        <v>225</v>
      </c>
      <c r="G239" t="s">
        <v>1209</v>
      </c>
      <c r="H239">
        <v>3</v>
      </c>
      <c r="J239">
        <v>3</v>
      </c>
      <c r="K239">
        <v>3</v>
      </c>
      <c r="L239">
        <v>37.4</v>
      </c>
      <c r="M239">
        <v>325</v>
      </c>
      <c r="N239" t="s">
        <v>1209</v>
      </c>
      <c r="O239">
        <v>756</v>
      </c>
    </row>
    <row r="240" spans="1:15" x14ac:dyDescent="0.35">
      <c r="A240">
        <v>2024</v>
      </c>
      <c r="B240">
        <v>8</v>
      </c>
      <c r="C240">
        <v>20</v>
      </c>
      <c r="D240">
        <v>833</v>
      </c>
      <c r="E240">
        <v>3</v>
      </c>
      <c r="F240" t="s">
        <v>226</v>
      </c>
      <c r="G240" t="s">
        <v>1211</v>
      </c>
      <c r="H240">
        <v>7</v>
      </c>
      <c r="J240" t="s">
        <v>64</v>
      </c>
      <c r="K240">
        <v>7</v>
      </c>
      <c r="L240">
        <v>28.8</v>
      </c>
      <c r="M240">
        <v>325</v>
      </c>
      <c r="N240" t="s">
        <v>1211</v>
      </c>
      <c r="O240">
        <v>833</v>
      </c>
    </row>
    <row r="241" spans="1:15" x14ac:dyDescent="0.35">
      <c r="A241">
        <v>2024</v>
      </c>
      <c r="B241">
        <v>2</v>
      </c>
      <c r="C241">
        <v>23</v>
      </c>
      <c r="D241">
        <v>633</v>
      </c>
      <c r="E241">
        <v>1</v>
      </c>
      <c r="F241" t="s">
        <v>225</v>
      </c>
      <c r="G241" t="s">
        <v>1216</v>
      </c>
      <c r="H241">
        <v>2</v>
      </c>
      <c r="J241" t="s">
        <v>21</v>
      </c>
      <c r="K241">
        <v>2</v>
      </c>
      <c r="L241">
        <v>13.4</v>
      </c>
      <c r="M241">
        <v>326</v>
      </c>
      <c r="N241" t="s">
        <v>1209</v>
      </c>
      <c r="O241">
        <v>633</v>
      </c>
    </row>
    <row r="242" spans="1:15" x14ac:dyDescent="0.35">
      <c r="A242">
        <v>2022</v>
      </c>
      <c r="B242">
        <v>11</v>
      </c>
      <c r="C242">
        <v>4</v>
      </c>
      <c r="D242">
        <v>105</v>
      </c>
      <c r="E242">
        <v>4</v>
      </c>
      <c r="F242" t="s">
        <v>45</v>
      </c>
      <c r="G242" t="s">
        <v>1208</v>
      </c>
      <c r="H242">
        <v>11</v>
      </c>
      <c r="J242" t="s">
        <v>317</v>
      </c>
      <c r="K242" t="s">
        <v>317</v>
      </c>
      <c r="L242">
        <v>27.8</v>
      </c>
      <c r="M242">
        <v>327</v>
      </c>
      <c r="N242" t="s">
        <v>1210</v>
      </c>
      <c r="O242">
        <v>105</v>
      </c>
    </row>
    <row r="243" spans="1:15" x14ac:dyDescent="0.35">
      <c r="A243">
        <v>2017</v>
      </c>
      <c r="B243">
        <v>8</v>
      </c>
      <c r="C243">
        <v>14</v>
      </c>
      <c r="D243">
        <v>131</v>
      </c>
      <c r="E243">
        <v>3</v>
      </c>
      <c r="F243" t="s">
        <v>45</v>
      </c>
      <c r="G243" t="s">
        <v>1208</v>
      </c>
      <c r="H243">
        <v>6</v>
      </c>
      <c r="J243" t="s">
        <v>317</v>
      </c>
      <c r="K243" t="s">
        <v>317</v>
      </c>
      <c r="L243">
        <v>28.7</v>
      </c>
      <c r="M243">
        <v>327</v>
      </c>
      <c r="N243" t="s">
        <v>1210</v>
      </c>
      <c r="O243">
        <v>131</v>
      </c>
    </row>
    <row r="244" spans="1:15" x14ac:dyDescent="0.35">
      <c r="A244">
        <v>2023</v>
      </c>
      <c r="B244">
        <v>7</v>
      </c>
      <c r="C244">
        <v>28</v>
      </c>
      <c r="D244">
        <v>436</v>
      </c>
      <c r="E244">
        <v>3</v>
      </c>
      <c r="F244" t="s">
        <v>225</v>
      </c>
      <c r="G244" t="s">
        <v>1209</v>
      </c>
      <c r="H244">
        <v>2</v>
      </c>
      <c r="J244" t="s">
        <v>898</v>
      </c>
      <c r="K244">
        <v>4</v>
      </c>
      <c r="L244">
        <v>21.7</v>
      </c>
      <c r="M244">
        <v>327</v>
      </c>
      <c r="N244" t="s">
        <v>1209</v>
      </c>
      <c r="O244">
        <v>436</v>
      </c>
    </row>
    <row r="245" spans="1:15" x14ac:dyDescent="0.35">
      <c r="A245">
        <v>2024</v>
      </c>
      <c r="B245">
        <v>4</v>
      </c>
      <c r="C245">
        <v>8</v>
      </c>
      <c r="D245">
        <v>658</v>
      </c>
      <c r="E245">
        <v>2</v>
      </c>
      <c r="F245" t="s">
        <v>225</v>
      </c>
      <c r="G245" t="s">
        <v>1209</v>
      </c>
      <c r="H245">
        <v>3</v>
      </c>
      <c r="J245" t="s">
        <v>1076</v>
      </c>
      <c r="K245">
        <v>3</v>
      </c>
      <c r="L245">
        <v>34.299999999999997</v>
      </c>
      <c r="M245">
        <v>328</v>
      </c>
      <c r="N245" t="s">
        <v>1209</v>
      </c>
      <c r="O245">
        <v>658</v>
      </c>
    </row>
    <row r="246" spans="1:15" x14ac:dyDescent="0.35">
      <c r="A246">
        <v>2024</v>
      </c>
      <c r="B246">
        <v>3</v>
      </c>
      <c r="C246">
        <v>29</v>
      </c>
      <c r="D246">
        <v>664</v>
      </c>
      <c r="E246">
        <v>2</v>
      </c>
      <c r="F246" t="s">
        <v>41</v>
      </c>
      <c r="G246" t="s">
        <v>1212</v>
      </c>
      <c r="H246">
        <v>12</v>
      </c>
      <c r="J246" t="s">
        <v>551</v>
      </c>
      <c r="K246" t="s">
        <v>461</v>
      </c>
      <c r="L246">
        <v>42.7</v>
      </c>
      <c r="M246">
        <v>328</v>
      </c>
      <c r="N246" t="s">
        <v>1208</v>
      </c>
      <c r="O246">
        <v>664</v>
      </c>
    </row>
    <row r="247" spans="1:15" x14ac:dyDescent="0.35">
      <c r="A247">
        <v>2024</v>
      </c>
      <c r="B247">
        <v>8</v>
      </c>
      <c r="C247">
        <v>15</v>
      </c>
      <c r="D247">
        <v>832</v>
      </c>
      <c r="E247">
        <v>3</v>
      </c>
      <c r="F247" t="s">
        <v>225</v>
      </c>
      <c r="G247" t="s">
        <v>1209</v>
      </c>
      <c r="H247">
        <v>3</v>
      </c>
      <c r="J247" t="s">
        <v>237</v>
      </c>
      <c r="K247">
        <v>3</v>
      </c>
      <c r="L247">
        <v>27</v>
      </c>
      <c r="M247">
        <v>328</v>
      </c>
      <c r="N247" t="s">
        <v>1209</v>
      </c>
      <c r="O247">
        <v>832</v>
      </c>
    </row>
    <row r="248" spans="1:15" x14ac:dyDescent="0.35">
      <c r="A248">
        <v>2024</v>
      </c>
      <c r="B248">
        <v>2</v>
      </c>
      <c r="C248">
        <v>23</v>
      </c>
      <c r="D248">
        <v>632</v>
      </c>
      <c r="E248">
        <v>1</v>
      </c>
      <c r="F248" t="s">
        <v>225</v>
      </c>
      <c r="G248" t="s">
        <v>1216</v>
      </c>
      <c r="H248">
        <v>2</v>
      </c>
      <c r="J248" t="s">
        <v>21</v>
      </c>
      <c r="K248">
        <v>2</v>
      </c>
      <c r="L248">
        <v>35.1</v>
      </c>
      <c r="M248">
        <v>329</v>
      </c>
      <c r="N248" t="s">
        <v>1209</v>
      </c>
      <c r="O248">
        <v>632</v>
      </c>
    </row>
    <row r="249" spans="1:15" x14ac:dyDescent="0.35">
      <c r="A249">
        <v>2016</v>
      </c>
      <c r="B249">
        <v>11</v>
      </c>
      <c r="C249">
        <v>16</v>
      </c>
      <c r="D249">
        <v>202</v>
      </c>
      <c r="E249">
        <v>4</v>
      </c>
      <c r="F249" t="s">
        <v>41</v>
      </c>
      <c r="G249" t="s">
        <v>1207</v>
      </c>
      <c r="H249">
        <v>3</v>
      </c>
      <c r="J249" t="s">
        <v>42</v>
      </c>
      <c r="K249" t="s">
        <v>318</v>
      </c>
      <c r="L249">
        <v>29.7</v>
      </c>
      <c r="M249">
        <v>330</v>
      </c>
      <c r="N249" t="s">
        <v>1208</v>
      </c>
      <c r="O249">
        <v>202</v>
      </c>
    </row>
    <row r="250" spans="1:15" x14ac:dyDescent="0.35">
      <c r="A250">
        <v>2016</v>
      </c>
      <c r="B250">
        <v>11</v>
      </c>
      <c r="C250">
        <v>16</v>
      </c>
      <c r="D250">
        <v>202</v>
      </c>
      <c r="E250">
        <v>4</v>
      </c>
      <c r="F250" t="s">
        <v>41</v>
      </c>
      <c r="G250" t="s">
        <v>1207</v>
      </c>
      <c r="H250">
        <v>3</v>
      </c>
      <c r="J250" t="s">
        <v>42</v>
      </c>
      <c r="K250" t="s">
        <v>318</v>
      </c>
      <c r="L250">
        <v>29.7</v>
      </c>
      <c r="M250">
        <v>330</v>
      </c>
      <c r="N250" t="s">
        <v>1208</v>
      </c>
      <c r="O250">
        <v>202</v>
      </c>
    </row>
    <row r="251" spans="1:15" x14ac:dyDescent="0.35">
      <c r="A251">
        <v>2016</v>
      </c>
      <c r="B251">
        <v>11</v>
      </c>
      <c r="C251">
        <v>7</v>
      </c>
      <c r="D251">
        <v>211</v>
      </c>
      <c r="E251">
        <v>4</v>
      </c>
      <c r="F251" t="s">
        <v>45</v>
      </c>
      <c r="G251" t="s">
        <v>1215</v>
      </c>
      <c r="H251">
        <v>7</v>
      </c>
      <c r="J251" t="s">
        <v>667</v>
      </c>
      <c r="K251" t="s">
        <v>512</v>
      </c>
      <c r="L251">
        <v>3.1</v>
      </c>
      <c r="M251">
        <v>330</v>
      </c>
      <c r="N251" t="s">
        <v>1210</v>
      </c>
      <c r="O251">
        <v>211</v>
      </c>
    </row>
    <row r="252" spans="1:15" x14ac:dyDescent="0.35">
      <c r="A252">
        <v>2024</v>
      </c>
      <c r="B252">
        <v>1</v>
      </c>
      <c r="C252">
        <v>19</v>
      </c>
      <c r="D252">
        <v>597</v>
      </c>
      <c r="E252">
        <v>1</v>
      </c>
      <c r="F252" t="s">
        <v>41</v>
      </c>
      <c r="G252" t="s">
        <v>1212</v>
      </c>
      <c r="H252">
        <v>12</v>
      </c>
      <c r="J252" t="s">
        <v>541</v>
      </c>
      <c r="K252" t="s">
        <v>461</v>
      </c>
      <c r="L252">
        <v>32.9</v>
      </c>
      <c r="M252">
        <v>330</v>
      </c>
      <c r="N252" t="s">
        <v>1208</v>
      </c>
      <c r="O252">
        <v>597</v>
      </c>
    </row>
    <row r="253" spans="1:15" x14ac:dyDescent="0.35">
      <c r="A253">
        <v>2023</v>
      </c>
      <c r="B253">
        <v>8</v>
      </c>
      <c r="C253">
        <v>2</v>
      </c>
      <c r="D253">
        <v>422</v>
      </c>
      <c r="E253">
        <v>3</v>
      </c>
      <c r="F253" t="s">
        <v>226</v>
      </c>
      <c r="G253" t="s">
        <v>1211</v>
      </c>
      <c r="H253">
        <v>6</v>
      </c>
      <c r="J253" t="s">
        <v>64</v>
      </c>
      <c r="K253">
        <v>7</v>
      </c>
      <c r="L253">
        <v>32.9</v>
      </c>
      <c r="M253">
        <v>330.20000000000005</v>
      </c>
      <c r="N253" t="s">
        <v>1211</v>
      </c>
      <c r="O253">
        <v>422</v>
      </c>
    </row>
    <row r="254" spans="1:15" x14ac:dyDescent="0.35">
      <c r="A254">
        <v>2024</v>
      </c>
      <c r="B254">
        <v>1</v>
      </c>
      <c r="C254">
        <v>30</v>
      </c>
      <c r="D254">
        <v>627</v>
      </c>
      <c r="E254">
        <v>1</v>
      </c>
      <c r="F254" t="s">
        <v>225</v>
      </c>
      <c r="G254" t="s">
        <v>1216</v>
      </c>
      <c r="H254">
        <v>2</v>
      </c>
      <c r="J254" t="s">
        <v>67</v>
      </c>
      <c r="K254">
        <v>2</v>
      </c>
      <c r="L254">
        <v>29.8</v>
      </c>
      <c r="M254">
        <v>332</v>
      </c>
      <c r="N254" t="s">
        <v>1209</v>
      </c>
      <c r="O254">
        <v>627</v>
      </c>
    </row>
    <row r="255" spans="1:15" x14ac:dyDescent="0.35">
      <c r="A255">
        <v>2024</v>
      </c>
      <c r="B255">
        <v>1</v>
      </c>
      <c r="C255">
        <v>24</v>
      </c>
      <c r="D255">
        <v>573</v>
      </c>
      <c r="E255">
        <v>1</v>
      </c>
      <c r="F255" t="s">
        <v>20</v>
      </c>
      <c r="G255" t="s">
        <v>1217</v>
      </c>
      <c r="H255">
        <v>5</v>
      </c>
      <c r="J255" t="s">
        <v>232</v>
      </c>
      <c r="K255">
        <v>23</v>
      </c>
      <c r="L255">
        <v>33.4</v>
      </c>
      <c r="M255">
        <v>333</v>
      </c>
      <c r="N255" t="s">
        <v>1214</v>
      </c>
      <c r="O255">
        <v>573</v>
      </c>
    </row>
    <row r="256" spans="1:15" x14ac:dyDescent="0.35">
      <c r="A256">
        <v>2024</v>
      </c>
      <c r="B256">
        <v>1</v>
      </c>
      <c r="C256">
        <v>16</v>
      </c>
      <c r="D256">
        <v>594</v>
      </c>
      <c r="E256">
        <v>1</v>
      </c>
      <c r="F256" t="s">
        <v>45</v>
      </c>
      <c r="G256" t="s">
        <v>1208</v>
      </c>
      <c r="H256">
        <v>13</v>
      </c>
      <c r="J256" t="s">
        <v>990</v>
      </c>
      <c r="K256" t="s">
        <v>317</v>
      </c>
      <c r="L256">
        <v>30.6</v>
      </c>
      <c r="M256">
        <v>334</v>
      </c>
      <c r="N256" t="s">
        <v>1210</v>
      </c>
      <c r="O256">
        <v>594</v>
      </c>
    </row>
    <row r="257" spans="1:15" x14ac:dyDescent="0.35">
      <c r="A257">
        <v>2024</v>
      </c>
      <c r="B257">
        <v>8</v>
      </c>
      <c r="C257">
        <v>19</v>
      </c>
      <c r="D257">
        <v>745</v>
      </c>
      <c r="E257">
        <v>3</v>
      </c>
      <c r="F257" t="s">
        <v>225</v>
      </c>
      <c r="G257" t="s">
        <v>1209</v>
      </c>
      <c r="H257">
        <v>3</v>
      </c>
      <c r="J257">
        <v>3</v>
      </c>
      <c r="K257">
        <v>3</v>
      </c>
      <c r="L257">
        <v>36.799999999999997</v>
      </c>
      <c r="M257">
        <v>334</v>
      </c>
      <c r="N257" t="s">
        <v>1209</v>
      </c>
      <c r="O257">
        <v>745</v>
      </c>
    </row>
    <row r="258" spans="1:15" x14ac:dyDescent="0.35">
      <c r="A258">
        <v>2023</v>
      </c>
      <c r="B258">
        <v>7</v>
      </c>
      <c r="C258">
        <v>31</v>
      </c>
      <c r="D258">
        <v>451</v>
      </c>
      <c r="E258">
        <v>3</v>
      </c>
      <c r="F258" t="s">
        <v>225</v>
      </c>
      <c r="G258" t="s">
        <v>1209</v>
      </c>
      <c r="H258">
        <v>2</v>
      </c>
      <c r="J258" t="s">
        <v>237</v>
      </c>
      <c r="K258">
        <v>3</v>
      </c>
      <c r="L258">
        <v>38.799999999999997</v>
      </c>
      <c r="M258">
        <v>335</v>
      </c>
      <c r="N258" t="s">
        <v>1209</v>
      </c>
      <c r="O258">
        <v>451</v>
      </c>
    </row>
    <row r="259" spans="1:15" x14ac:dyDescent="0.35">
      <c r="A259">
        <v>2023</v>
      </c>
      <c r="B259">
        <v>8</v>
      </c>
      <c r="C259">
        <v>11</v>
      </c>
      <c r="D259">
        <v>505</v>
      </c>
      <c r="E259">
        <v>3</v>
      </c>
      <c r="F259" t="s">
        <v>20</v>
      </c>
      <c r="G259" t="s">
        <v>1213</v>
      </c>
      <c r="H259">
        <v>3</v>
      </c>
      <c r="J259" t="s">
        <v>233</v>
      </c>
      <c r="K259">
        <v>37</v>
      </c>
      <c r="L259">
        <v>36.9</v>
      </c>
      <c r="M259">
        <v>335</v>
      </c>
      <c r="N259" t="s">
        <v>1214</v>
      </c>
      <c r="O259">
        <v>505</v>
      </c>
    </row>
    <row r="260" spans="1:15" x14ac:dyDescent="0.35">
      <c r="A260">
        <v>2023</v>
      </c>
      <c r="B260">
        <v>11</v>
      </c>
      <c r="C260">
        <v>3</v>
      </c>
      <c r="D260">
        <v>533</v>
      </c>
      <c r="E260">
        <v>4</v>
      </c>
      <c r="F260" t="s">
        <v>225</v>
      </c>
      <c r="G260" t="s">
        <v>1216</v>
      </c>
      <c r="H260">
        <v>1</v>
      </c>
      <c r="J260">
        <v>2</v>
      </c>
      <c r="K260">
        <v>2</v>
      </c>
      <c r="L260">
        <v>31.7</v>
      </c>
      <c r="M260">
        <v>335</v>
      </c>
      <c r="N260" t="s">
        <v>1209</v>
      </c>
      <c r="O260">
        <v>533</v>
      </c>
    </row>
    <row r="261" spans="1:15" x14ac:dyDescent="0.35">
      <c r="A261">
        <v>2024</v>
      </c>
      <c r="B261">
        <v>4</v>
      </c>
      <c r="C261">
        <v>8</v>
      </c>
      <c r="D261">
        <v>676</v>
      </c>
      <c r="E261">
        <v>2</v>
      </c>
      <c r="F261" t="s">
        <v>225</v>
      </c>
      <c r="G261" t="s">
        <v>1209</v>
      </c>
      <c r="H261">
        <v>3</v>
      </c>
      <c r="J261" t="s">
        <v>237</v>
      </c>
      <c r="K261">
        <v>3</v>
      </c>
      <c r="L261">
        <v>39.1</v>
      </c>
      <c r="M261">
        <v>335</v>
      </c>
      <c r="N261" t="s">
        <v>1209</v>
      </c>
      <c r="O261">
        <v>676</v>
      </c>
    </row>
    <row r="262" spans="1:15" x14ac:dyDescent="0.35">
      <c r="A262">
        <v>2024</v>
      </c>
      <c r="B262">
        <v>8</v>
      </c>
      <c r="C262">
        <v>20</v>
      </c>
      <c r="D262">
        <v>762</v>
      </c>
      <c r="E262">
        <v>3</v>
      </c>
      <c r="F262" t="s">
        <v>226</v>
      </c>
      <c r="G262" t="s">
        <v>1211</v>
      </c>
      <c r="H262">
        <v>7</v>
      </c>
      <c r="J262" t="s">
        <v>228</v>
      </c>
      <c r="K262">
        <v>7</v>
      </c>
      <c r="L262">
        <v>29.2</v>
      </c>
      <c r="M262">
        <v>335</v>
      </c>
      <c r="N262" t="s">
        <v>1211</v>
      </c>
      <c r="O262">
        <v>762</v>
      </c>
    </row>
    <row r="263" spans="1:15" x14ac:dyDescent="0.35">
      <c r="A263">
        <v>2024</v>
      </c>
      <c r="B263">
        <v>6</v>
      </c>
      <c r="C263">
        <v>19</v>
      </c>
      <c r="D263">
        <v>802</v>
      </c>
      <c r="E263">
        <v>3</v>
      </c>
      <c r="F263" t="s">
        <v>225</v>
      </c>
      <c r="G263" t="s">
        <v>1209</v>
      </c>
      <c r="H263">
        <v>3</v>
      </c>
      <c r="J263" t="s">
        <v>1162</v>
      </c>
      <c r="K263">
        <v>3</v>
      </c>
      <c r="L263">
        <v>33.4</v>
      </c>
      <c r="M263">
        <v>335</v>
      </c>
      <c r="N263" t="s">
        <v>1209</v>
      </c>
      <c r="O263">
        <v>802</v>
      </c>
    </row>
    <row r="264" spans="1:15" x14ac:dyDescent="0.35">
      <c r="A264">
        <v>2024</v>
      </c>
      <c r="B264">
        <v>8</v>
      </c>
      <c r="C264">
        <v>19</v>
      </c>
      <c r="D264">
        <v>815</v>
      </c>
      <c r="E264">
        <v>3</v>
      </c>
      <c r="F264" t="s">
        <v>225</v>
      </c>
      <c r="G264" t="s">
        <v>1209</v>
      </c>
      <c r="H264">
        <v>3</v>
      </c>
      <c r="J264">
        <v>3</v>
      </c>
      <c r="K264">
        <v>3</v>
      </c>
      <c r="L264">
        <v>37.799999999999997</v>
      </c>
      <c r="M264">
        <v>335</v>
      </c>
      <c r="N264" t="s">
        <v>1209</v>
      </c>
      <c r="O264">
        <v>815</v>
      </c>
    </row>
    <row r="265" spans="1:15" x14ac:dyDescent="0.35">
      <c r="A265">
        <v>2023</v>
      </c>
      <c r="B265">
        <v>11</v>
      </c>
      <c r="C265">
        <v>17</v>
      </c>
      <c r="D265">
        <v>512</v>
      </c>
      <c r="E265">
        <v>4</v>
      </c>
      <c r="F265" t="s">
        <v>225</v>
      </c>
      <c r="G265" t="s">
        <v>1216</v>
      </c>
      <c r="H265">
        <v>1</v>
      </c>
      <c r="J265" t="s">
        <v>896</v>
      </c>
      <c r="K265">
        <v>5</v>
      </c>
      <c r="L265">
        <v>35.799999999999997</v>
      </c>
      <c r="M265">
        <v>337</v>
      </c>
      <c r="N265" t="s">
        <v>1209</v>
      </c>
      <c r="O265">
        <v>512</v>
      </c>
    </row>
    <row r="266" spans="1:15" x14ac:dyDescent="0.35">
      <c r="A266">
        <v>2024</v>
      </c>
      <c r="B266">
        <v>8</v>
      </c>
      <c r="C266">
        <v>19</v>
      </c>
      <c r="D266">
        <v>809</v>
      </c>
      <c r="E266">
        <v>3</v>
      </c>
      <c r="F266" t="s">
        <v>225</v>
      </c>
      <c r="G266" t="s">
        <v>1209</v>
      </c>
      <c r="H266">
        <v>3</v>
      </c>
      <c r="J266">
        <v>3</v>
      </c>
      <c r="K266">
        <v>3</v>
      </c>
      <c r="L266">
        <v>49.8</v>
      </c>
      <c r="M266">
        <v>337</v>
      </c>
      <c r="N266" t="s">
        <v>1209</v>
      </c>
      <c r="O266">
        <v>809</v>
      </c>
    </row>
    <row r="267" spans="1:15" x14ac:dyDescent="0.35">
      <c r="A267">
        <v>2017</v>
      </c>
      <c r="B267">
        <v>8</v>
      </c>
      <c r="C267">
        <v>8</v>
      </c>
      <c r="D267">
        <v>84</v>
      </c>
      <c r="E267">
        <v>3</v>
      </c>
      <c r="F267" t="s">
        <v>45</v>
      </c>
      <c r="G267" t="s">
        <v>1215</v>
      </c>
      <c r="H267">
        <v>8</v>
      </c>
      <c r="J267" t="s">
        <v>512</v>
      </c>
      <c r="K267" t="s">
        <v>512</v>
      </c>
      <c r="L267">
        <v>29.7</v>
      </c>
      <c r="M267">
        <v>338</v>
      </c>
      <c r="N267" t="s">
        <v>1210</v>
      </c>
      <c r="O267">
        <v>84</v>
      </c>
    </row>
    <row r="268" spans="1:15" x14ac:dyDescent="0.35">
      <c r="A268">
        <v>2017</v>
      </c>
      <c r="B268">
        <v>8</v>
      </c>
      <c r="C268">
        <v>3</v>
      </c>
      <c r="D268">
        <v>139</v>
      </c>
      <c r="E268">
        <v>3</v>
      </c>
      <c r="F268" t="s">
        <v>41</v>
      </c>
      <c r="G268" t="s">
        <v>1207</v>
      </c>
      <c r="H268">
        <v>4</v>
      </c>
      <c r="J268" t="s">
        <v>583</v>
      </c>
      <c r="K268" t="s">
        <v>318</v>
      </c>
      <c r="L268">
        <v>28.7</v>
      </c>
      <c r="M268">
        <v>338</v>
      </c>
      <c r="N268" t="s">
        <v>1208</v>
      </c>
      <c r="O268">
        <v>139</v>
      </c>
    </row>
    <row r="269" spans="1:15" x14ac:dyDescent="0.35">
      <c r="A269">
        <v>2018</v>
      </c>
      <c r="B269">
        <v>8</v>
      </c>
      <c r="C269">
        <v>6</v>
      </c>
      <c r="D269">
        <v>273</v>
      </c>
      <c r="E269">
        <v>3</v>
      </c>
      <c r="F269" t="s">
        <v>41</v>
      </c>
      <c r="G269" t="s">
        <v>1212</v>
      </c>
      <c r="H269">
        <v>6</v>
      </c>
      <c r="J269" t="s">
        <v>551</v>
      </c>
      <c r="K269" t="s">
        <v>461</v>
      </c>
      <c r="L269">
        <v>27.2</v>
      </c>
      <c r="M269">
        <v>338</v>
      </c>
      <c r="N269" t="s">
        <v>1208</v>
      </c>
      <c r="O269">
        <v>273</v>
      </c>
    </row>
    <row r="270" spans="1:15" x14ac:dyDescent="0.35">
      <c r="A270">
        <v>2023</v>
      </c>
      <c r="B270">
        <v>7</v>
      </c>
      <c r="C270">
        <v>31</v>
      </c>
      <c r="D270">
        <v>457</v>
      </c>
      <c r="E270">
        <v>3</v>
      </c>
      <c r="F270" t="s">
        <v>225</v>
      </c>
      <c r="G270" t="s">
        <v>1216</v>
      </c>
      <c r="H270">
        <v>1</v>
      </c>
      <c r="J270" t="s">
        <v>83</v>
      </c>
      <c r="K270">
        <v>2</v>
      </c>
      <c r="L270">
        <v>35.1</v>
      </c>
      <c r="M270">
        <v>338</v>
      </c>
      <c r="N270" t="s">
        <v>1209</v>
      </c>
      <c r="O270">
        <v>457</v>
      </c>
    </row>
    <row r="271" spans="1:15" x14ac:dyDescent="0.35">
      <c r="A271">
        <v>2024</v>
      </c>
      <c r="B271">
        <v>1</v>
      </c>
      <c r="C271">
        <v>16</v>
      </c>
      <c r="D271">
        <v>593</v>
      </c>
      <c r="E271">
        <v>1</v>
      </c>
      <c r="F271" t="s">
        <v>45</v>
      </c>
      <c r="G271" t="s">
        <v>1208</v>
      </c>
      <c r="H271">
        <v>13</v>
      </c>
      <c r="J271" t="s">
        <v>990</v>
      </c>
      <c r="K271" t="s">
        <v>317</v>
      </c>
      <c r="L271">
        <v>36</v>
      </c>
      <c r="M271">
        <v>338</v>
      </c>
      <c r="N271" t="s">
        <v>1210</v>
      </c>
      <c r="O271">
        <v>593</v>
      </c>
    </row>
    <row r="272" spans="1:15" x14ac:dyDescent="0.35">
      <c r="A272">
        <v>2024</v>
      </c>
      <c r="B272">
        <v>3</v>
      </c>
      <c r="C272">
        <v>24</v>
      </c>
      <c r="D272">
        <v>670</v>
      </c>
      <c r="E272">
        <v>2</v>
      </c>
      <c r="F272" t="s">
        <v>41</v>
      </c>
      <c r="G272" t="s">
        <v>1212</v>
      </c>
      <c r="H272">
        <v>12</v>
      </c>
      <c r="J272" t="s">
        <v>544</v>
      </c>
      <c r="K272" t="s">
        <v>461</v>
      </c>
      <c r="L272">
        <v>52.2</v>
      </c>
      <c r="M272">
        <v>338</v>
      </c>
      <c r="N272" t="s">
        <v>1208</v>
      </c>
      <c r="O272">
        <v>670</v>
      </c>
    </row>
    <row r="273" spans="1:16" x14ac:dyDescent="0.35">
      <c r="A273">
        <v>2024</v>
      </c>
      <c r="B273">
        <v>1</v>
      </c>
      <c r="C273">
        <v>18</v>
      </c>
      <c r="D273">
        <v>557</v>
      </c>
      <c r="E273">
        <v>1</v>
      </c>
      <c r="F273" t="s">
        <v>41</v>
      </c>
      <c r="G273" t="s">
        <v>1207</v>
      </c>
      <c r="H273">
        <v>11</v>
      </c>
      <c r="J273" t="s">
        <v>583</v>
      </c>
      <c r="K273" t="s">
        <v>318</v>
      </c>
      <c r="L273">
        <v>33.5</v>
      </c>
      <c r="M273">
        <v>339</v>
      </c>
      <c r="N273" t="s">
        <v>1208</v>
      </c>
      <c r="O273">
        <v>557</v>
      </c>
    </row>
    <row r="274" spans="1:16" x14ac:dyDescent="0.35">
      <c r="A274">
        <v>2024</v>
      </c>
      <c r="B274">
        <v>8</v>
      </c>
      <c r="C274">
        <v>19</v>
      </c>
      <c r="D274">
        <v>819</v>
      </c>
      <c r="E274">
        <v>3</v>
      </c>
      <c r="F274" t="s">
        <v>225</v>
      </c>
      <c r="G274" t="s">
        <v>1209</v>
      </c>
      <c r="H274">
        <v>3</v>
      </c>
      <c r="J274">
        <v>3</v>
      </c>
      <c r="K274">
        <v>3</v>
      </c>
      <c r="L274">
        <v>38.799999999999997</v>
      </c>
      <c r="M274">
        <v>339</v>
      </c>
      <c r="N274" t="s">
        <v>1209</v>
      </c>
      <c r="O274">
        <v>819</v>
      </c>
    </row>
    <row r="275" spans="1:16" x14ac:dyDescent="0.35">
      <c r="A275">
        <v>2016</v>
      </c>
      <c r="B275">
        <v>9</v>
      </c>
      <c r="C275">
        <v>2</v>
      </c>
      <c r="D275">
        <v>283</v>
      </c>
      <c r="E275">
        <v>3</v>
      </c>
      <c r="F275" t="s">
        <v>41</v>
      </c>
      <c r="G275" t="s">
        <v>1207</v>
      </c>
      <c r="H275">
        <v>3</v>
      </c>
      <c r="J275" t="s">
        <v>42</v>
      </c>
      <c r="K275" t="s">
        <v>318</v>
      </c>
      <c r="L275">
        <v>34.5</v>
      </c>
      <c r="M275">
        <v>340</v>
      </c>
      <c r="N275" t="s">
        <v>1208</v>
      </c>
      <c r="O275">
        <v>283</v>
      </c>
      <c r="P275">
        <v>8.7200000000000006</v>
      </c>
    </row>
    <row r="276" spans="1:16" x14ac:dyDescent="0.35">
      <c r="A276">
        <v>2023</v>
      </c>
      <c r="B276">
        <v>7</v>
      </c>
      <c r="C276">
        <v>17</v>
      </c>
      <c r="D276">
        <v>399</v>
      </c>
      <c r="E276">
        <v>3</v>
      </c>
      <c r="F276" t="s">
        <v>45</v>
      </c>
      <c r="G276" t="s">
        <v>1208</v>
      </c>
      <c r="H276">
        <v>12</v>
      </c>
      <c r="J276" t="s">
        <v>865</v>
      </c>
      <c r="K276" t="s">
        <v>317</v>
      </c>
      <c r="L276">
        <v>25.7</v>
      </c>
      <c r="M276">
        <v>340</v>
      </c>
      <c r="N276" t="s">
        <v>1210</v>
      </c>
      <c r="O276">
        <v>399</v>
      </c>
    </row>
    <row r="277" spans="1:16" x14ac:dyDescent="0.35">
      <c r="A277">
        <v>2024</v>
      </c>
      <c r="B277">
        <v>3</v>
      </c>
      <c r="C277">
        <v>12</v>
      </c>
      <c r="D277">
        <v>684</v>
      </c>
      <c r="E277">
        <v>2</v>
      </c>
      <c r="F277" t="s">
        <v>45</v>
      </c>
      <c r="G277" t="s">
        <v>1208</v>
      </c>
      <c r="H277">
        <v>13</v>
      </c>
      <c r="J277" t="s">
        <v>1105</v>
      </c>
      <c r="K277" t="s">
        <v>317</v>
      </c>
      <c r="L277">
        <v>36.4</v>
      </c>
      <c r="M277">
        <v>340</v>
      </c>
      <c r="N277" t="s">
        <v>1210</v>
      </c>
      <c r="O277">
        <v>684</v>
      </c>
    </row>
    <row r="278" spans="1:16" x14ac:dyDescent="0.35">
      <c r="A278">
        <v>2019</v>
      </c>
      <c r="B278">
        <v>2</v>
      </c>
      <c r="C278">
        <v>18</v>
      </c>
      <c r="D278">
        <v>176</v>
      </c>
      <c r="E278">
        <v>1</v>
      </c>
      <c r="F278" t="s">
        <v>41</v>
      </c>
      <c r="G278" t="s">
        <v>1207</v>
      </c>
      <c r="H278">
        <v>6</v>
      </c>
      <c r="J278" t="s">
        <v>42</v>
      </c>
      <c r="K278" t="s">
        <v>318</v>
      </c>
      <c r="L278">
        <v>34.9</v>
      </c>
      <c r="M278">
        <v>341</v>
      </c>
      <c r="N278" t="s">
        <v>1208</v>
      </c>
      <c r="O278">
        <v>176</v>
      </c>
    </row>
    <row r="279" spans="1:16" x14ac:dyDescent="0.35">
      <c r="A279">
        <v>2023</v>
      </c>
      <c r="B279">
        <v>7</v>
      </c>
      <c r="C279">
        <v>17</v>
      </c>
      <c r="D279">
        <v>344</v>
      </c>
      <c r="E279">
        <v>3</v>
      </c>
      <c r="F279" t="s">
        <v>41</v>
      </c>
      <c r="G279" t="s">
        <v>1207</v>
      </c>
      <c r="H279">
        <v>10</v>
      </c>
      <c r="J279" t="s">
        <v>546</v>
      </c>
      <c r="K279" t="s">
        <v>458</v>
      </c>
      <c r="L279">
        <v>2.6</v>
      </c>
      <c r="M279">
        <v>341</v>
      </c>
      <c r="N279" t="s">
        <v>1208</v>
      </c>
      <c r="O279">
        <v>344</v>
      </c>
    </row>
    <row r="280" spans="1:16" x14ac:dyDescent="0.35">
      <c r="A280">
        <v>2023</v>
      </c>
      <c r="B280">
        <v>7</v>
      </c>
      <c r="C280">
        <v>17</v>
      </c>
      <c r="D280">
        <v>344</v>
      </c>
      <c r="E280">
        <v>3</v>
      </c>
      <c r="F280" t="s">
        <v>41</v>
      </c>
      <c r="G280" t="s">
        <v>1207</v>
      </c>
      <c r="H280">
        <v>10</v>
      </c>
      <c r="J280" t="s">
        <v>546</v>
      </c>
      <c r="K280" t="s">
        <v>458</v>
      </c>
      <c r="L280">
        <v>2.6</v>
      </c>
      <c r="M280">
        <v>341</v>
      </c>
      <c r="N280" t="s">
        <v>1208</v>
      </c>
      <c r="O280">
        <v>344</v>
      </c>
    </row>
    <row r="281" spans="1:16" x14ac:dyDescent="0.35">
      <c r="A281">
        <v>2023</v>
      </c>
      <c r="B281">
        <v>7</v>
      </c>
      <c r="C281">
        <v>17</v>
      </c>
      <c r="D281">
        <v>344</v>
      </c>
      <c r="E281">
        <v>3</v>
      </c>
      <c r="F281" t="s">
        <v>41</v>
      </c>
      <c r="G281" t="s">
        <v>1207</v>
      </c>
      <c r="H281">
        <v>10</v>
      </c>
      <c r="J281" t="s">
        <v>546</v>
      </c>
      <c r="K281" t="s">
        <v>458</v>
      </c>
      <c r="L281">
        <v>2.6</v>
      </c>
      <c r="M281">
        <v>341</v>
      </c>
      <c r="N281" t="s">
        <v>1208</v>
      </c>
      <c r="O281">
        <v>344</v>
      </c>
    </row>
    <row r="282" spans="1:16" x14ac:dyDescent="0.35">
      <c r="A282">
        <v>2023</v>
      </c>
      <c r="B282">
        <v>2</v>
      </c>
      <c r="C282">
        <v>10</v>
      </c>
      <c r="D282">
        <v>149</v>
      </c>
      <c r="E282">
        <v>1</v>
      </c>
      <c r="F282" t="s">
        <v>41</v>
      </c>
      <c r="G282" t="s">
        <v>1207</v>
      </c>
      <c r="H282">
        <v>10</v>
      </c>
      <c r="J282" t="s">
        <v>91</v>
      </c>
      <c r="K282" t="s">
        <v>318</v>
      </c>
      <c r="L282">
        <v>80.400000000000006</v>
      </c>
      <c r="M282">
        <v>342</v>
      </c>
      <c r="N282" t="s">
        <v>1208</v>
      </c>
      <c r="O282">
        <v>149</v>
      </c>
    </row>
    <row r="283" spans="1:16" x14ac:dyDescent="0.35">
      <c r="A283">
        <v>2024</v>
      </c>
      <c r="B283">
        <v>8</v>
      </c>
      <c r="C283">
        <v>19</v>
      </c>
      <c r="D283">
        <v>780</v>
      </c>
      <c r="E283">
        <v>3</v>
      </c>
      <c r="F283" t="s">
        <v>225</v>
      </c>
      <c r="G283" t="s">
        <v>1209</v>
      </c>
      <c r="H283">
        <v>3</v>
      </c>
      <c r="J283">
        <v>3</v>
      </c>
      <c r="K283">
        <v>3</v>
      </c>
      <c r="L283">
        <v>35.299999999999997</v>
      </c>
      <c r="M283">
        <v>342</v>
      </c>
      <c r="N283" t="s">
        <v>1209</v>
      </c>
      <c r="O283">
        <v>780</v>
      </c>
    </row>
    <row r="284" spans="1:16" x14ac:dyDescent="0.35">
      <c r="A284">
        <v>2024</v>
      </c>
      <c r="B284">
        <v>2</v>
      </c>
      <c r="C284">
        <v>23</v>
      </c>
      <c r="D284">
        <v>637</v>
      </c>
      <c r="E284">
        <v>1</v>
      </c>
      <c r="F284" t="s">
        <v>225</v>
      </c>
      <c r="G284" t="s">
        <v>1216</v>
      </c>
      <c r="H284">
        <v>2</v>
      </c>
      <c r="J284" t="s">
        <v>21</v>
      </c>
      <c r="K284">
        <v>2</v>
      </c>
      <c r="L284">
        <v>42.1</v>
      </c>
      <c r="M284">
        <v>343</v>
      </c>
      <c r="N284" t="s">
        <v>1209</v>
      </c>
      <c r="O284">
        <v>637</v>
      </c>
    </row>
    <row r="285" spans="1:16" x14ac:dyDescent="0.35">
      <c r="A285">
        <v>2024</v>
      </c>
      <c r="B285">
        <v>2</v>
      </c>
      <c r="C285">
        <v>23</v>
      </c>
      <c r="D285">
        <v>637</v>
      </c>
      <c r="E285">
        <v>1</v>
      </c>
      <c r="F285" t="s">
        <v>225</v>
      </c>
      <c r="G285" t="s">
        <v>1216</v>
      </c>
      <c r="H285">
        <v>2</v>
      </c>
      <c r="J285" t="s">
        <v>21</v>
      </c>
      <c r="K285">
        <v>2</v>
      </c>
      <c r="L285">
        <v>42.1</v>
      </c>
      <c r="M285">
        <v>343</v>
      </c>
      <c r="N285" t="s">
        <v>1209</v>
      </c>
      <c r="O285">
        <v>637</v>
      </c>
    </row>
    <row r="286" spans="1:16" x14ac:dyDescent="0.35">
      <c r="A286">
        <v>2023</v>
      </c>
      <c r="B286">
        <v>11</v>
      </c>
      <c r="C286">
        <v>2</v>
      </c>
      <c r="D286">
        <v>527</v>
      </c>
      <c r="E286">
        <v>4</v>
      </c>
      <c r="F286" t="s">
        <v>45</v>
      </c>
      <c r="G286" t="s">
        <v>1208</v>
      </c>
      <c r="H286">
        <v>12</v>
      </c>
      <c r="J286" t="s">
        <v>615</v>
      </c>
      <c r="K286" t="s">
        <v>317</v>
      </c>
      <c r="L286">
        <v>26.4</v>
      </c>
      <c r="M286">
        <v>344</v>
      </c>
      <c r="N286" t="s">
        <v>1210</v>
      </c>
      <c r="O286">
        <v>527</v>
      </c>
    </row>
    <row r="287" spans="1:16" x14ac:dyDescent="0.35">
      <c r="A287">
        <v>2024</v>
      </c>
      <c r="B287">
        <v>1</v>
      </c>
      <c r="C287">
        <v>14</v>
      </c>
      <c r="D287">
        <v>610</v>
      </c>
      <c r="E287">
        <v>1</v>
      </c>
      <c r="F287" t="s">
        <v>45</v>
      </c>
      <c r="G287" t="s">
        <v>1208</v>
      </c>
      <c r="H287">
        <v>13</v>
      </c>
      <c r="J287" t="s">
        <v>977</v>
      </c>
      <c r="K287" t="s">
        <v>317</v>
      </c>
      <c r="L287">
        <v>34.4</v>
      </c>
      <c r="M287">
        <v>344</v>
      </c>
      <c r="N287" t="s">
        <v>1210</v>
      </c>
      <c r="O287">
        <v>610</v>
      </c>
    </row>
    <row r="288" spans="1:16" x14ac:dyDescent="0.35">
      <c r="A288">
        <v>2017</v>
      </c>
      <c r="B288">
        <v>11</v>
      </c>
      <c r="C288">
        <v>9</v>
      </c>
      <c r="D288">
        <v>82</v>
      </c>
      <c r="E288">
        <v>4</v>
      </c>
      <c r="F288" t="s">
        <v>45</v>
      </c>
      <c r="G288" t="s">
        <v>1208</v>
      </c>
      <c r="H288">
        <v>6</v>
      </c>
      <c r="J288" t="s">
        <v>317</v>
      </c>
      <c r="K288" t="s">
        <v>317</v>
      </c>
      <c r="L288">
        <v>29.4</v>
      </c>
      <c r="M288">
        <v>345</v>
      </c>
      <c r="N288" t="s">
        <v>1210</v>
      </c>
      <c r="O288">
        <v>82</v>
      </c>
    </row>
    <row r="289" spans="1:15" x14ac:dyDescent="0.35">
      <c r="A289">
        <v>2023</v>
      </c>
      <c r="B289">
        <v>7</v>
      </c>
      <c r="C289">
        <v>17</v>
      </c>
      <c r="D289">
        <v>395</v>
      </c>
      <c r="E289">
        <v>3</v>
      </c>
      <c r="F289" t="s">
        <v>45</v>
      </c>
      <c r="G289" t="s">
        <v>1208</v>
      </c>
      <c r="H289">
        <v>12</v>
      </c>
      <c r="J289" t="s">
        <v>632</v>
      </c>
      <c r="K289" t="s">
        <v>317</v>
      </c>
      <c r="L289">
        <v>26.2</v>
      </c>
      <c r="M289">
        <v>345</v>
      </c>
      <c r="N289" t="s">
        <v>1210</v>
      </c>
      <c r="O289">
        <v>395</v>
      </c>
    </row>
    <row r="290" spans="1:15" x14ac:dyDescent="0.35">
      <c r="A290">
        <v>2024</v>
      </c>
      <c r="B290">
        <v>1</v>
      </c>
      <c r="C290">
        <v>19</v>
      </c>
      <c r="D290">
        <v>580</v>
      </c>
      <c r="E290">
        <v>1</v>
      </c>
      <c r="F290" t="s">
        <v>41</v>
      </c>
      <c r="G290" t="s">
        <v>1207</v>
      </c>
      <c r="H290">
        <v>11</v>
      </c>
      <c r="J290" t="s">
        <v>42</v>
      </c>
      <c r="K290" t="s">
        <v>318</v>
      </c>
      <c r="L290">
        <v>41</v>
      </c>
      <c r="M290">
        <v>345</v>
      </c>
      <c r="N290" t="s">
        <v>1208</v>
      </c>
      <c r="O290">
        <v>580</v>
      </c>
    </row>
    <row r="291" spans="1:15" x14ac:dyDescent="0.35">
      <c r="A291">
        <v>2019</v>
      </c>
      <c r="B291">
        <v>2</v>
      </c>
      <c r="C291">
        <v>21</v>
      </c>
      <c r="D291">
        <v>156</v>
      </c>
      <c r="E291">
        <v>1</v>
      </c>
      <c r="F291" t="s">
        <v>45</v>
      </c>
      <c r="G291" t="s">
        <v>1208</v>
      </c>
      <c r="H291">
        <v>8</v>
      </c>
      <c r="J291" t="s">
        <v>602</v>
      </c>
      <c r="K291" t="s">
        <v>317</v>
      </c>
      <c r="L291">
        <v>37.5</v>
      </c>
      <c r="M291">
        <v>346</v>
      </c>
      <c r="N291" t="s">
        <v>1210</v>
      </c>
      <c r="O291">
        <v>156</v>
      </c>
    </row>
    <row r="292" spans="1:15" x14ac:dyDescent="0.35">
      <c r="A292">
        <v>2024</v>
      </c>
      <c r="B292">
        <v>3</v>
      </c>
      <c r="C292">
        <v>28</v>
      </c>
      <c r="D292">
        <v>655</v>
      </c>
      <c r="E292">
        <v>2</v>
      </c>
      <c r="F292" t="s">
        <v>41</v>
      </c>
      <c r="G292" t="s">
        <v>1207</v>
      </c>
      <c r="H292">
        <v>11</v>
      </c>
      <c r="J292" t="s">
        <v>49</v>
      </c>
      <c r="K292" t="s">
        <v>318</v>
      </c>
      <c r="L292">
        <v>35.6</v>
      </c>
      <c r="M292">
        <v>346</v>
      </c>
      <c r="N292" t="s">
        <v>1208</v>
      </c>
      <c r="O292">
        <v>655</v>
      </c>
    </row>
    <row r="293" spans="1:15" x14ac:dyDescent="0.35">
      <c r="A293">
        <v>2023</v>
      </c>
      <c r="B293">
        <v>7</v>
      </c>
      <c r="C293">
        <v>17</v>
      </c>
      <c r="D293">
        <v>379</v>
      </c>
      <c r="E293">
        <v>3</v>
      </c>
      <c r="F293" t="s">
        <v>45</v>
      </c>
      <c r="G293" t="s">
        <v>1208</v>
      </c>
      <c r="H293">
        <v>12</v>
      </c>
      <c r="J293" t="s">
        <v>46</v>
      </c>
      <c r="K293" t="s">
        <v>317</v>
      </c>
      <c r="L293">
        <v>31.6</v>
      </c>
      <c r="M293">
        <v>347</v>
      </c>
      <c r="N293" t="s">
        <v>1210</v>
      </c>
      <c r="O293">
        <v>379</v>
      </c>
    </row>
    <row r="294" spans="1:15" x14ac:dyDescent="0.35">
      <c r="A294">
        <v>2024</v>
      </c>
      <c r="B294">
        <v>3</v>
      </c>
      <c r="C294">
        <v>13</v>
      </c>
      <c r="D294">
        <v>668</v>
      </c>
      <c r="E294">
        <v>2</v>
      </c>
      <c r="F294" t="s">
        <v>226</v>
      </c>
      <c r="G294" t="s">
        <v>1211</v>
      </c>
      <c r="H294">
        <v>7</v>
      </c>
      <c r="J294" t="s">
        <v>1088</v>
      </c>
      <c r="K294">
        <v>7</v>
      </c>
      <c r="L294">
        <v>38.299999999999997</v>
      </c>
      <c r="M294">
        <v>347</v>
      </c>
      <c r="N294" t="s">
        <v>1211</v>
      </c>
      <c r="O294">
        <v>668</v>
      </c>
    </row>
    <row r="295" spans="1:15" x14ac:dyDescent="0.35">
      <c r="A295">
        <v>2024</v>
      </c>
      <c r="B295">
        <v>8</v>
      </c>
      <c r="C295">
        <v>8</v>
      </c>
      <c r="D295">
        <v>706</v>
      </c>
      <c r="E295">
        <v>3</v>
      </c>
      <c r="F295" t="s">
        <v>45</v>
      </c>
      <c r="G295" t="s">
        <v>1208</v>
      </c>
      <c r="H295">
        <v>13</v>
      </c>
      <c r="J295" t="s">
        <v>632</v>
      </c>
      <c r="K295" t="s">
        <v>317</v>
      </c>
      <c r="L295">
        <v>33.4</v>
      </c>
      <c r="M295">
        <v>348</v>
      </c>
      <c r="N295" t="s">
        <v>1210</v>
      </c>
      <c r="O295">
        <v>706</v>
      </c>
    </row>
    <row r="296" spans="1:15" x14ac:dyDescent="0.35">
      <c r="A296">
        <v>2016</v>
      </c>
      <c r="B296">
        <v>9</v>
      </c>
      <c r="C296">
        <v>1</v>
      </c>
      <c r="D296">
        <v>260</v>
      </c>
      <c r="E296">
        <v>3</v>
      </c>
      <c r="F296" t="s">
        <v>45</v>
      </c>
      <c r="G296" t="s">
        <v>1208</v>
      </c>
      <c r="H296">
        <v>5</v>
      </c>
      <c r="J296" t="s">
        <v>718</v>
      </c>
      <c r="K296" t="s">
        <v>317</v>
      </c>
      <c r="L296">
        <v>37.200000000000003</v>
      </c>
      <c r="M296">
        <v>349</v>
      </c>
      <c r="N296" t="s">
        <v>1210</v>
      </c>
      <c r="O296">
        <v>260</v>
      </c>
    </row>
    <row r="297" spans="1:15" x14ac:dyDescent="0.35">
      <c r="A297">
        <v>2024</v>
      </c>
      <c r="B297">
        <v>6</v>
      </c>
      <c r="C297">
        <v>19</v>
      </c>
      <c r="D297">
        <v>801</v>
      </c>
      <c r="E297">
        <v>3</v>
      </c>
      <c r="F297" t="s">
        <v>225</v>
      </c>
      <c r="G297" t="s">
        <v>1209</v>
      </c>
      <c r="H297">
        <v>3</v>
      </c>
      <c r="J297" t="s">
        <v>1162</v>
      </c>
      <c r="K297">
        <v>3</v>
      </c>
      <c r="L297">
        <v>45.8</v>
      </c>
      <c r="M297">
        <v>349</v>
      </c>
      <c r="N297" t="s">
        <v>1209</v>
      </c>
      <c r="O297">
        <v>801</v>
      </c>
    </row>
    <row r="298" spans="1:15" x14ac:dyDescent="0.35">
      <c r="A298">
        <v>2019</v>
      </c>
      <c r="B298">
        <v>8</v>
      </c>
      <c r="C298">
        <v>5</v>
      </c>
      <c r="D298">
        <v>311</v>
      </c>
      <c r="E298">
        <v>3</v>
      </c>
      <c r="F298" t="s">
        <v>20</v>
      </c>
      <c r="G298" t="s">
        <v>1214</v>
      </c>
      <c r="H298">
        <v>1</v>
      </c>
      <c r="J298" t="s">
        <v>778</v>
      </c>
      <c r="K298">
        <v>6</v>
      </c>
      <c r="L298">
        <v>38.200000000000003</v>
      </c>
      <c r="M298">
        <v>350</v>
      </c>
      <c r="N298" t="s">
        <v>1214</v>
      </c>
      <c r="O298">
        <v>311</v>
      </c>
    </row>
    <row r="299" spans="1:15" x14ac:dyDescent="0.35">
      <c r="A299">
        <v>2024</v>
      </c>
      <c r="B299">
        <v>1</v>
      </c>
      <c r="C299">
        <v>18</v>
      </c>
      <c r="D299">
        <v>559</v>
      </c>
      <c r="E299">
        <v>1</v>
      </c>
      <c r="F299" t="s">
        <v>41</v>
      </c>
      <c r="G299" t="s">
        <v>1212</v>
      </c>
      <c r="H299">
        <v>12</v>
      </c>
      <c r="J299" t="s">
        <v>541</v>
      </c>
      <c r="K299" t="s">
        <v>461</v>
      </c>
      <c r="L299">
        <v>31.1</v>
      </c>
      <c r="M299">
        <v>350</v>
      </c>
      <c r="N299" t="s">
        <v>1208</v>
      </c>
      <c r="O299">
        <v>559</v>
      </c>
    </row>
    <row r="300" spans="1:15" x14ac:dyDescent="0.35">
      <c r="A300">
        <v>2024</v>
      </c>
      <c r="B300">
        <v>8</v>
      </c>
      <c r="C300">
        <v>19</v>
      </c>
      <c r="D300">
        <v>790</v>
      </c>
      <c r="E300">
        <v>3</v>
      </c>
      <c r="F300" t="s">
        <v>225</v>
      </c>
      <c r="G300" t="s">
        <v>1209</v>
      </c>
      <c r="H300">
        <v>3</v>
      </c>
      <c r="J300">
        <v>3</v>
      </c>
      <c r="K300">
        <v>3</v>
      </c>
      <c r="L300">
        <v>64.099999999999994</v>
      </c>
      <c r="M300">
        <v>350</v>
      </c>
      <c r="N300" t="s">
        <v>1209</v>
      </c>
      <c r="O300">
        <v>790</v>
      </c>
    </row>
    <row r="301" spans="1:15" x14ac:dyDescent="0.35">
      <c r="A301">
        <v>2023</v>
      </c>
      <c r="B301">
        <v>7</v>
      </c>
      <c r="C301">
        <v>17</v>
      </c>
      <c r="D301">
        <v>397</v>
      </c>
      <c r="E301">
        <v>3</v>
      </c>
      <c r="F301" t="s">
        <v>45</v>
      </c>
      <c r="G301" t="s">
        <v>1208</v>
      </c>
      <c r="H301">
        <v>12</v>
      </c>
      <c r="J301" t="s">
        <v>632</v>
      </c>
      <c r="K301" t="s">
        <v>317</v>
      </c>
      <c r="L301">
        <v>31.2</v>
      </c>
      <c r="M301">
        <v>351</v>
      </c>
      <c r="N301" t="s">
        <v>1210</v>
      </c>
      <c r="O301">
        <v>397</v>
      </c>
    </row>
    <row r="302" spans="1:15" x14ac:dyDescent="0.35">
      <c r="A302">
        <v>2024</v>
      </c>
      <c r="B302">
        <v>1</v>
      </c>
      <c r="C302">
        <v>19</v>
      </c>
      <c r="D302">
        <v>579</v>
      </c>
      <c r="E302">
        <v>1</v>
      </c>
      <c r="F302" t="s">
        <v>41</v>
      </c>
      <c r="G302" t="s">
        <v>1207</v>
      </c>
      <c r="H302">
        <v>11</v>
      </c>
      <c r="J302" t="s">
        <v>42</v>
      </c>
      <c r="K302" t="s">
        <v>318</v>
      </c>
      <c r="L302">
        <v>38</v>
      </c>
      <c r="M302">
        <v>351</v>
      </c>
      <c r="N302" t="s">
        <v>1208</v>
      </c>
      <c r="O302">
        <v>579</v>
      </c>
    </row>
    <row r="303" spans="1:15" x14ac:dyDescent="0.35">
      <c r="A303">
        <v>2024</v>
      </c>
      <c r="B303">
        <v>1</v>
      </c>
      <c r="C303">
        <v>19</v>
      </c>
      <c r="D303">
        <v>579</v>
      </c>
      <c r="E303">
        <v>1</v>
      </c>
      <c r="F303" t="s">
        <v>41</v>
      </c>
      <c r="G303" t="s">
        <v>1207</v>
      </c>
      <c r="H303">
        <v>11</v>
      </c>
      <c r="J303" t="s">
        <v>42</v>
      </c>
      <c r="K303" t="s">
        <v>318</v>
      </c>
      <c r="L303">
        <v>38</v>
      </c>
      <c r="M303">
        <v>351</v>
      </c>
      <c r="N303" t="s">
        <v>1208</v>
      </c>
      <c r="O303">
        <v>579</v>
      </c>
    </row>
    <row r="304" spans="1:15" x14ac:dyDescent="0.35">
      <c r="A304">
        <v>2021</v>
      </c>
      <c r="B304" t="s">
        <v>28</v>
      </c>
      <c r="C304" t="s">
        <v>28</v>
      </c>
      <c r="D304">
        <v>12</v>
      </c>
      <c r="E304" t="s">
        <v>28</v>
      </c>
      <c r="F304" t="s">
        <v>45</v>
      </c>
      <c r="G304" t="s">
        <v>1208</v>
      </c>
      <c r="H304">
        <v>10</v>
      </c>
      <c r="J304" t="s">
        <v>317</v>
      </c>
      <c r="K304" t="s">
        <v>317</v>
      </c>
      <c r="L304">
        <v>39.6</v>
      </c>
      <c r="M304">
        <v>352</v>
      </c>
      <c r="N304" t="s">
        <v>1210</v>
      </c>
      <c r="O304">
        <v>12</v>
      </c>
    </row>
    <row r="305" spans="1:16" x14ac:dyDescent="0.35">
      <c r="A305">
        <v>2024</v>
      </c>
      <c r="B305">
        <v>1</v>
      </c>
      <c r="C305">
        <v>22</v>
      </c>
      <c r="D305">
        <v>602</v>
      </c>
      <c r="E305">
        <v>1</v>
      </c>
      <c r="F305" t="s">
        <v>20</v>
      </c>
      <c r="G305" t="s">
        <v>1213</v>
      </c>
      <c r="H305">
        <v>4</v>
      </c>
      <c r="J305" t="s">
        <v>233</v>
      </c>
      <c r="K305">
        <v>37</v>
      </c>
      <c r="L305">
        <v>42.6</v>
      </c>
      <c r="M305">
        <v>352</v>
      </c>
      <c r="N305" t="s">
        <v>1214</v>
      </c>
      <c r="O305">
        <v>602</v>
      </c>
    </row>
    <row r="306" spans="1:16" x14ac:dyDescent="0.35">
      <c r="A306">
        <v>2016</v>
      </c>
      <c r="B306">
        <v>9</v>
      </c>
      <c r="C306">
        <v>2</v>
      </c>
      <c r="D306">
        <v>291</v>
      </c>
      <c r="E306">
        <v>3</v>
      </c>
      <c r="F306" t="s">
        <v>41</v>
      </c>
      <c r="G306" t="s">
        <v>1207</v>
      </c>
      <c r="H306">
        <v>3</v>
      </c>
      <c r="J306" t="s">
        <v>42</v>
      </c>
      <c r="K306" t="s">
        <v>318</v>
      </c>
      <c r="L306">
        <v>37.299999999999997</v>
      </c>
      <c r="M306">
        <v>353</v>
      </c>
      <c r="N306" t="s">
        <v>1208</v>
      </c>
      <c r="O306">
        <v>291</v>
      </c>
      <c r="P306">
        <v>9.8000000000000007</v>
      </c>
    </row>
    <row r="307" spans="1:16" x14ac:dyDescent="0.35">
      <c r="A307">
        <v>2024</v>
      </c>
      <c r="B307">
        <v>1</v>
      </c>
      <c r="C307">
        <v>17</v>
      </c>
      <c r="D307">
        <v>567</v>
      </c>
      <c r="E307">
        <v>1</v>
      </c>
      <c r="F307" t="s">
        <v>41</v>
      </c>
      <c r="G307" t="s">
        <v>1207</v>
      </c>
      <c r="H307">
        <v>11</v>
      </c>
      <c r="J307" t="s">
        <v>42</v>
      </c>
      <c r="K307" t="s">
        <v>318</v>
      </c>
      <c r="L307">
        <v>40.9</v>
      </c>
      <c r="M307">
        <v>353</v>
      </c>
      <c r="N307" t="s">
        <v>1208</v>
      </c>
      <c r="O307">
        <v>567</v>
      </c>
    </row>
    <row r="308" spans="1:16" x14ac:dyDescent="0.35">
      <c r="A308">
        <v>2019</v>
      </c>
      <c r="B308">
        <v>11</v>
      </c>
      <c r="C308">
        <v>27</v>
      </c>
      <c r="D308">
        <v>46</v>
      </c>
      <c r="E308">
        <v>4</v>
      </c>
      <c r="F308" t="s">
        <v>45</v>
      </c>
      <c r="G308" t="s">
        <v>1215</v>
      </c>
      <c r="H308">
        <v>10</v>
      </c>
      <c r="J308" t="s">
        <v>488</v>
      </c>
      <c r="K308" t="s">
        <v>488</v>
      </c>
      <c r="L308">
        <v>44.2</v>
      </c>
      <c r="M308">
        <v>354</v>
      </c>
      <c r="N308" t="s">
        <v>1210</v>
      </c>
      <c r="O308">
        <v>46</v>
      </c>
    </row>
    <row r="309" spans="1:16" x14ac:dyDescent="0.35">
      <c r="A309">
        <v>2018</v>
      </c>
      <c r="B309">
        <v>8</v>
      </c>
      <c r="C309">
        <v>16</v>
      </c>
      <c r="D309">
        <v>332</v>
      </c>
      <c r="E309">
        <v>3</v>
      </c>
      <c r="F309" t="s">
        <v>45</v>
      </c>
      <c r="G309" t="s">
        <v>1208</v>
      </c>
      <c r="H309">
        <v>7</v>
      </c>
      <c r="J309" t="s">
        <v>632</v>
      </c>
      <c r="K309" t="s">
        <v>317</v>
      </c>
      <c r="L309">
        <v>32.6</v>
      </c>
      <c r="M309">
        <v>354</v>
      </c>
      <c r="N309" t="s">
        <v>1210</v>
      </c>
      <c r="O309">
        <v>332</v>
      </c>
    </row>
    <row r="310" spans="1:16" x14ac:dyDescent="0.35">
      <c r="A310">
        <v>2024</v>
      </c>
      <c r="B310">
        <v>1</v>
      </c>
      <c r="C310">
        <v>24</v>
      </c>
      <c r="D310">
        <v>550</v>
      </c>
      <c r="E310">
        <v>1</v>
      </c>
      <c r="F310" t="s">
        <v>20</v>
      </c>
      <c r="G310" t="s">
        <v>1214</v>
      </c>
      <c r="H310">
        <v>6</v>
      </c>
      <c r="J310" t="s">
        <v>998</v>
      </c>
      <c r="K310">
        <v>6</v>
      </c>
      <c r="L310">
        <v>44.9</v>
      </c>
      <c r="M310">
        <v>354</v>
      </c>
      <c r="N310" t="s">
        <v>1214</v>
      </c>
      <c r="O310">
        <v>550</v>
      </c>
    </row>
    <row r="311" spans="1:16" x14ac:dyDescent="0.35">
      <c r="A311">
        <v>2024</v>
      </c>
      <c r="B311">
        <v>8</v>
      </c>
      <c r="C311">
        <v>13</v>
      </c>
      <c r="D311">
        <v>759</v>
      </c>
      <c r="E311">
        <v>3</v>
      </c>
      <c r="F311" t="s">
        <v>225</v>
      </c>
      <c r="G311" t="s">
        <v>1209</v>
      </c>
      <c r="H311">
        <v>3</v>
      </c>
      <c r="J311" t="s">
        <v>1076</v>
      </c>
      <c r="K311">
        <v>3</v>
      </c>
      <c r="L311">
        <v>39.9</v>
      </c>
      <c r="M311">
        <v>354</v>
      </c>
      <c r="N311" t="s">
        <v>1209</v>
      </c>
      <c r="O311">
        <v>759</v>
      </c>
    </row>
    <row r="312" spans="1:16" x14ac:dyDescent="0.35">
      <c r="A312">
        <v>2022</v>
      </c>
      <c r="B312">
        <v>3</v>
      </c>
      <c r="C312" t="s">
        <v>28</v>
      </c>
      <c r="D312">
        <v>8</v>
      </c>
      <c r="E312">
        <v>2</v>
      </c>
      <c r="F312" t="s">
        <v>20</v>
      </c>
      <c r="G312" t="s">
        <v>1217</v>
      </c>
      <c r="H312">
        <v>3</v>
      </c>
      <c r="J312">
        <v>23</v>
      </c>
      <c r="K312">
        <v>23</v>
      </c>
      <c r="L312">
        <v>39.5</v>
      </c>
      <c r="M312">
        <v>355</v>
      </c>
      <c r="N312" t="s">
        <v>1214</v>
      </c>
      <c r="O312">
        <v>8</v>
      </c>
    </row>
    <row r="313" spans="1:16" x14ac:dyDescent="0.35">
      <c r="A313">
        <v>2022</v>
      </c>
      <c r="B313">
        <v>11</v>
      </c>
      <c r="C313">
        <v>7</v>
      </c>
      <c r="D313">
        <v>117</v>
      </c>
      <c r="E313">
        <v>4</v>
      </c>
      <c r="F313" t="s">
        <v>41</v>
      </c>
      <c r="G313" t="s">
        <v>1212</v>
      </c>
      <c r="H313">
        <v>10</v>
      </c>
      <c r="J313" t="s">
        <v>461</v>
      </c>
      <c r="K313" t="s">
        <v>461</v>
      </c>
      <c r="L313">
        <v>36.1</v>
      </c>
      <c r="M313">
        <v>355</v>
      </c>
      <c r="N313" t="s">
        <v>1208</v>
      </c>
      <c r="O313">
        <v>117</v>
      </c>
    </row>
    <row r="314" spans="1:16" x14ac:dyDescent="0.35">
      <c r="A314">
        <v>2016</v>
      </c>
      <c r="B314">
        <v>11</v>
      </c>
      <c r="C314">
        <v>16</v>
      </c>
      <c r="D314">
        <v>180</v>
      </c>
      <c r="E314">
        <v>4</v>
      </c>
      <c r="F314" t="s">
        <v>41</v>
      </c>
      <c r="G314" t="s">
        <v>1207</v>
      </c>
      <c r="H314">
        <v>3</v>
      </c>
      <c r="J314" t="s">
        <v>49</v>
      </c>
      <c r="K314" t="s">
        <v>318</v>
      </c>
      <c r="L314">
        <v>37.1</v>
      </c>
      <c r="M314">
        <v>355</v>
      </c>
      <c r="N314" t="s">
        <v>1208</v>
      </c>
      <c r="O314">
        <v>180</v>
      </c>
    </row>
    <row r="315" spans="1:16" x14ac:dyDescent="0.35">
      <c r="A315">
        <v>2023</v>
      </c>
      <c r="B315">
        <v>7</v>
      </c>
      <c r="C315">
        <v>17</v>
      </c>
      <c r="D315">
        <v>389</v>
      </c>
      <c r="E315">
        <v>3</v>
      </c>
      <c r="F315" t="s">
        <v>45</v>
      </c>
      <c r="G315" t="s">
        <v>1208</v>
      </c>
      <c r="H315">
        <v>12</v>
      </c>
      <c r="J315" t="s">
        <v>632</v>
      </c>
      <c r="K315" t="s">
        <v>317</v>
      </c>
      <c r="L315">
        <v>31.8</v>
      </c>
      <c r="M315">
        <v>355</v>
      </c>
      <c r="N315" t="s">
        <v>1210</v>
      </c>
      <c r="O315">
        <v>389</v>
      </c>
    </row>
    <row r="316" spans="1:16" x14ac:dyDescent="0.35">
      <c r="A316">
        <v>2024</v>
      </c>
      <c r="B316">
        <v>3</v>
      </c>
      <c r="C316">
        <v>12</v>
      </c>
      <c r="D316">
        <v>686</v>
      </c>
      <c r="E316">
        <v>2</v>
      </c>
      <c r="F316" t="s">
        <v>45</v>
      </c>
      <c r="G316" t="s">
        <v>1208</v>
      </c>
      <c r="H316">
        <v>13</v>
      </c>
      <c r="J316" t="s">
        <v>1105</v>
      </c>
      <c r="K316" t="s">
        <v>317</v>
      </c>
      <c r="L316">
        <v>39.799999999999997</v>
      </c>
      <c r="M316">
        <v>355</v>
      </c>
      <c r="N316" t="s">
        <v>1210</v>
      </c>
      <c r="O316">
        <v>686</v>
      </c>
    </row>
    <row r="317" spans="1:16" x14ac:dyDescent="0.35">
      <c r="A317">
        <v>2024</v>
      </c>
      <c r="B317">
        <v>8</v>
      </c>
      <c r="C317">
        <v>6</v>
      </c>
      <c r="D317">
        <v>704</v>
      </c>
      <c r="E317">
        <v>3</v>
      </c>
      <c r="F317" t="s">
        <v>20</v>
      </c>
      <c r="G317" t="s">
        <v>1213</v>
      </c>
      <c r="H317">
        <v>4</v>
      </c>
      <c r="J317" t="s">
        <v>233</v>
      </c>
      <c r="K317">
        <v>37</v>
      </c>
      <c r="L317">
        <v>34.6</v>
      </c>
      <c r="M317">
        <v>355</v>
      </c>
      <c r="N317" t="s">
        <v>1214</v>
      </c>
      <c r="O317">
        <v>704</v>
      </c>
    </row>
    <row r="318" spans="1:16" x14ac:dyDescent="0.35">
      <c r="A318">
        <v>2019</v>
      </c>
      <c r="B318">
        <v>8</v>
      </c>
      <c r="C318">
        <v>9</v>
      </c>
      <c r="D318">
        <v>314</v>
      </c>
      <c r="E318">
        <v>3</v>
      </c>
      <c r="F318" t="s">
        <v>45</v>
      </c>
      <c r="G318" t="s">
        <v>1208</v>
      </c>
      <c r="H318">
        <v>8</v>
      </c>
      <c r="J318" t="s">
        <v>317</v>
      </c>
      <c r="K318" t="s">
        <v>317</v>
      </c>
      <c r="L318">
        <v>27.6</v>
      </c>
      <c r="M318">
        <v>356</v>
      </c>
      <c r="N318" t="s">
        <v>1210</v>
      </c>
      <c r="O318">
        <v>314</v>
      </c>
    </row>
    <row r="319" spans="1:16" x14ac:dyDescent="0.35">
      <c r="A319">
        <v>2019</v>
      </c>
      <c r="B319">
        <v>8</v>
      </c>
      <c r="C319">
        <v>9</v>
      </c>
      <c r="D319">
        <v>314</v>
      </c>
      <c r="E319">
        <v>3</v>
      </c>
      <c r="F319" t="s">
        <v>45</v>
      </c>
      <c r="G319" t="s">
        <v>1208</v>
      </c>
      <c r="H319">
        <v>8</v>
      </c>
      <c r="J319" t="s">
        <v>317</v>
      </c>
      <c r="K319" t="s">
        <v>317</v>
      </c>
      <c r="L319">
        <v>27.6</v>
      </c>
      <c r="M319">
        <v>356</v>
      </c>
      <c r="N319" t="s">
        <v>1210</v>
      </c>
      <c r="O319">
        <v>314</v>
      </c>
    </row>
    <row r="320" spans="1:16" x14ac:dyDescent="0.35">
      <c r="A320">
        <v>2018</v>
      </c>
      <c r="B320">
        <v>8</v>
      </c>
      <c r="C320">
        <v>16</v>
      </c>
      <c r="D320">
        <v>327</v>
      </c>
      <c r="E320">
        <v>3</v>
      </c>
      <c r="F320" t="s">
        <v>45</v>
      </c>
      <c r="G320" t="s">
        <v>1208</v>
      </c>
      <c r="H320">
        <v>7</v>
      </c>
      <c r="J320" t="s">
        <v>647</v>
      </c>
      <c r="K320" t="s">
        <v>317</v>
      </c>
      <c r="L320">
        <v>37.799999999999997</v>
      </c>
      <c r="M320">
        <v>356</v>
      </c>
      <c r="N320" t="s">
        <v>1210</v>
      </c>
      <c r="O320">
        <v>327</v>
      </c>
    </row>
    <row r="321" spans="1:15" x14ac:dyDescent="0.35">
      <c r="A321">
        <v>2023</v>
      </c>
      <c r="B321">
        <v>11</v>
      </c>
      <c r="C321">
        <v>7</v>
      </c>
      <c r="D321">
        <v>503</v>
      </c>
      <c r="E321">
        <v>4</v>
      </c>
      <c r="F321" t="s">
        <v>41</v>
      </c>
      <c r="G321" t="s">
        <v>1212</v>
      </c>
      <c r="H321">
        <v>11</v>
      </c>
      <c r="J321" t="s">
        <v>958</v>
      </c>
      <c r="K321" t="s">
        <v>461</v>
      </c>
      <c r="L321">
        <v>34.5</v>
      </c>
      <c r="M321">
        <v>357</v>
      </c>
      <c r="N321" t="s">
        <v>1208</v>
      </c>
      <c r="O321">
        <v>503</v>
      </c>
    </row>
    <row r="322" spans="1:15" x14ac:dyDescent="0.35">
      <c r="A322">
        <v>2024</v>
      </c>
      <c r="B322">
        <v>8</v>
      </c>
      <c r="C322">
        <v>19</v>
      </c>
      <c r="D322">
        <v>743</v>
      </c>
      <c r="E322">
        <v>3</v>
      </c>
      <c r="F322" t="s">
        <v>225</v>
      </c>
      <c r="G322" t="s">
        <v>1209</v>
      </c>
      <c r="H322">
        <v>3</v>
      </c>
      <c r="J322">
        <v>3</v>
      </c>
      <c r="K322">
        <v>3</v>
      </c>
      <c r="L322">
        <v>45.2</v>
      </c>
      <c r="M322">
        <v>357</v>
      </c>
      <c r="N322" t="s">
        <v>1209</v>
      </c>
      <c r="O322">
        <v>743</v>
      </c>
    </row>
    <row r="323" spans="1:15" x14ac:dyDescent="0.35">
      <c r="A323">
        <v>2017</v>
      </c>
      <c r="B323">
        <v>11</v>
      </c>
      <c r="C323">
        <v>9</v>
      </c>
      <c r="D323">
        <v>80</v>
      </c>
      <c r="E323">
        <v>4</v>
      </c>
      <c r="F323" t="s">
        <v>45</v>
      </c>
      <c r="G323" t="s">
        <v>1208</v>
      </c>
      <c r="H323">
        <v>6</v>
      </c>
      <c r="J323" t="s">
        <v>317</v>
      </c>
      <c r="K323" t="s">
        <v>317</v>
      </c>
      <c r="L323">
        <v>37.9</v>
      </c>
      <c r="M323">
        <v>358</v>
      </c>
      <c r="N323" t="s">
        <v>1210</v>
      </c>
      <c r="O323">
        <v>80</v>
      </c>
    </row>
    <row r="324" spans="1:15" x14ac:dyDescent="0.35">
      <c r="A324">
        <v>2019</v>
      </c>
      <c r="B324">
        <v>8</v>
      </c>
      <c r="C324">
        <v>6</v>
      </c>
      <c r="D324">
        <v>316</v>
      </c>
      <c r="E324">
        <v>3</v>
      </c>
      <c r="F324" t="s">
        <v>226</v>
      </c>
      <c r="G324" t="s">
        <v>1211</v>
      </c>
      <c r="H324">
        <v>2</v>
      </c>
      <c r="J324" t="s">
        <v>783</v>
      </c>
      <c r="K324">
        <v>7</v>
      </c>
      <c r="L324">
        <v>37.299999999999997</v>
      </c>
      <c r="M324">
        <v>360</v>
      </c>
      <c r="N324" t="s">
        <v>1211</v>
      </c>
      <c r="O324">
        <v>316</v>
      </c>
    </row>
    <row r="325" spans="1:15" x14ac:dyDescent="0.35">
      <c r="A325">
        <v>2024</v>
      </c>
      <c r="B325">
        <v>8</v>
      </c>
      <c r="C325">
        <v>13</v>
      </c>
      <c r="D325">
        <v>716</v>
      </c>
      <c r="E325">
        <v>3</v>
      </c>
      <c r="F325" t="s">
        <v>225</v>
      </c>
      <c r="G325" t="s">
        <v>1216</v>
      </c>
      <c r="H325">
        <v>2</v>
      </c>
      <c r="J325" t="s">
        <v>67</v>
      </c>
      <c r="K325">
        <v>2</v>
      </c>
      <c r="L325">
        <v>43.8</v>
      </c>
      <c r="M325">
        <v>360</v>
      </c>
      <c r="N325" t="s">
        <v>1209</v>
      </c>
      <c r="O325">
        <v>716</v>
      </c>
    </row>
    <row r="326" spans="1:15" x14ac:dyDescent="0.35">
      <c r="A326">
        <v>2016</v>
      </c>
      <c r="B326">
        <v>9</v>
      </c>
      <c r="C326">
        <v>1</v>
      </c>
      <c r="D326">
        <v>238</v>
      </c>
      <c r="E326">
        <v>3</v>
      </c>
      <c r="F326" t="s">
        <v>45</v>
      </c>
      <c r="G326" t="s">
        <v>1208</v>
      </c>
      <c r="H326">
        <v>5</v>
      </c>
      <c r="J326" t="s">
        <v>647</v>
      </c>
      <c r="K326" t="s">
        <v>317</v>
      </c>
      <c r="L326">
        <v>42.3</v>
      </c>
      <c r="M326">
        <v>361</v>
      </c>
      <c r="N326" t="s">
        <v>1210</v>
      </c>
      <c r="O326">
        <v>238</v>
      </c>
    </row>
    <row r="327" spans="1:15" x14ac:dyDescent="0.35">
      <c r="A327">
        <v>2024</v>
      </c>
      <c r="B327">
        <v>8</v>
      </c>
      <c r="C327">
        <v>8</v>
      </c>
      <c r="D327">
        <v>707</v>
      </c>
      <c r="E327">
        <v>3</v>
      </c>
      <c r="F327" t="s">
        <v>45</v>
      </c>
      <c r="G327" t="s">
        <v>1208</v>
      </c>
      <c r="H327">
        <v>13</v>
      </c>
      <c r="J327" t="s">
        <v>632</v>
      </c>
      <c r="K327" t="s">
        <v>317</v>
      </c>
      <c r="L327">
        <v>42.8</v>
      </c>
      <c r="M327">
        <v>362</v>
      </c>
      <c r="N327" t="s">
        <v>1210</v>
      </c>
      <c r="O327">
        <v>707</v>
      </c>
    </row>
    <row r="328" spans="1:15" x14ac:dyDescent="0.35">
      <c r="A328">
        <v>2023</v>
      </c>
      <c r="B328">
        <v>7</v>
      </c>
      <c r="C328">
        <v>17</v>
      </c>
      <c r="D328">
        <v>384</v>
      </c>
      <c r="E328">
        <v>3</v>
      </c>
      <c r="F328" t="s">
        <v>45</v>
      </c>
      <c r="G328" t="s">
        <v>1208</v>
      </c>
      <c r="H328">
        <v>12</v>
      </c>
      <c r="J328" t="s">
        <v>46</v>
      </c>
      <c r="K328" t="s">
        <v>317</v>
      </c>
      <c r="L328">
        <v>32.1</v>
      </c>
      <c r="M328">
        <v>363</v>
      </c>
      <c r="N328" t="s">
        <v>1210</v>
      </c>
      <c r="O328">
        <v>384</v>
      </c>
    </row>
    <row r="329" spans="1:15" x14ac:dyDescent="0.35">
      <c r="A329">
        <v>2023</v>
      </c>
      <c r="B329">
        <v>11</v>
      </c>
      <c r="C329">
        <v>2</v>
      </c>
      <c r="D329">
        <v>524</v>
      </c>
      <c r="E329">
        <v>4</v>
      </c>
      <c r="F329" t="s">
        <v>45</v>
      </c>
      <c r="G329" t="s">
        <v>1208</v>
      </c>
      <c r="H329">
        <v>12</v>
      </c>
      <c r="J329" t="s">
        <v>977</v>
      </c>
      <c r="K329" t="s">
        <v>317</v>
      </c>
      <c r="L329">
        <v>37.9</v>
      </c>
      <c r="M329">
        <v>363</v>
      </c>
      <c r="N329" t="s">
        <v>1210</v>
      </c>
      <c r="O329">
        <v>524</v>
      </c>
    </row>
    <row r="330" spans="1:15" x14ac:dyDescent="0.35">
      <c r="A330">
        <v>2024</v>
      </c>
      <c r="B330">
        <v>1</v>
      </c>
      <c r="C330">
        <v>18</v>
      </c>
      <c r="D330">
        <v>560</v>
      </c>
      <c r="E330">
        <v>1</v>
      </c>
      <c r="F330" t="s">
        <v>41</v>
      </c>
      <c r="G330" t="s">
        <v>1212</v>
      </c>
      <c r="H330">
        <v>12</v>
      </c>
      <c r="J330" t="s">
        <v>541</v>
      </c>
      <c r="K330" t="s">
        <v>461</v>
      </c>
      <c r="L330">
        <v>35.299999999999997</v>
      </c>
      <c r="M330">
        <v>363</v>
      </c>
      <c r="N330" t="s">
        <v>1208</v>
      </c>
      <c r="O330">
        <v>560</v>
      </c>
    </row>
    <row r="331" spans="1:15" x14ac:dyDescent="0.35">
      <c r="A331">
        <v>2024</v>
      </c>
      <c r="B331">
        <v>8</v>
      </c>
      <c r="C331">
        <v>20</v>
      </c>
      <c r="D331">
        <v>724</v>
      </c>
      <c r="E331">
        <v>3</v>
      </c>
      <c r="F331" t="s">
        <v>226</v>
      </c>
      <c r="G331" t="s">
        <v>1211</v>
      </c>
      <c r="H331">
        <v>7</v>
      </c>
      <c r="J331" t="s">
        <v>783</v>
      </c>
      <c r="K331">
        <v>7</v>
      </c>
      <c r="L331">
        <v>40.700000000000003</v>
      </c>
      <c r="M331">
        <v>363</v>
      </c>
      <c r="N331" t="s">
        <v>1211</v>
      </c>
      <c r="O331">
        <v>724</v>
      </c>
    </row>
    <row r="332" spans="1:15" x14ac:dyDescent="0.35">
      <c r="A332">
        <v>2023</v>
      </c>
      <c r="B332">
        <v>8</v>
      </c>
      <c r="C332">
        <v>2</v>
      </c>
      <c r="D332">
        <v>423</v>
      </c>
      <c r="E332">
        <v>3</v>
      </c>
      <c r="F332" t="s">
        <v>226</v>
      </c>
      <c r="G332" t="s">
        <v>1211</v>
      </c>
      <c r="H332">
        <v>6</v>
      </c>
      <c r="J332" t="s">
        <v>64</v>
      </c>
      <c r="K332">
        <v>7</v>
      </c>
      <c r="L332">
        <v>36.4</v>
      </c>
      <c r="M332">
        <v>363.2</v>
      </c>
      <c r="N332" t="s">
        <v>1211</v>
      </c>
      <c r="O332">
        <v>423</v>
      </c>
    </row>
    <row r="333" spans="1:15" x14ac:dyDescent="0.35">
      <c r="A333">
        <v>2022</v>
      </c>
      <c r="B333">
        <v>1</v>
      </c>
      <c r="C333" t="s">
        <v>28</v>
      </c>
      <c r="D333">
        <v>24</v>
      </c>
      <c r="E333">
        <v>1</v>
      </c>
      <c r="F333" t="s">
        <v>20</v>
      </c>
      <c r="G333" t="s">
        <v>1217</v>
      </c>
      <c r="H333">
        <v>3</v>
      </c>
      <c r="J333">
        <v>23</v>
      </c>
      <c r="K333">
        <v>23</v>
      </c>
      <c r="L333">
        <v>44.1</v>
      </c>
      <c r="M333">
        <v>364</v>
      </c>
      <c r="N333" t="s">
        <v>1214</v>
      </c>
      <c r="O333">
        <v>24</v>
      </c>
    </row>
    <row r="334" spans="1:15" x14ac:dyDescent="0.35">
      <c r="A334">
        <v>2023</v>
      </c>
      <c r="B334">
        <v>7</v>
      </c>
      <c r="C334">
        <v>28</v>
      </c>
      <c r="D334">
        <v>438</v>
      </c>
      <c r="E334">
        <v>3</v>
      </c>
      <c r="F334" t="s">
        <v>225</v>
      </c>
      <c r="G334" t="s">
        <v>1209</v>
      </c>
      <c r="H334">
        <v>2</v>
      </c>
      <c r="J334" t="s">
        <v>898</v>
      </c>
      <c r="K334">
        <v>4</v>
      </c>
      <c r="L334">
        <v>51.1</v>
      </c>
      <c r="M334">
        <v>364</v>
      </c>
      <c r="N334" t="s">
        <v>1209</v>
      </c>
      <c r="O334">
        <v>438</v>
      </c>
    </row>
    <row r="335" spans="1:15" x14ac:dyDescent="0.35">
      <c r="A335">
        <v>2024</v>
      </c>
      <c r="B335">
        <v>8</v>
      </c>
      <c r="C335">
        <v>7</v>
      </c>
      <c r="D335">
        <v>806</v>
      </c>
      <c r="E335">
        <v>3</v>
      </c>
      <c r="F335" t="s">
        <v>20</v>
      </c>
      <c r="G335" t="s">
        <v>1214</v>
      </c>
      <c r="H335">
        <v>6</v>
      </c>
      <c r="J335" t="s">
        <v>234</v>
      </c>
      <c r="K335">
        <v>6</v>
      </c>
      <c r="L335">
        <v>40.200000000000003</v>
      </c>
      <c r="M335">
        <v>364</v>
      </c>
      <c r="N335" t="s">
        <v>1214</v>
      </c>
      <c r="O335">
        <v>806</v>
      </c>
    </row>
    <row r="336" spans="1:15" x14ac:dyDescent="0.35">
      <c r="A336">
        <v>2024</v>
      </c>
      <c r="B336">
        <v>8</v>
      </c>
      <c r="C336">
        <v>19</v>
      </c>
      <c r="D336">
        <v>813</v>
      </c>
      <c r="E336">
        <v>3</v>
      </c>
      <c r="F336" t="s">
        <v>225</v>
      </c>
      <c r="G336" t="s">
        <v>1209</v>
      </c>
      <c r="H336">
        <v>3</v>
      </c>
      <c r="J336">
        <v>3</v>
      </c>
      <c r="K336">
        <v>3</v>
      </c>
      <c r="L336">
        <v>58.9</v>
      </c>
      <c r="M336">
        <v>364</v>
      </c>
      <c r="N336" t="s">
        <v>1209</v>
      </c>
      <c r="O336">
        <v>813</v>
      </c>
    </row>
    <row r="337" spans="1:16" x14ac:dyDescent="0.35">
      <c r="A337">
        <v>2021</v>
      </c>
      <c r="B337">
        <v>10</v>
      </c>
      <c r="C337" t="s">
        <v>28</v>
      </c>
      <c r="D337">
        <v>35</v>
      </c>
      <c r="E337">
        <v>4</v>
      </c>
      <c r="F337" t="s">
        <v>41</v>
      </c>
      <c r="G337" t="s">
        <v>1212</v>
      </c>
      <c r="H337">
        <v>9</v>
      </c>
      <c r="J337" t="s">
        <v>461</v>
      </c>
      <c r="K337" t="s">
        <v>461</v>
      </c>
      <c r="L337">
        <v>56.2</v>
      </c>
      <c r="M337">
        <v>365</v>
      </c>
      <c r="N337" t="s">
        <v>1208</v>
      </c>
      <c r="O337">
        <v>35</v>
      </c>
    </row>
    <row r="338" spans="1:16" x14ac:dyDescent="0.35">
      <c r="A338">
        <v>2024</v>
      </c>
      <c r="B338">
        <v>4</v>
      </c>
      <c r="C338">
        <v>8</v>
      </c>
      <c r="D338">
        <v>677</v>
      </c>
      <c r="E338">
        <v>2</v>
      </c>
      <c r="F338" t="s">
        <v>225</v>
      </c>
      <c r="G338" t="s">
        <v>1209</v>
      </c>
      <c r="H338">
        <v>3</v>
      </c>
      <c r="J338" t="s">
        <v>237</v>
      </c>
      <c r="K338">
        <v>3</v>
      </c>
      <c r="L338">
        <v>45.8</v>
      </c>
      <c r="M338">
        <v>365</v>
      </c>
      <c r="N338" t="s">
        <v>1209</v>
      </c>
      <c r="O338">
        <v>677</v>
      </c>
    </row>
    <row r="339" spans="1:16" x14ac:dyDescent="0.35">
      <c r="A339">
        <v>2023</v>
      </c>
      <c r="B339">
        <v>7</v>
      </c>
      <c r="C339">
        <v>18</v>
      </c>
      <c r="D339">
        <v>343</v>
      </c>
      <c r="E339">
        <v>3</v>
      </c>
      <c r="F339" t="s">
        <v>45</v>
      </c>
      <c r="G339" t="s">
        <v>1215</v>
      </c>
      <c r="H339">
        <v>14</v>
      </c>
      <c r="J339" t="s">
        <v>742</v>
      </c>
      <c r="K339" t="s">
        <v>488</v>
      </c>
      <c r="L339">
        <v>34.1</v>
      </c>
      <c r="M339">
        <v>366</v>
      </c>
      <c r="N339" t="s">
        <v>1210</v>
      </c>
      <c r="O339">
        <v>343</v>
      </c>
    </row>
    <row r="340" spans="1:16" x14ac:dyDescent="0.35">
      <c r="A340">
        <v>2021</v>
      </c>
      <c r="B340">
        <v>4</v>
      </c>
      <c r="C340">
        <v>13</v>
      </c>
      <c r="D340">
        <v>493</v>
      </c>
      <c r="E340">
        <v>2</v>
      </c>
      <c r="F340" t="s">
        <v>226</v>
      </c>
      <c r="G340" t="s">
        <v>1214</v>
      </c>
      <c r="H340">
        <v>3</v>
      </c>
      <c r="J340" t="s">
        <v>51</v>
      </c>
      <c r="K340" t="s">
        <v>942</v>
      </c>
      <c r="L340">
        <v>50</v>
      </c>
      <c r="M340">
        <v>367</v>
      </c>
      <c r="N340" t="s">
        <v>1211</v>
      </c>
      <c r="O340">
        <v>493</v>
      </c>
    </row>
    <row r="341" spans="1:16" x14ac:dyDescent="0.35">
      <c r="A341">
        <v>2024</v>
      </c>
      <c r="B341">
        <v>4</v>
      </c>
      <c r="C341">
        <v>8</v>
      </c>
      <c r="D341">
        <v>678</v>
      </c>
      <c r="E341">
        <v>2</v>
      </c>
      <c r="F341" t="s">
        <v>225</v>
      </c>
      <c r="G341" t="s">
        <v>1209</v>
      </c>
      <c r="H341">
        <v>3</v>
      </c>
      <c r="J341" t="s">
        <v>237</v>
      </c>
      <c r="K341">
        <v>3</v>
      </c>
      <c r="L341">
        <v>46.9</v>
      </c>
      <c r="M341">
        <v>367</v>
      </c>
      <c r="N341" t="s">
        <v>1209</v>
      </c>
      <c r="O341">
        <v>678</v>
      </c>
    </row>
    <row r="342" spans="1:16" x14ac:dyDescent="0.35">
      <c r="A342">
        <v>2019</v>
      </c>
      <c r="B342">
        <v>2</v>
      </c>
      <c r="C342">
        <v>21</v>
      </c>
      <c r="D342">
        <v>166</v>
      </c>
      <c r="E342">
        <v>1</v>
      </c>
      <c r="F342" t="s">
        <v>45</v>
      </c>
      <c r="G342" t="s">
        <v>1208</v>
      </c>
      <c r="H342">
        <v>8</v>
      </c>
      <c r="J342" t="s">
        <v>615</v>
      </c>
      <c r="K342" t="s">
        <v>317</v>
      </c>
      <c r="L342">
        <v>38.6</v>
      </c>
      <c r="M342">
        <v>368</v>
      </c>
      <c r="N342" t="s">
        <v>1210</v>
      </c>
      <c r="O342">
        <v>166</v>
      </c>
    </row>
    <row r="343" spans="1:16" x14ac:dyDescent="0.35">
      <c r="A343">
        <v>2019</v>
      </c>
      <c r="B343">
        <v>10</v>
      </c>
      <c r="C343">
        <v>29</v>
      </c>
      <c r="D343">
        <v>407</v>
      </c>
      <c r="E343">
        <v>4</v>
      </c>
      <c r="F343" t="s">
        <v>226</v>
      </c>
      <c r="G343" t="s">
        <v>1211</v>
      </c>
      <c r="H343">
        <v>2</v>
      </c>
      <c r="J343">
        <v>7</v>
      </c>
      <c r="K343">
        <v>7</v>
      </c>
      <c r="L343">
        <v>25.4</v>
      </c>
      <c r="M343">
        <v>368</v>
      </c>
      <c r="N343" t="s">
        <v>1211</v>
      </c>
      <c r="O343">
        <v>407</v>
      </c>
    </row>
    <row r="344" spans="1:16" x14ac:dyDescent="0.35">
      <c r="A344">
        <v>2010</v>
      </c>
      <c r="B344">
        <v>10</v>
      </c>
      <c r="C344">
        <v>5</v>
      </c>
      <c r="D344">
        <v>623</v>
      </c>
      <c r="E344">
        <v>4</v>
      </c>
      <c r="F344" t="s">
        <v>45</v>
      </c>
      <c r="G344" t="s">
        <v>1215</v>
      </c>
      <c r="H344">
        <v>1</v>
      </c>
      <c r="J344" t="s">
        <v>1062</v>
      </c>
      <c r="K344" t="s">
        <v>512</v>
      </c>
      <c r="L344">
        <v>37.799999999999997</v>
      </c>
      <c r="M344">
        <v>368</v>
      </c>
      <c r="N344" t="s">
        <v>1210</v>
      </c>
      <c r="O344">
        <v>623</v>
      </c>
    </row>
    <row r="345" spans="1:16" x14ac:dyDescent="0.35">
      <c r="A345">
        <v>2023</v>
      </c>
      <c r="B345">
        <v>11</v>
      </c>
      <c r="C345">
        <v>3</v>
      </c>
      <c r="D345">
        <v>531</v>
      </c>
      <c r="E345">
        <v>4</v>
      </c>
      <c r="F345" t="s">
        <v>225</v>
      </c>
      <c r="G345" t="s">
        <v>1216</v>
      </c>
      <c r="H345">
        <v>1</v>
      </c>
      <c r="J345">
        <v>2</v>
      </c>
      <c r="K345">
        <v>2</v>
      </c>
      <c r="L345">
        <v>43.8</v>
      </c>
      <c r="M345">
        <v>369</v>
      </c>
      <c r="N345" t="s">
        <v>1209</v>
      </c>
      <c r="O345">
        <v>531</v>
      </c>
    </row>
    <row r="346" spans="1:16" x14ac:dyDescent="0.35">
      <c r="A346">
        <v>2022</v>
      </c>
      <c r="B346">
        <v>11</v>
      </c>
      <c r="C346">
        <v>1</v>
      </c>
      <c r="D346">
        <v>369</v>
      </c>
      <c r="E346">
        <v>4</v>
      </c>
      <c r="F346" t="s">
        <v>41</v>
      </c>
      <c r="G346" t="s">
        <v>1207</v>
      </c>
      <c r="H346">
        <v>9</v>
      </c>
      <c r="J346" t="s">
        <v>49</v>
      </c>
      <c r="K346" t="s">
        <v>318</v>
      </c>
      <c r="L346">
        <v>3.5</v>
      </c>
      <c r="M346">
        <v>370</v>
      </c>
      <c r="N346" t="s">
        <v>1208</v>
      </c>
      <c r="O346">
        <v>369</v>
      </c>
    </row>
    <row r="347" spans="1:16" x14ac:dyDescent="0.35">
      <c r="A347">
        <v>2024</v>
      </c>
      <c r="B347">
        <v>1</v>
      </c>
      <c r="C347">
        <v>25</v>
      </c>
      <c r="D347">
        <v>601</v>
      </c>
      <c r="E347">
        <v>1</v>
      </c>
      <c r="F347" t="s">
        <v>226</v>
      </c>
      <c r="G347" t="s">
        <v>1211</v>
      </c>
      <c r="H347">
        <v>7</v>
      </c>
      <c r="J347" t="s">
        <v>228</v>
      </c>
      <c r="K347">
        <v>7</v>
      </c>
      <c r="L347">
        <v>44</v>
      </c>
      <c r="M347">
        <v>370</v>
      </c>
      <c r="N347" t="s">
        <v>1211</v>
      </c>
      <c r="O347">
        <v>601</v>
      </c>
    </row>
    <row r="348" spans="1:16" x14ac:dyDescent="0.35">
      <c r="A348">
        <v>2024</v>
      </c>
      <c r="B348">
        <v>1</v>
      </c>
      <c r="C348">
        <v>25</v>
      </c>
      <c r="D348">
        <v>601</v>
      </c>
      <c r="E348">
        <v>1</v>
      </c>
      <c r="F348" t="s">
        <v>226</v>
      </c>
      <c r="G348" t="s">
        <v>1211</v>
      </c>
      <c r="H348">
        <v>7</v>
      </c>
      <c r="J348" t="s">
        <v>228</v>
      </c>
      <c r="K348">
        <v>7</v>
      </c>
      <c r="L348">
        <v>44</v>
      </c>
      <c r="M348">
        <v>370</v>
      </c>
      <c r="N348" t="s">
        <v>1211</v>
      </c>
      <c r="O348">
        <v>601</v>
      </c>
    </row>
    <row r="349" spans="1:16" x14ac:dyDescent="0.35">
      <c r="A349">
        <v>2024</v>
      </c>
      <c r="B349">
        <v>8</v>
      </c>
      <c r="C349">
        <v>19</v>
      </c>
      <c r="D349">
        <v>789</v>
      </c>
      <c r="E349">
        <v>3</v>
      </c>
      <c r="F349" t="s">
        <v>225</v>
      </c>
      <c r="G349" t="s">
        <v>1209</v>
      </c>
      <c r="H349">
        <v>3</v>
      </c>
      <c r="J349">
        <v>3</v>
      </c>
      <c r="K349">
        <v>3</v>
      </c>
      <c r="L349">
        <v>57.3</v>
      </c>
      <c r="M349">
        <v>370</v>
      </c>
      <c r="N349" t="s">
        <v>1209</v>
      </c>
      <c r="O349">
        <v>789</v>
      </c>
    </row>
    <row r="350" spans="1:16" x14ac:dyDescent="0.35">
      <c r="A350">
        <v>2017</v>
      </c>
      <c r="B350">
        <v>8</v>
      </c>
      <c r="C350">
        <v>14</v>
      </c>
      <c r="D350">
        <v>90</v>
      </c>
      <c r="E350">
        <v>3</v>
      </c>
      <c r="F350" t="s">
        <v>45</v>
      </c>
      <c r="G350" t="s">
        <v>1208</v>
      </c>
      <c r="H350">
        <v>6</v>
      </c>
      <c r="J350" t="s">
        <v>317</v>
      </c>
      <c r="K350" t="s">
        <v>317</v>
      </c>
      <c r="L350">
        <v>42.2</v>
      </c>
      <c r="M350">
        <v>371</v>
      </c>
      <c r="N350" t="s">
        <v>1210</v>
      </c>
      <c r="O350">
        <v>90</v>
      </c>
      <c r="P350">
        <v>5.22</v>
      </c>
    </row>
    <row r="351" spans="1:16" x14ac:dyDescent="0.35">
      <c r="A351">
        <v>2024</v>
      </c>
      <c r="B351">
        <v>2</v>
      </c>
      <c r="C351">
        <v>23</v>
      </c>
      <c r="D351">
        <v>645</v>
      </c>
      <c r="E351">
        <v>1</v>
      </c>
      <c r="F351" t="s">
        <v>225</v>
      </c>
      <c r="G351" t="s">
        <v>1216</v>
      </c>
      <c r="H351">
        <v>2</v>
      </c>
      <c r="J351" t="s">
        <v>21</v>
      </c>
      <c r="K351">
        <v>2</v>
      </c>
      <c r="L351">
        <v>46.1</v>
      </c>
      <c r="M351">
        <v>371</v>
      </c>
      <c r="N351" t="s">
        <v>1209</v>
      </c>
      <c r="O351">
        <v>645</v>
      </c>
    </row>
    <row r="352" spans="1:16" x14ac:dyDescent="0.35">
      <c r="A352">
        <v>2024</v>
      </c>
      <c r="B352">
        <v>8</v>
      </c>
      <c r="C352">
        <v>8</v>
      </c>
      <c r="D352">
        <v>702</v>
      </c>
      <c r="E352">
        <v>3</v>
      </c>
      <c r="F352" t="s">
        <v>45</v>
      </c>
      <c r="G352" t="s">
        <v>1208</v>
      </c>
      <c r="H352">
        <v>13</v>
      </c>
      <c r="J352" t="s">
        <v>46</v>
      </c>
      <c r="K352" t="s">
        <v>317</v>
      </c>
      <c r="L352">
        <v>41.5</v>
      </c>
      <c r="M352">
        <v>371</v>
      </c>
      <c r="N352" t="s">
        <v>1210</v>
      </c>
      <c r="O352">
        <v>702</v>
      </c>
    </row>
    <row r="353" spans="1:15" x14ac:dyDescent="0.35">
      <c r="A353">
        <v>2024</v>
      </c>
      <c r="B353">
        <v>8</v>
      </c>
      <c r="C353">
        <v>19</v>
      </c>
      <c r="D353">
        <v>746</v>
      </c>
      <c r="E353">
        <v>3</v>
      </c>
      <c r="F353" t="s">
        <v>225</v>
      </c>
      <c r="G353" t="s">
        <v>1209</v>
      </c>
      <c r="H353">
        <v>3</v>
      </c>
      <c r="J353">
        <v>3</v>
      </c>
      <c r="K353">
        <v>3</v>
      </c>
      <c r="L353">
        <v>49.9</v>
      </c>
      <c r="M353">
        <v>371</v>
      </c>
      <c r="N353" t="s">
        <v>1209</v>
      </c>
      <c r="O353">
        <v>746</v>
      </c>
    </row>
    <row r="354" spans="1:15" x14ac:dyDescent="0.35">
      <c r="A354">
        <v>2024</v>
      </c>
      <c r="B354">
        <v>8</v>
      </c>
      <c r="C354">
        <v>19</v>
      </c>
      <c r="D354">
        <v>816</v>
      </c>
      <c r="E354">
        <v>3</v>
      </c>
      <c r="F354" t="s">
        <v>225</v>
      </c>
      <c r="G354" t="s">
        <v>1209</v>
      </c>
      <c r="H354">
        <v>3</v>
      </c>
      <c r="J354">
        <v>3</v>
      </c>
      <c r="K354">
        <v>3</v>
      </c>
      <c r="L354">
        <v>53.4</v>
      </c>
      <c r="M354">
        <v>371</v>
      </c>
      <c r="N354" t="s">
        <v>1209</v>
      </c>
      <c r="O354">
        <v>816</v>
      </c>
    </row>
    <row r="355" spans="1:15" x14ac:dyDescent="0.35">
      <c r="A355">
        <v>2024</v>
      </c>
      <c r="B355">
        <v>8</v>
      </c>
      <c r="C355">
        <v>19</v>
      </c>
      <c r="D355">
        <v>784</v>
      </c>
      <c r="E355">
        <v>3</v>
      </c>
      <c r="F355" t="s">
        <v>225</v>
      </c>
      <c r="G355" t="s">
        <v>1209</v>
      </c>
      <c r="H355">
        <v>3</v>
      </c>
      <c r="J355">
        <v>3</v>
      </c>
      <c r="K355">
        <v>3</v>
      </c>
      <c r="L355">
        <v>52.1</v>
      </c>
      <c r="M355">
        <v>372</v>
      </c>
      <c r="N355" t="s">
        <v>1209</v>
      </c>
      <c r="O355">
        <v>784</v>
      </c>
    </row>
    <row r="356" spans="1:15" x14ac:dyDescent="0.35">
      <c r="A356">
        <v>2021</v>
      </c>
      <c r="B356">
        <v>10</v>
      </c>
      <c r="C356" t="s">
        <v>28</v>
      </c>
      <c r="D356">
        <v>29</v>
      </c>
      <c r="E356">
        <v>4</v>
      </c>
      <c r="F356" t="s">
        <v>41</v>
      </c>
      <c r="G356" t="s">
        <v>1207</v>
      </c>
      <c r="H356">
        <v>8</v>
      </c>
      <c r="J356" t="s">
        <v>318</v>
      </c>
      <c r="K356" t="s">
        <v>318</v>
      </c>
      <c r="L356">
        <v>41.3</v>
      </c>
      <c r="M356">
        <v>373</v>
      </c>
      <c r="N356" t="s">
        <v>1208</v>
      </c>
      <c r="O356">
        <v>29</v>
      </c>
    </row>
    <row r="357" spans="1:15" x14ac:dyDescent="0.35">
      <c r="A357">
        <v>2023</v>
      </c>
      <c r="B357">
        <v>7</v>
      </c>
      <c r="C357">
        <v>21</v>
      </c>
      <c r="D357">
        <v>446</v>
      </c>
      <c r="E357">
        <v>3</v>
      </c>
      <c r="F357" t="s">
        <v>20</v>
      </c>
      <c r="G357" t="s">
        <v>1213</v>
      </c>
      <c r="H357">
        <v>3</v>
      </c>
      <c r="J357" t="s">
        <v>70</v>
      </c>
      <c r="K357">
        <v>37</v>
      </c>
      <c r="L357">
        <v>4.2</v>
      </c>
      <c r="M357">
        <v>373</v>
      </c>
      <c r="N357" t="s">
        <v>1214</v>
      </c>
      <c r="O357">
        <v>446</v>
      </c>
    </row>
    <row r="358" spans="1:15" x14ac:dyDescent="0.35">
      <c r="A358">
        <v>2023</v>
      </c>
      <c r="B358">
        <v>7</v>
      </c>
      <c r="C358">
        <v>21</v>
      </c>
      <c r="D358">
        <v>446</v>
      </c>
      <c r="E358">
        <v>3</v>
      </c>
      <c r="F358" t="s">
        <v>20</v>
      </c>
      <c r="G358" t="s">
        <v>1213</v>
      </c>
      <c r="H358">
        <v>3</v>
      </c>
      <c r="J358" t="s">
        <v>70</v>
      </c>
      <c r="K358">
        <v>37</v>
      </c>
      <c r="L358">
        <v>4.2</v>
      </c>
      <c r="M358">
        <v>373</v>
      </c>
      <c r="N358" t="s">
        <v>1214</v>
      </c>
      <c r="O358">
        <v>446</v>
      </c>
    </row>
    <row r="359" spans="1:15" x14ac:dyDescent="0.35">
      <c r="A359">
        <v>2023</v>
      </c>
      <c r="B359">
        <v>7</v>
      </c>
      <c r="C359">
        <v>21</v>
      </c>
      <c r="D359">
        <v>446</v>
      </c>
      <c r="E359">
        <v>3</v>
      </c>
      <c r="F359" t="s">
        <v>20</v>
      </c>
      <c r="G359" t="s">
        <v>1213</v>
      </c>
      <c r="H359">
        <v>3</v>
      </c>
      <c r="J359" t="s">
        <v>70</v>
      </c>
      <c r="K359">
        <v>37</v>
      </c>
      <c r="L359">
        <v>4.2</v>
      </c>
      <c r="M359">
        <v>373</v>
      </c>
      <c r="N359" t="s">
        <v>1214</v>
      </c>
      <c r="O359">
        <v>446</v>
      </c>
    </row>
    <row r="360" spans="1:15" x14ac:dyDescent="0.35">
      <c r="A360">
        <v>2023</v>
      </c>
      <c r="B360">
        <v>10</v>
      </c>
      <c r="C360">
        <v>31</v>
      </c>
      <c r="D360">
        <v>504</v>
      </c>
      <c r="E360">
        <v>4</v>
      </c>
      <c r="F360" t="s">
        <v>225</v>
      </c>
      <c r="G360" t="s">
        <v>1216</v>
      </c>
      <c r="H360">
        <v>1</v>
      </c>
      <c r="J360">
        <v>2</v>
      </c>
      <c r="K360">
        <v>2</v>
      </c>
      <c r="L360">
        <v>44</v>
      </c>
      <c r="M360">
        <v>373</v>
      </c>
      <c r="N360" t="s">
        <v>1209</v>
      </c>
      <c r="O360">
        <v>504</v>
      </c>
    </row>
    <row r="361" spans="1:15" x14ac:dyDescent="0.35">
      <c r="A361">
        <v>2023</v>
      </c>
      <c r="B361">
        <v>10</v>
      </c>
      <c r="C361">
        <v>31</v>
      </c>
      <c r="D361">
        <v>504</v>
      </c>
      <c r="E361">
        <v>4</v>
      </c>
      <c r="F361" t="s">
        <v>225</v>
      </c>
      <c r="G361" t="s">
        <v>1216</v>
      </c>
      <c r="H361">
        <v>1</v>
      </c>
      <c r="J361">
        <v>2</v>
      </c>
      <c r="K361">
        <v>2</v>
      </c>
      <c r="L361">
        <v>44</v>
      </c>
      <c r="M361">
        <v>373</v>
      </c>
      <c r="N361" t="s">
        <v>1209</v>
      </c>
      <c r="O361">
        <v>504</v>
      </c>
    </row>
    <row r="362" spans="1:15" x14ac:dyDescent="0.35">
      <c r="A362">
        <v>2024</v>
      </c>
      <c r="B362">
        <v>8</v>
      </c>
      <c r="C362">
        <v>15</v>
      </c>
      <c r="D362">
        <v>735</v>
      </c>
      <c r="E362">
        <v>3</v>
      </c>
      <c r="F362" t="s">
        <v>225</v>
      </c>
      <c r="G362" t="s">
        <v>1209</v>
      </c>
      <c r="H362">
        <v>3</v>
      </c>
      <c r="J362">
        <v>3</v>
      </c>
      <c r="K362">
        <v>3</v>
      </c>
      <c r="L362">
        <v>50.7</v>
      </c>
      <c r="M362">
        <v>373</v>
      </c>
      <c r="N362" t="s">
        <v>1209</v>
      </c>
      <c r="O362">
        <v>735</v>
      </c>
    </row>
    <row r="363" spans="1:15" x14ac:dyDescent="0.35">
      <c r="A363">
        <v>2024</v>
      </c>
      <c r="B363">
        <v>8</v>
      </c>
      <c r="C363">
        <v>9</v>
      </c>
      <c r="D363">
        <v>861</v>
      </c>
      <c r="E363">
        <v>3</v>
      </c>
      <c r="F363" t="s">
        <v>41</v>
      </c>
      <c r="G363" t="s">
        <v>1207</v>
      </c>
      <c r="H363">
        <v>11</v>
      </c>
      <c r="J363" t="s">
        <v>42</v>
      </c>
      <c r="K363" t="s">
        <v>318</v>
      </c>
      <c r="L363">
        <v>39.799999999999997</v>
      </c>
      <c r="M363">
        <v>373</v>
      </c>
      <c r="N363" t="s">
        <v>1208</v>
      </c>
      <c r="O363">
        <v>861</v>
      </c>
    </row>
    <row r="364" spans="1:15" x14ac:dyDescent="0.35">
      <c r="A364">
        <v>2023</v>
      </c>
      <c r="B364">
        <v>7</v>
      </c>
      <c r="C364">
        <v>17</v>
      </c>
      <c r="D364">
        <v>394</v>
      </c>
      <c r="E364">
        <v>3</v>
      </c>
      <c r="F364" t="s">
        <v>45</v>
      </c>
      <c r="G364" t="s">
        <v>1208</v>
      </c>
      <c r="H364">
        <v>12</v>
      </c>
      <c r="J364" t="s">
        <v>632</v>
      </c>
      <c r="K364" t="s">
        <v>317</v>
      </c>
      <c r="L364">
        <v>35.799999999999997</v>
      </c>
      <c r="M364">
        <v>374</v>
      </c>
      <c r="N364" t="s">
        <v>1210</v>
      </c>
      <c r="O364">
        <v>394</v>
      </c>
    </row>
    <row r="365" spans="1:15" x14ac:dyDescent="0.35">
      <c r="A365">
        <v>2019</v>
      </c>
      <c r="B365">
        <v>2</v>
      </c>
      <c r="C365">
        <v>19</v>
      </c>
      <c r="D365">
        <v>150</v>
      </c>
      <c r="E365">
        <v>1</v>
      </c>
      <c r="F365" t="s">
        <v>41</v>
      </c>
      <c r="G365" t="s">
        <v>1212</v>
      </c>
      <c r="H365">
        <v>7</v>
      </c>
      <c r="J365" t="s">
        <v>541</v>
      </c>
      <c r="K365" t="s">
        <v>461</v>
      </c>
      <c r="L365">
        <v>43.7</v>
      </c>
      <c r="M365">
        <v>376</v>
      </c>
      <c r="N365" t="s">
        <v>1208</v>
      </c>
      <c r="O365">
        <v>150</v>
      </c>
    </row>
    <row r="366" spans="1:15" x14ac:dyDescent="0.35">
      <c r="A366">
        <v>2019</v>
      </c>
      <c r="B366">
        <v>2</v>
      </c>
      <c r="C366">
        <v>19</v>
      </c>
      <c r="D366">
        <v>150</v>
      </c>
      <c r="E366">
        <v>1</v>
      </c>
      <c r="F366" t="s">
        <v>41</v>
      </c>
      <c r="G366" t="s">
        <v>1212</v>
      </c>
      <c r="H366">
        <v>7</v>
      </c>
      <c r="J366" t="s">
        <v>541</v>
      </c>
      <c r="K366" t="s">
        <v>461</v>
      </c>
      <c r="L366">
        <v>43.7</v>
      </c>
      <c r="M366">
        <v>376</v>
      </c>
      <c r="N366" t="s">
        <v>1208</v>
      </c>
      <c r="O366">
        <v>150</v>
      </c>
    </row>
    <row r="367" spans="1:15" x14ac:dyDescent="0.35">
      <c r="A367">
        <v>2019</v>
      </c>
      <c r="B367">
        <v>8</v>
      </c>
      <c r="C367">
        <v>9</v>
      </c>
      <c r="D367">
        <v>315</v>
      </c>
      <c r="E367">
        <v>3</v>
      </c>
      <c r="F367" t="s">
        <v>45</v>
      </c>
      <c r="G367" t="s">
        <v>1208</v>
      </c>
      <c r="H367">
        <v>8</v>
      </c>
      <c r="J367" t="s">
        <v>317</v>
      </c>
      <c r="K367" t="s">
        <v>317</v>
      </c>
      <c r="L367">
        <v>31.7</v>
      </c>
      <c r="M367">
        <v>376</v>
      </c>
      <c r="N367" t="s">
        <v>1210</v>
      </c>
      <c r="O367">
        <v>315</v>
      </c>
    </row>
    <row r="368" spans="1:15" x14ac:dyDescent="0.35">
      <c r="A368">
        <v>2024</v>
      </c>
      <c r="B368">
        <v>8</v>
      </c>
      <c r="C368">
        <v>15</v>
      </c>
      <c r="D368">
        <v>731</v>
      </c>
      <c r="E368">
        <v>3</v>
      </c>
      <c r="F368" t="s">
        <v>225</v>
      </c>
      <c r="G368" t="s">
        <v>1209</v>
      </c>
      <c r="H368">
        <v>3</v>
      </c>
      <c r="J368">
        <v>3</v>
      </c>
      <c r="K368">
        <v>3</v>
      </c>
      <c r="L368">
        <v>68.7</v>
      </c>
      <c r="M368">
        <v>376</v>
      </c>
      <c r="N368" t="s">
        <v>1209</v>
      </c>
      <c r="O368">
        <v>731</v>
      </c>
    </row>
    <row r="369" spans="1:16" x14ac:dyDescent="0.35">
      <c r="A369">
        <v>2023</v>
      </c>
      <c r="B369">
        <v>7</v>
      </c>
      <c r="C369">
        <v>17</v>
      </c>
      <c r="D369">
        <v>383</v>
      </c>
      <c r="E369">
        <v>3</v>
      </c>
      <c r="F369" t="s">
        <v>45</v>
      </c>
      <c r="G369" t="s">
        <v>1208</v>
      </c>
      <c r="H369">
        <v>12</v>
      </c>
      <c r="J369" t="s">
        <v>46</v>
      </c>
      <c r="K369" t="s">
        <v>317</v>
      </c>
      <c r="L369">
        <v>40.1</v>
      </c>
      <c r="M369">
        <v>377</v>
      </c>
      <c r="N369" t="s">
        <v>1210</v>
      </c>
      <c r="O369">
        <v>383</v>
      </c>
    </row>
    <row r="370" spans="1:16" x14ac:dyDescent="0.35">
      <c r="A370">
        <v>2024</v>
      </c>
      <c r="B370">
        <v>3</v>
      </c>
      <c r="C370">
        <v>28</v>
      </c>
      <c r="D370">
        <v>660</v>
      </c>
      <c r="E370">
        <v>2</v>
      </c>
      <c r="F370" t="s">
        <v>41</v>
      </c>
      <c r="G370" t="s">
        <v>1207</v>
      </c>
      <c r="H370">
        <v>11</v>
      </c>
      <c r="J370" t="s">
        <v>42</v>
      </c>
      <c r="K370" t="s">
        <v>318</v>
      </c>
      <c r="L370">
        <v>49.2</v>
      </c>
      <c r="M370">
        <v>377</v>
      </c>
      <c r="N370" t="s">
        <v>1208</v>
      </c>
      <c r="O370">
        <v>660</v>
      </c>
    </row>
    <row r="371" spans="1:16" x14ac:dyDescent="0.35">
      <c r="A371">
        <v>2024</v>
      </c>
      <c r="B371">
        <v>3</v>
      </c>
      <c r="C371">
        <v>13</v>
      </c>
      <c r="D371">
        <v>673</v>
      </c>
      <c r="E371">
        <v>2</v>
      </c>
      <c r="F371" t="s">
        <v>226</v>
      </c>
      <c r="G371" t="s">
        <v>1211</v>
      </c>
      <c r="H371">
        <v>7</v>
      </c>
      <c r="J371" t="s">
        <v>783</v>
      </c>
      <c r="K371">
        <v>7</v>
      </c>
      <c r="L371">
        <v>45.2</v>
      </c>
      <c r="M371">
        <v>378</v>
      </c>
      <c r="N371" t="s">
        <v>1211</v>
      </c>
      <c r="O371">
        <v>673</v>
      </c>
      <c r="P371">
        <v>7.55</v>
      </c>
    </row>
    <row r="372" spans="1:16" x14ac:dyDescent="0.35">
      <c r="A372">
        <v>2023</v>
      </c>
      <c r="B372">
        <v>2</v>
      </c>
      <c r="C372">
        <v>12</v>
      </c>
      <c r="D372">
        <v>114</v>
      </c>
      <c r="E372">
        <v>1</v>
      </c>
      <c r="F372" t="s">
        <v>20</v>
      </c>
      <c r="G372" t="s">
        <v>1213</v>
      </c>
      <c r="H372">
        <v>3</v>
      </c>
      <c r="J372">
        <v>7</v>
      </c>
      <c r="K372">
        <v>7</v>
      </c>
      <c r="L372">
        <v>99.8</v>
      </c>
      <c r="M372">
        <v>378</v>
      </c>
      <c r="N372" t="s">
        <v>1214</v>
      </c>
      <c r="O372">
        <v>114</v>
      </c>
    </row>
    <row r="373" spans="1:16" x14ac:dyDescent="0.35">
      <c r="A373">
        <v>2024</v>
      </c>
      <c r="B373">
        <v>8</v>
      </c>
      <c r="C373">
        <v>19</v>
      </c>
      <c r="D373">
        <v>826</v>
      </c>
      <c r="E373">
        <v>3</v>
      </c>
      <c r="F373" t="s">
        <v>225</v>
      </c>
      <c r="G373" t="s">
        <v>1209</v>
      </c>
      <c r="H373">
        <v>3</v>
      </c>
      <c r="J373">
        <v>3</v>
      </c>
      <c r="K373">
        <v>3</v>
      </c>
      <c r="L373">
        <v>57.4</v>
      </c>
      <c r="M373">
        <v>378</v>
      </c>
      <c r="N373" t="s">
        <v>1209</v>
      </c>
      <c r="O373">
        <v>826</v>
      </c>
    </row>
    <row r="374" spans="1:16" x14ac:dyDescent="0.35">
      <c r="A374">
        <v>2016</v>
      </c>
      <c r="B374">
        <v>8</v>
      </c>
      <c r="C374">
        <v>31</v>
      </c>
      <c r="D374">
        <v>247</v>
      </c>
      <c r="E374">
        <v>3</v>
      </c>
      <c r="F374" t="s">
        <v>45</v>
      </c>
      <c r="G374" t="s">
        <v>1215</v>
      </c>
      <c r="H374">
        <v>7</v>
      </c>
      <c r="J374" t="s">
        <v>657</v>
      </c>
      <c r="K374" t="s">
        <v>488</v>
      </c>
      <c r="L374">
        <v>45.5</v>
      </c>
      <c r="M374">
        <v>379</v>
      </c>
      <c r="N374" t="s">
        <v>1210</v>
      </c>
      <c r="O374">
        <v>247</v>
      </c>
    </row>
    <row r="375" spans="1:16" x14ac:dyDescent="0.35">
      <c r="A375">
        <v>2023</v>
      </c>
      <c r="B375">
        <v>7</v>
      </c>
      <c r="C375">
        <v>19</v>
      </c>
      <c r="D375">
        <v>358</v>
      </c>
      <c r="E375">
        <v>3</v>
      </c>
      <c r="F375" t="s">
        <v>41</v>
      </c>
      <c r="G375" t="s">
        <v>1207</v>
      </c>
      <c r="H375">
        <v>10</v>
      </c>
      <c r="J375" t="s">
        <v>42</v>
      </c>
      <c r="K375" t="s">
        <v>318</v>
      </c>
      <c r="L375">
        <v>44.7</v>
      </c>
      <c r="M375">
        <v>379</v>
      </c>
      <c r="N375" t="s">
        <v>1208</v>
      </c>
      <c r="O375">
        <v>358</v>
      </c>
    </row>
    <row r="376" spans="1:16" x14ac:dyDescent="0.35">
      <c r="A376">
        <v>2024</v>
      </c>
      <c r="B376">
        <v>3</v>
      </c>
      <c r="C376">
        <v>12</v>
      </c>
      <c r="D376">
        <v>691</v>
      </c>
      <c r="E376">
        <v>2</v>
      </c>
      <c r="F376" t="s">
        <v>45</v>
      </c>
      <c r="G376" t="s">
        <v>1208</v>
      </c>
      <c r="H376">
        <v>13</v>
      </c>
      <c r="J376" t="s">
        <v>1110</v>
      </c>
      <c r="K376" t="s">
        <v>317</v>
      </c>
      <c r="L376">
        <v>51.1</v>
      </c>
      <c r="M376">
        <v>379</v>
      </c>
      <c r="N376" t="s">
        <v>1210</v>
      </c>
      <c r="O376">
        <v>691</v>
      </c>
    </row>
    <row r="377" spans="1:16" x14ac:dyDescent="0.35">
      <c r="A377">
        <v>2023</v>
      </c>
      <c r="B377">
        <v>7</v>
      </c>
      <c r="C377">
        <v>19</v>
      </c>
      <c r="D377">
        <v>359</v>
      </c>
      <c r="E377">
        <v>3</v>
      </c>
      <c r="F377" t="s">
        <v>41</v>
      </c>
      <c r="G377" t="s">
        <v>1207</v>
      </c>
      <c r="H377">
        <v>10</v>
      </c>
      <c r="J377" t="s">
        <v>42</v>
      </c>
      <c r="K377" t="s">
        <v>318</v>
      </c>
      <c r="L377">
        <v>43.9</v>
      </c>
      <c r="M377">
        <v>380</v>
      </c>
      <c r="N377" t="s">
        <v>1208</v>
      </c>
      <c r="O377">
        <v>359</v>
      </c>
    </row>
    <row r="378" spans="1:16" x14ac:dyDescent="0.35">
      <c r="A378">
        <v>2023</v>
      </c>
      <c r="B378">
        <v>7</v>
      </c>
      <c r="C378">
        <v>19</v>
      </c>
      <c r="D378">
        <v>359</v>
      </c>
      <c r="E378">
        <v>3</v>
      </c>
      <c r="F378" t="s">
        <v>41</v>
      </c>
      <c r="G378" t="s">
        <v>1207</v>
      </c>
      <c r="H378">
        <v>10</v>
      </c>
      <c r="J378" t="s">
        <v>42</v>
      </c>
      <c r="K378" t="s">
        <v>318</v>
      </c>
      <c r="L378">
        <v>43.9</v>
      </c>
      <c r="M378">
        <v>380</v>
      </c>
      <c r="N378" t="s">
        <v>1208</v>
      </c>
      <c r="O378">
        <v>359</v>
      </c>
    </row>
    <row r="379" spans="1:16" x14ac:dyDescent="0.35">
      <c r="A379">
        <v>2024</v>
      </c>
      <c r="B379">
        <v>2</v>
      </c>
      <c r="C379">
        <v>23</v>
      </c>
      <c r="D379">
        <v>642</v>
      </c>
      <c r="E379">
        <v>1</v>
      </c>
      <c r="F379" t="s">
        <v>225</v>
      </c>
      <c r="G379" t="s">
        <v>1216</v>
      </c>
      <c r="H379">
        <v>2</v>
      </c>
      <c r="J379" t="s">
        <v>21</v>
      </c>
      <c r="K379">
        <v>2</v>
      </c>
      <c r="L379">
        <v>55.2</v>
      </c>
      <c r="M379">
        <v>380</v>
      </c>
      <c r="N379" t="s">
        <v>1209</v>
      </c>
      <c r="O379">
        <v>642</v>
      </c>
    </row>
    <row r="380" spans="1:16" x14ac:dyDescent="0.35">
      <c r="A380">
        <v>2024</v>
      </c>
      <c r="B380">
        <v>3</v>
      </c>
      <c r="C380">
        <v>12</v>
      </c>
      <c r="D380">
        <v>679</v>
      </c>
      <c r="E380">
        <v>2</v>
      </c>
      <c r="F380" t="s">
        <v>45</v>
      </c>
      <c r="G380" t="s">
        <v>1215</v>
      </c>
      <c r="H380">
        <v>15</v>
      </c>
      <c r="J380" t="s">
        <v>1100</v>
      </c>
      <c r="K380" t="s">
        <v>488</v>
      </c>
      <c r="L380">
        <v>47.5</v>
      </c>
      <c r="M380">
        <v>380</v>
      </c>
      <c r="N380" t="s">
        <v>1210</v>
      </c>
      <c r="O380">
        <v>679</v>
      </c>
    </row>
    <row r="381" spans="1:16" x14ac:dyDescent="0.35">
      <c r="A381">
        <v>2024</v>
      </c>
      <c r="B381">
        <v>8</v>
      </c>
      <c r="C381">
        <v>8</v>
      </c>
      <c r="D381">
        <v>700</v>
      </c>
      <c r="E381">
        <v>3</v>
      </c>
      <c r="F381" t="s">
        <v>45</v>
      </c>
      <c r="G381" t="s">
        <v>1208</v>
      </c>
      <c r="H381">
        <v>13</v>
      </c>
      <c r="J381" t="s">
        <v>46</v>
      </c>
      <c r="K381" t="s">
        <v>317</v>
      </c>
      <c r="L381">
        <v>42.9</v>
      </c>
      <c r="M381">
        <v>380</v>
      </c>
      <c r="N381" t="s">
        <v>1210</v>
      </c>
      <c r="O381">
        <v>700</v>
      </c>
    </row>
    <row r="382" spans="1:16" x14ac:dyDescent="0.35">
      <c r="A382">
        <v>2024</v>
      </c>
      <c r="B382">
        <v>6</v>
      </c>
      <c r="C382">
        <v>19</v>
      </c>
      <c r="D382">
        <v>757</v>
      </c>
      <c r="E382">
        <v>3</v>
      </c>
      <c r="F382" t="s">
        <v>225</v>
      </c>
      <c r="G382" t="s">
        <v>1209</v>
      </c>
      <c r="H382">
        <v>3</v>
      </c>
      <c r="J382" t="s">
        <v>1076</v>
      </c>
      <c r="K382">
        <v>3</v>
      </c>
      <c r="L382">
        <v>52.4</v>
      </c>
      <c r="M382">
        <v>380</v>
      </c>
      <c r="N382" t="s">
        <v>1209</v>
      </c>
      <c r="O382">
        <v>757</v>
      </c>
    </row>
    <row r="383" spans="1:16" x14ac:dyDescent="0.35">
      <c r="A383">
        <v>2024</v>
      </c>
      <c r="B383">
        <v>8</v>
      </c>
      <c r="C383">
        <v>19</v>
      </c>
      <c r="D383">
        <v>779</v>
      </c>
      <c r="E383">
        <v>3</v>
      </c>
      <c r="F383" t="s">
        <v>225</v>
      </c>
      <c r="G383" t="s">
        <v>1209</v>
      </c>
      <c r="H383">
        <v>3</v>
      </c>
      <c r="J383">
        <v>3</v>
      </c>
      <c r="K383">
        <v>3</v>
      </c>
      <c r="L383">
        <v>57.6</v>
      </c>
      <c r="M383">
        <v>380</v>
      </c>
      <c r="N383" t="s">
        <v>1209</v>
      </c>
      <c r="O383">
        <v>779</v>
      </c>
    </row>
    <row r="384" spans="1:16" x14ac:dyDescent="0.35">
      <c r="A384">
        <v>2024</v>
      </c>
      <c r="B384">
        <v>8</v>
      </c>
      <c r="C384">
        <v>19</v>
      </c>
      <c r="D384">
        <v>783</v>
      </c>
      <c r="E384">
        <v>3</v>
      </c>
      <c r="F384" t="s">
        <v>225</v>
      </c>
      <c r="G384" t="s">
        <v>1209</v>
      </c>
      <c r="H384">
        <v>3</v>
      </c>
      <c r="J384">
        <v>3</v>
      </c>
      <c r="K384">
        <v>3</v>
      </c>
      <c r="L384">
        <v>51.2</v>
      </c>
      <c r="M384">
        <v>380</v>
      </c>
      <c r="N384" t="s">
        <v>1209</v>
      </c>
      <c r="O384">
        <v>783</v>
      </c>
    </row>
    <row r="385" spans="1:16" x14ac:dyDescent="0.35">
      <c r="A385">
        <v>2023</v>
      </c>
      <c r="B385">
        <v>8</v>
      </c>
      <c r="C385">
        <v>2</v>
      </c>
      <c r="D385">
        <v>415</v>
      </c>
      <c r="E385">
        <v>3</v>
      </c>
      <c r="F385" t="s">
        <v>226</v>
      </c>
      <c r="G385" t="s">
        <v>1211</v>
      </c>
      <c r="H385">
        <v>6</v>
      </c>
      <c r="J385" t="s">
        <v>878</v>
      </c>
      <c r="K385">
        <v>7</v>
      </c>
      <c r="L385">
        <v>51.9</v>
      </c>
      <c r="M385">
        <v>381</v>
      </c>
      <c r="N385" t="s">
        <v>1211</v>
      </c>
      <c r="O385">
        <v>415</v>
      </c>
    </row>
    <row r="386" spans="1:16" x14ac:dyDescent="0.35">
      <c r="A386">
        <v>2024</v>
      </c>
      <c r="B386">
        <v>8</v>
      </c>
      <c r="C386">
        <v>19</v>
      </c>
      <c r="D386">
        <v>795</v>
      </c>
      <c r="E386">
        <v>3</v>
      </c>
      <c r="F386" t="s">
        <v>225</v>
      </c>
      <c r="G386" t="s">
        <v>1209</v>
      </c>
      <c r="H386">
        <v>3</v>
      </c>
      <c r="J386">
        <v>3</v>
      </c>
      <c r="K386">
        <v>3</v>
      </c>
      <c r="L386">
        <v>49.8</v>
      </c>
      <c r="M386">
        <v>381</v>
      </c>
      <c r="N386" t="s">
        <v>1209</v>
      </c>
      <c r="O386">
        <v>795</v>
      </c>
    </row>
    <row r="387" spans="1:16" x14ac:dyDescent="0.35">
      <c r="A387">
        <v>2017</v>
      </c>
      <c r="B387">
        <v>8</v>
      </c>
      <c r="C387">
        <v>14</v>
      </c>
      <c r="D387">
        <v>132</v>
      </c>
      <c r="E387">
        <v>3</v>
      </c>
      <c r="F387" t="s">
        <v>45</v>
      </c>
      <c r="G387" t="s">
        <v>1208</v>
      </c>
      <c r="H387">
        <v>6</v>
      </c>
      <c r="J387" t="s">
        <v>317</v>
      </c>
      <c r="K387" t="s">
        <v>317</v>
      </c>
      <c r="L387">
        <v>44.4</v>
      </c>
      <c r="M387">
        <v>382</v>
      </c>
      <c r="N387" t="s">
        <v>1210</v>
      </c>
      <c r="O387">
        <v>132</v>
      </c>
    </row>
    <row r="388" spans="1:16" x14ac:dyDescent="0.35">
      <c r="A388">
        <v>2023</v>
      </c>
      <c r="B388">
        <v>7</v>
      </c>
      <c r="C388">
        <v>18</v>
      </c>
      <c r="D388">
        <v>340</v>
      </c>
      <c r="E388">
        <v>3</v>
      </c>
      <c r="F388" t="s">
        <v>41</v>
      </c>
      <c r="G388" t="s">
        <v>1212</v>
      </c>
      <c r="H388">
        <v>11</v>
      </c>
      <c r="J388" t="s">
        <v>551</v>
      </c>
      <c r="K388" t="s">
        <v>461</v>
      </c>
      <c r="L388">
        <v>47.1</v>
      </c>
      <c r="M388">
        <v>382</v>
      </c>
      <c r="N388" t="s">
        <v>1208</v>
      </c>
      <c r="O388">
        <v>340</v>
      </c>
    </row>
    <row r="389" spans="1:16" x14ac:dyDescent="0.35">
      <c r="A389">
        <v>2024</v>
      </c>
      <c r="B389">
        <v>3</v>
      </c>
      <c r="C389">
        <v>12</v>
      </c>
      <c r="D389">
        <v>690</v>
      </c>
      <c r="E389">
        <v>2</v>
      </c>
      <c r="F389" t="s">
        <v>45</v>
      </c>
      <c r="G389" t="s">
        <v>1208</v>
      </c>
      <c r="H389">
        <v>13</v>
      </c>
      <c r="J389" t="s">
        <v>1110</v>
      </c>
      <c r="K389" t="s">
        <v>317</v>
      </c>
      <c r="L389">
        <v>54.3</v>
      </c>
      <c r="M389">
        <v>382</v>
      </c>
      <c r="N389" t="s">
        <v>1210</v>
      </c>
      <c r="O389">
        <v>690</v>
      </c>
    </row>
    <row r="390" spans="1:16" x14ac:dyDescent="0.35">
      <c r="A390">
        <v>2017</v>
      </c>
      <c r="B390">
        <v>7</v>
      </c>
      <c r="C390">
        <v>8</v>
      </c>
      <c r="D390">
        <v>94</v>
      </c>
      <c r="E390">
        <v>3</v>
      </c>
      <c r="F390" t="s">
        <v>41</v>
      </c>
      <c r="G390" t="s">
        <v>1207</v>
      </c>
      <c r="H390">
        <v>4</v>
      </c>
      <c r="J390" t="s">
        <v>318</v>
      </c>
      <c r="K390" t="s">
        <v>318</v>
      </c>
      <c r="L390">
        <v>42.7</v>
      </c>
      <c r="M390">
        <v>383</v>
      </c>
      <c r="N390" t="s">
        <v>1208</v>
      </c>
      <c r="O390">
        <v>94</v>
      </c>
    </row>
    <row r="391" spans="1:16" x14ac:dyDescent="0.35">
      <c r="A391">
        <v>2023</v>
      </c>
      <c r="B391">
        <v>7</v>
      </c>
      <c r="C391">
        <v>17</v>
      </c>
      <c r="D391">
        <v>382</v>
      </c>
      <c r="E391">
        <v>3</v>
      </c>
      <c r="F391" t="s">
        <v>45</v>
      </c>
      <c r="G391" t="s">
        <v>1208</v>
      </c>
      <c r="H391">
        <v>12</v>
      </c>
      <c r="J391" t="s">
        <v>46</v>
      </c>
      <c r="K391" t="s">
        <v>317</v>
      </c>
      <c r="L391">
        <v>39.4</v>
      </c>
      <c r="M391">
        <v>383</v>
      </c>
      <c r="N391" t="s">
        <v>1210</v>
      </c>
      <c r="O391">
        <v>382</v>
      </c>
    </row>
    <row r="392" spans="1:16" x14ac:dyDescent="0.35">
      <c r="A392">
        <v>2021</v>
      </c>
      <c r="B392">
        <v>4</v>
      </c>
      <c r="C392">
        <v>13</v>
      </c>
      <c r="D392">
        <v>495</v>
      </c>
      <c r="E392">
        <v>2</v>
      </c>
      <c r="F392" t="s">
        <v>226</v>
      </c>
      <c r="G392" t="s">
        <v>1214</v>
      </c>
      <c r="H392">
        <v>3</v>
      </c>
      <c r="J392" t="s">
        <v>51</v>
      </c>
      <c r="K392" t="s">
        <v>929</v>
      </c>
      <c r="L392">
        <v>65</v>
      </c>
      <c r="M392">
        <v>383</v>
      </c>
      <c r="N392" t="s">
        <v>1211</v>
      </c>
      <c r="O392">
        <v>495</v>
      </c>
    </row>
    <row r="393" spans="1:16" x14ac:dyDescent="0.35">
      <c r="A393">
        <v>2024</v>
      </c>
      <c r="B393">
        <v>1</v>
      </c>
      <c r="C393">
        <v>16</v>
      </c>
      <c r="D393">
        <v>569</v>
      </c>
      <c r="E393">
        <v>1</v>
      </c>
      <c r="F393" t="s">
        <v>45</v>
      </c>
      <c r="G393" t="s">
        <v>1208</v>
      </c>
      <c r="H393">
        <v>13</v>
      </c>
      <c r="J393" t="s">
        <v>615</v>
      </c>
      <c r="K393" t="s">
        <v>317</v>
      </c>
      <c r="L393">
        <v>53.3</v>
      </c>
      <c r="M393">
        <v>384</v>
      </c>
      <c r="N393" t="s">
        <v>1210</v>
      </c>
      <c r="O393">
        <v>569</v>
      </c>
      <c r="P393">
        <v>7.38</v>
      </c>
    </row>
    <row r="394" spans="1:16" x14ac:dyDescent="0.35">
      <c r="A394">
        <v>2021</v>
      </c>
      <c r="B394" t="s">
        <v>28</v>
      </c>
      <c r="C394" t="s">
        <v>28</v>
      </c>
      <c r="D394">
        <v>494</v>
      </c>
      <c r="E394" t="s">
        <v>28</v>
      </c>
      <c r="F394" t="s">
        <v>226</v>
      </c>
      <c r="G394" t="s">
        <v>1214</v>
      </c>
      <c r="H394">
        <v>3</v>
      </c>
      <c r="J394" t="s">
        <v>51</v>
      </c>
      <c r="K394" t="s">
        <v>929</v>
      </c>
      <c r="L394">
        <v>50</v>
      </c>
      <c r="M394">
        <v>384</v>
      </c>
      <c r="N394" t="s">
        <v>1211</v>
      </c>
      <c r="O394">
        <v>494</v>
      </c>
    </row>
    <row r="395" spans="1:16" x14ac:dyDescent="0.35">
      <c r="A395">
        <v>2024</v>
      </c>
      <c r="B395">
        <v>8</v>
      </c>
      <c r="C395">
        <v>19</v>
      </c>
      <c r="D395">
        <v>742</v>
      </c>
      <c r="E395">
        <v>3</v>
      </c>
      <c r="F395" t="s">
        <v>225</v>
      </c>
      <c r="G395" t="s">
        <v>1209</v>
      </c>
      <c r="H395">
        <v>3</v>
      </c>
      <c r="J395">
        <v>3</v>
      </c>
      <c r="K395">
        <v>3</v>
      </c>
      <c r="L395">
        <v>48.6</v>
      </c>
      <c r="M395">
        <v>384</v>
      </c>
      <c r="N395" t="s">
        <v>1209</v>
      </c>
      <c r="O395">
        <v>742</v>
      </c>
    </row>
    <row r="396" spans="1:16" x14ac:dyDescent="0.35">
      <c r="A396">
        <v>2023</v>
      </c>
      <c r="B396">
        <v>7</v>
      </c>
      <c r="C396">
        <v>19</v>
      </c>
      <c r="D396">
        <v>375</v>
      </c>
      <c r="E396">
        <v>3</v>
      </c>
      <c r="F396" t="s">
        <v>41</v>
      </c>
      <c r="G396" t="s">
        <v>1212</v>
      </c>
      <c r="H396">
        <v>11</v>
      </c>
      <c r="J396" t="s">
        <v>544</v>
      </c>
      <c r="K396" t="s">
        <v>461</v>
      </c>
      <c r="L396">
        <v>4.9000000000000004</v>
      </c>
      <c r="M396">
        <v>385</v>
      </c>
      <c r="N396" t="s">
        <v>1208</v>
      </c>
      <c r="O396">
        <v>375</v>
      </c>
      <c r="P396">
        <v>6.76</v>
      </c>
    </row>
    <row r="397" spans="1:16" x14ac:dyDescent="0.35">
      <c r="A397">
        <v>2024</v>
      </c>
      <c r="B397">
        <v>3</v>
      </c>
      <c r="C397">
        <v>28</v>
      </c>
      <c r="D397">
        <v>654</v>
      </c>
      <c r="E397">
        <v>2</v>
      </c>
      <c r="F397" t="s">
        <v>41</v>
      </c>
      <c r="G397" t="s">
        <v>1207</v>
      </c>
      <c r="H397">
        <v>11</v>
      </c>
      <c r="J397" t="s">
        <v>49</v>
      </c>
      <c r="K397" t="s">
        <v>318</v>
      </c>
      <c r="L397">
        <v>49.6</v>
      </c>
      <c r="M397">
        <v>385</v>
      </c>
      <c r="N397" t="s">
        <v>1208</v>
      </c>
      <c r="O397">
        <v>654</v>
      </c>
    </row>
    <row r="398" spans="1:16" x14ac:dyDescent="0.35">
      <c r="A398">
        <v>2024</v>
      </c>
      <c r="B398">
        <v>1</v>
      </c>
      <c r="C398">
        <v>16</v>
      </c>
      <c r="D398">
        <v>570</v>
      </c>
      <c r="E398">
        <v>1</v>
      </c>
      <c r="F398" t="s">
        <v>45</v>
      </c>
      <c r="G398" t="s">
        <v>1208</v>
      </c>
      <c r="H398">
        <v>13</v>
      </c>
      <c r="J398" t="s">
        <v>615</v>
      </c>
      <c r="K398" t="s">
        <v>317</v>
      </c>
      <c r="L398">
        <v>51.6</v>
      </c>
      <c r="M398">
        <v>386</v>
      </c>
      <c r="N398" t="s">
        <v>1210</v>
      </c>
      <c r="O398">
        <v>570</v>
      </c>
    </row>
    <row r="399" spans="1:16" x14ac:dyDescent="0.35">
      <c r="A399">
        <v>2024</v>
      </c>
      <c r="B399">
        <v>1</v>
      </c>
      <c r="C399">
        <v>16</v>
      </c>
      <c r="D399">
        <v>570</v>
      </c>
      <c r="E399">
        <v>1</v>
      </c>
      <c r="F399" t="s">
        <v>45</v>
      </c>
      <c r="G399" t="s">
        <v>1208</v>
      </c>
      <c r="H399">
        <v>13</v>
      </c>
      <c r="J399" t="s">
        <v>615</v>
      </c>
      <c r="K399" t="s">
        <v>317</v>
      </c>
      <c r="L399">
        <v>51.6</v>
      </c>
      <c r="M399">
        <v>386</v>
      </c>
      <c r="N399" t="s">
        <v>1210</v>
      </c>
      <c r="O399">
        <v>570</v>
      </c>
    </row>
    <row r="400" spans="1:16" x14ac:dyDescent="0.35">
      <c r="A400">
        <v>2024</v>
      </c>
      <c r="B400">
        <v>1</v>
      </c>
      <c r="C400">
        <v>16</v>
      </c>
      <c r="D400">
        <v>570</v>
      </c>
      <c r="E400">
        <v>1</v>
      </c>
      <c r="F400" t="s">
        <v>45</v>
      </c>
      <c r="G400" t="s">
        <v>1208</v>
      </c>
      <c r="H400">
        <v>13</v>
      </c>
      <c r="J400" t="s">
        <v>615</v>
      </c>
      <c r="K400" t="s">
        <v>317</v>
      </c>
      <c r="L400">
        <v>51.6</v>
      </c>
      <c r="M400">
        <v>386</v>
      </c>
      <c r="N400" t="s">
        <v>1210</v>
      </c>
      <c r="O400">
        <v>570</v>
      </c>
    </row>
    <row r="401" spans="1:16" x14ac:dyDescent="0.35">
      <c r="A401">
        <v>2024</v>
      </c>
      <c r="B401">
        <v>1</v>
      </c>
      <c r="C401">
        <v>16</v>
      </c>
      <c r="D401">
        <v>570</v>
      </c>
      <c r="E401">
        <v>1</v>
      </c>
      <c r="F401" t="s">
        <v>45</v>
      </c>
      <c r="G401" t="s">
        <v>1208</v>
      </c>
      <c r="H401">
        <v>13</v>
      </c>
      <c r="J401" t="s">
        <v>615</v>
      </c>
      <c r="K401" t="s">
        <v>317</v>
      </c>
      <c r="L401">
        <v>51.6</v>
      </c>
      <c r="M401">
        <v>386</v>
      </c>
      <c r="N401" t="s">
        <v>1210</v>
      </c>
      <c r="O401">
        <v>570</v>
      </c>
    </row>
    <row r="402" spans="1:16" x14ac:dyDescent="0.35">
      <c r="A402">
        <v>2016</v>
      </c>
      <c r="B402">
        <v>11</v>
      </c>
      <c r="C402">
        <v>7</v>
      </c>
      <c r="D402">
        <v>227</v>
      </c>
      <c r="E402">
        <v>4</v>
      </c>
      <c r="F402" t="s">
        <v>45</v>
      </c>
      <c r="G402" t="s">
        <v>1215</v>
      </c>
      <c r="H402">
        <v>7</v>
      </c>
      <c r="J402" t="s">
        <v>671</v>
      </c>
      <c r="K402" t="s">
        <v>512</v>
      </c>
      <c r="L402">
        <v>51.8</v>
      </c>
      <c r="M402">
        <v>387</v>
      </c>
      <c r="N402" t="s">
        <v>1210</v>
      </c>
      <c r="O402">
        <v>227</v>
      </c>
    </row>
    <row r="403" spans="1:16" x14ac:dyDescent="0.35">
      <c r="A403">
        <v>2023</v>
      </c>
      <c r="B403">
        <v>7</v>
      </c>
      <c r="C403">
        <v>17</v>
      </c>
      <c r="D403">
        <v>388</v>
      </c>
      <c r="E403">
        <v>3</v>
      </c>
      <c r="F403" t="s">
        <v>45</v>
      </c>
      <c r="G403" t="s">
        <v>1208</v>
      </c>
      <c r="H403">
        <v>12</v>
      </c>
      <c r="J403" t="s">
        <v>632</v>
      </c>
      <c r="K403" t="s">
        <v>317</v>
      </c>
      <c r="L403">
        <v>42.6</v>
      </c>
      <c r="M403">
        <v>387</v>
      </c>
      <c r="N403" t="s">
        <v>1210</v>
      </c>
      <c r="O403">
        <v>388</v>
      </c>
    </row>
    <row r="404" spans="1:16" x14ac:dyDescent="0.35">
      <c r="A404">
        <v>2023</v>
      </c>
      <c r="B404">
        <v>7</v>
      </c>
      <c r="C404">
        <v>17</v>
      </c>
      <c r="D404">
        <v>388</v>
      </c>
      <c r="E404">
        <v>3</v>
      </c>
      <c r="F404" t="s">
        <v>45</v>
      </c>
      <c r="G404" t="s">
        <v>1208</v>
      </c>
      <c r="H404">
        <v>12</v>
      </c>
      <c r="J404" t="s">
        <v>632</v>
      </c>
      <c r="K404" t="s">
        <v>317</v>
      </c>
      <c r="L404">
        <v>42.6</v>
      </c>
      <c r="M404">
        <v>387</v>
      </c>
      <c r="N404" t="s">
        <v>1210</v>
      </c>
      <c r="O404">
        <v>388</v>
      </c>
    </row>
    <row r="405" spans="1:16" x14ac:dyDescent="0.35">
      <c r="A405">
        <v>2023</v>
      </c>
      <c r="B405">
        <v>7</v>
      </c>
      <c r="C405">
        <v>21</v>
      </c>
      <c r="D405">
        <v>412</v>
      </c>
      <c r="E405">
        <v>3</v>
      </c>
      <c r="F405" t="s">
        <v>20</v>
      </c>
      <c r="G405" t="s">
        <v>1213</v>
      </c>
      <c r="H405">
        <v>3</v>
      </c>
      <c r="J405" t="s">
        <v>55</v>
      </c>
      <c r="K405">
        <v>8</v>
      </c>
      <c r="L405">
        <v>52.7</v>
      </c>
      <c r="M405">
        <v>387</v>
      </c>
      <c r="N405" t="s">
        <v>1214</v>
      </c>
      <c r="O405">
        <v>412</v>
      </c>
    </row>
    <row r="406" spans="1:16" x14ac:dyDescent="0.35">
      <c r="A406">
        <v>2024</v>
      </c>
      <c r="B406">
        <v>8</v>
      </c>
      <c r="C406">
        <v>12</v>
      </c>
      <c r="D406">
        <v>699</v>
      </c>
      <c r="E406">
        <v>3</v>
      </c>
      <c r="F406" t="s">
        <v>41</v>
      </c>
      <c r="G406" t="s">
        <v>1212</v>
      </c>
      <c r="H406">
        <v>12</v>
      </c>
      <c r="J406" t="s">
        <v>1119</v>
      </c>
      <c r="K406" t="s">
        <v>461</v>
      </c>
      <c r="L406">
        <v>43</v>
      </c>
      <c r="M406">
        <v>387</v>
      </c>
      <c r="N406" t="s">
        <v>1208</v>
      </c>
      <c r="O406">
        <v>699</v>
      </c>
    </row>
    <row r="407" spans="1:16" x14ac:dyDescent="0.35">
      <c r="A407">
        <v>2024</v>
      </c>
      <c r="B407">
        <v>8</v>
      </c>
      <c r="C407">
        <v>15</v>
      </c>
      <c r="D407">
        <v>830</v>
      </c>
      <c r="E407">
        <v>3</v>
      </c>
      <c r="F407" t="s">
        <v>225</v>
      </c>
      <c r="G407" t="s">
        <v>1209</v>
      </c>
      <c r="H407">
        <v>3</v>
      </c>
      <c r="J407" t="s">
        <v>237</v>
      </c>
      <c r="K407">
        <v>3</v>
      </c>
      <c r="L407">
        <v>60.2</v>
      </c>
      <c r="M407">
        <v>387</v>
      </c>
      <c r="N407" t="s">
        <v>1209</v>
      </c>
      <c r="O407">
        <v>830</v>
      </c>
    </row>
    <row r="408" spans="1:16" x14ac:dyDescent="0.35">
      <c r="A408">
        <v>2022</v>
      </c>
      <c r="B408">
        <v>1</v>
      </c>
      <c r="C408" t="s">
        <v>28</v>
      </c>
      <c r="D408">
        <v>59</v>
      </c>
      <c r="E408">
        <v>1</v>
      </c>
      <c r="F408" t="s">
        <v>41</v>
      </c>
      <c r="G408" t="s">
        <v>1212</v>
      </c>
      <c r="H408">
        <v>10</v>
      </c>
      <c r="J408" t="s">
        <v>461</v>
      </c>
      <c r="K408" t="s">
        <v>461</v>
      </c>
      <c r="L408">
        <v>51.1</v>
      </c>
      <c r="M408">
        <v>388</v>
      </c>
      <c r="N408" t="s">
        <v>1208</v>
      </c>
      <c r="O408">
        <v>59</v>
      </c>
    </row>
    <row r="409" spans="1:16" x14ac:dyDescent="0.35">
      <c r="A409">
        <v>2024</v>
      </c>
      <c r="B409">
        <v>1</v>
      </c>
      <c r="C409">
        <v>17</v>
      </c>
      <c r="D409">
        <v>562</v>
      </c>
      <c r="E409">
        <v>1</v>
      </c>
      <c r="F409" t="s">
        <v>41</v>
      </c>
      <c r="G409" t="s">
        <v>1207</v>
      </c>
      <c r="H409">
        <v>11</v>
      </c>
      <c r="J409" t="s">
        <v>42</v>
      </c>
      <c r="K409" t="s">
        <v>318</v>
      </c>
      <c r="L409">
        <v>51.4</v>
      </c>
      <c r="M409">
        <v>388</v>
      </c>
      <c r="N409" t="s">
        <v>1208</v>
      </c>
      <c r="O409">
        <v>562</v>
      </c>
    </row>
    <row r="410" spans="1:16" x14ac:dyDescent="0.35">
      <c r="A410">
        <v>2019</v>
      </c>
      <c r="B410">
        <v>11</v>
      </c>
      <c r="C410">
        <v>27</v>
      </c>
      <c r="D410">
        <v>50</v>
      </c>
      <c r="E410">
        <v>4</v>
      </c>
      <c r="F410" t="s">
        <v>45</v>
      </c>
      <c r="G410" t="s">
        <v>1215</v>
      </c>
      <c r="H410">
        <v>10</v>
      </c>
      <c r="J410" t="s">
        <v>488</v>
      </c>
      <c r="K410" t="s">
        <v>488</v>
      </c>
      <c r="L410">
        <v>57.7</v>
      </c>
      <c r="M410">
        <v>389</v>
      </c>
      <c r="N410" t="s">
        <v>1210</v>
      </c>
      <c r="O410">
        <v>50</v>
      </c>
      <c r="P410">
        <v>8.01</v>
      </c>
    </row>
    <row r="411" spans="1:16" x14ac:dyDescent="0.35">
      <c r="A411">
        <v>2023</v>
      </c>
      <c r="B411">
        <v>11</v>
      </c>
      <c r="C411">
        <v>2</v>
      </c>
      <c r="D411">
        <v>536</v>
      </c>
      <c r="E411">
        <v>4</v>
      </c>
      <c r="F411" t="s">
        <v>45</v>
      </c>
      <c r="G411" t="s">
        <v>1208</v>
      </c>
      <c r="H411">
        <v>12</v>
      </c>
      <c r="J411" t="s">
        <v>990</v>
      </c>
      <c r="K411" t="s">
        <v>317</v>
      </c>
      <c r="L411">
        <v>50.8</v>
      </c>
      <c r="M411">
        <v>389</v>
      </c>
      <c r="N411" t="s">
        <v>1210</v>
      </c>
      <c r="O411">
        <v>536</v>
      </c>
    </row>
    <row r="412" spans="1:16" x14ac:dyDescent="0.35">
      <c r="A412">
        <v>2011</v>
      </c>
      <c r="B412">
        <v>9</v>
      </c>
      <c r="C412">
        <v>11</v>
      </c>
      <c r="D412">
        <v>621</v>
      </c>
      <c r="E412">
        <v>3</v>
      </c>
      <c r="F412" t="s">
        <v>45</v>
      </c>
      <c r="G412" t="s">
        <v>1208</v>
      </c>
      <c r="H412">
        <v>0</v>
      </c>
      <c r="J412" t="s">
        <v>602</v>
      </c>
      <c r="K412" t="s">
        <v>317</v>
      </c>
      <c r="L412">
        <v>47.6</v>
      </c>
      <c r="M412">
        <v>389</v>
      </c>
      <c r="N412" t="s">
        <v>1210</v>
      </c>
      <c r="O412">
        <v>621</v>
      </c>
    </row>
    <row r="413" spans="1:16" x14ac:dyDescent="0.35">
      <c r="A413">
        <v>2017</v>
      </c>
      <c r="B413">
        <v>11</v>
      </c>
      <c r="C413">
        <v>9</v>
      </c>
      <c r="D413">
        <v>76</v>
      </c>
      <c r="E413">
        <v>4</v>
      </c>
      <c r="F413" t="s">
        <v>45</v>
      </c>
      <c r="G413" t="s">
        <v>1208</v>
      </c>
      <c r="H413">
        <v>6</v>
      </c>
      <c r="J413" t="s">
        <v>317</v>
      </c>
      <c r="K413" t="s">
        <v>317</v>
      </c>
      <c r="L413">
        <v>49.7</v>
      </c>
      <c r="M413">
        <v>390</v>
      </c>
      <c r="N413" t="s">
        <v>1210</v>
      </c>
      <c r="O413">
        <v>76</v>
      </c>
    </row>
    <row r="414" spans="1:16" x14ac:dyDescent="0.35">
      <c r="A414">
        <v>2023</v>
      </c>
      <c r="B414">
        <v>2</v>
      </c>
      <c r="C414">
        <v>18</v>
      </c>
      <c r="D414">
        <v>145</v>
      </c>
      <c r="E414">
        <v>1</v>
      </c>
      <c r="F414" t="s">
        <v>41</v>
      </c>
      <c r="G414" t="s">
        <v>1207</v>
      </c>
      <c r="H414">
        <v>10</v>
      </c>
      <c r="J414" t="s">
        <v>91</v>
      </c>
      <c r="K414" t="s">
        <v>318</v>
      </c>
      <c r="L414">
        <v>51.8</v>
      </c>
      <c r="M414">
        <v>390</v>
      </c>
      <c r="N414" t="s">
        <v>1208</v>
      </c>
      <c r="O414">
        <v>145</v>
      </c>
    </row>
    <row r="415" spans="1:16" x14ac:dyDescent="0.35">
      <c r="A415">
        <v>2023</v>
      </c>
      <c r="B415">
        <v>2</v>
      </c>
      <c r="C415">
        <v>18</v>
      </c>
      <c r="D415">
        <v>145</v>
      </c>
      <c r="E415">
        <v>1</v>
      </c>
      <c r="F415" t="s">
        <v>41</v>
      </c>
      <c r="G415" t="s">
        <v>1207</v>
      </c>
      <c r="H415">
        <v>10</v>
      </c>
      <c r="J415" t="s">
        <v>91</v>
      </c>
      <c r="K415" t="s">
        <v>318</v>
      </c>
      <c r="L415">
        <v>51.8</v>
      </c>
      <c r="M415">
        <v>390</v>
      </c>
      <c r="N415" t="s">
        <v>1208</v>
      </c>
      <c r="O415">
        <v>145</v>
      </c>
    </row>
    <row r="416" spans="1:16" x14ac:dyDescent="0.35">
      <c r="A416">
        <v>2023</v>
      </c>
      <c r="B416">
        <v>2</v>
      </c>
      <c r="C416">
        <v>18</v>
      </c>
      <c r="D416">
        <v>145</v>
      </c>
      <c r="E416">
        <v>1</v>
      </c>
      <c r="F416" t="s">
        <v>41</v>
      </c>
      <c r="G416" t="s">
        <v>1207</v>
      </c>
      <c r="H416">
        <v>10</v>
      </c>
      <c r="J416" t="s">
        <v>91</v>
      </c>
      <c r="K416" t="s">
        <v>318</v>
      </c>
      <c r="L416">
        <v>51.8</v>
      </c>
      <c r="M416">
        <v>390</v>
      </c>
      <c r="N416" t="s">
        <v>1208</v>
      </c>
      <c r="O416">
        <v>145</v>
      </c>
    </row>
    <row r="417" spans="1:16" x14ac:dyDescent="0.35">
      <c r="A417">
        <v>2024</v>
      </c>
      <c r="B417">
        <v>8</v>
      </c>
      <c r="C417">
        <v>19</v>
      </c>
      <c r="D417">
        <v>810</v>
      </c>
      <c r="E417">
        <v>3</v>
      </c>
      <c r="F417" t="s">
        <v>225</v>
      </c>
      <c r="G417" t="s">
        <v>1209</v>
      </c>
      <c r="H417">
        <v>3</v>
      </c>
      <c r="J417">
        <v>3</v>
      </c>
      <c r="K417">
        <v>3</v>
      </c>
      <c r="L417">
        <v>61.7</v>
      </c>
      <c r="M417">
        <v>390</v>
      </c>
      <c r="N417" t="s">
        <v>1209</v>
      </c>
      <c r="O417">
        <v>810</v>
      </c>
    </row>
    <row r="418" spans="1:16" x14ac:dyDescent="0.35">
      <c r="A418">
        <v>2019</v>
      </c>
      <c r="B418">
        <v>1</v>
      </c>
      <c r="C418" t="s">
        <v>28</v>
      </c>
      <c r="D418">
        <v>64</v>
      </c>
      <c r="E418">
        <v>1</v>
      </c>
      <c r="F418" t="s">
        <v>41</v>
      </c>
      <c r="G418" t="s">
        <v>1212</v>
      </c>
      <c r="H418">
        <v>7</v>
      </c>
      <c r="J418" t="s">
        <v>461</v>
      </c>
      <c r="K418" t="s">
        <v>461</v>
      </c>
      <c r="L418">
        <v>43.7</v>
      </c>
      <c r="M418">
        <v>391</v>
      </c>
      <c r="N418" t="s">
        <v>1208</v>
      </c>
      <c r="O418">
        <v>64</v>
      </c>
    </row>
    <row r="419" spans="1:16" x14ac:dyDescent="0.35">
      <c r="A419">
        <v>2023</v>
      </c>
      <c r="B419">
        <v>8</v>
      </c>
      <c r="C419">
        <v>2</v>
      </c>
      <c r="D419">
        <v>442</v>
      </c>
      <c r="E419">
        <v>3</v>
      </c>
      <c r="F419" t="s">
        <v>226</v>
      </c>
      <c r="G419" t="s">
        <v>1217</v>
      </c>
      <c r="H419">
        <v>4</v>
      </c>
      <c r="J419" t="s">
        <v>231</v>
      </c>
      <c r="K419">
        <v>8</v>
      </c>
      <c r="L419">
        <v>46.6</v>
      </c>
      <c r="M419">
        <v>391</v>
      </c>
      <c r="N419" t="s">
        <v>1211</v>
      </c>
      <c r="O419">
        <v>442</v>
      </c>
    </row>
    <row r="420" spans="1:16" x14ac:dyDescent="0.35">
      <c r="A420">
        <v>2024</v>
      </c>
      <c r="B420">
        <v>3</v>
      </c>
      <c r="C420">
        <v>12</v>
      </c>
      <c r="D420">
        <v>687</v>
      </c>
      <c r="E420">
        <v>2</v>
      </c>
      <c r="F420" t="s">
        <v>45</v>
      </c>
      <c r="G420" t="s">
        <v>1208</v>
      </c>
      <c r="H420">
        <v>13</v>
      </c>
      <c r="J420" t="s">
        <v>1105</v>
      </c>
      <c r="K420" t="s">
        <v>317</v>
      </c>
      <c r="L420">
        <v>60.6</v>
      </c>
      <c r="M420">
        <v>391</v>
      </c>
      <c r="N420" t="s">
        <v>1210</v>
      </c>
      <c r="O420">
        <v>687</v>
      </c>
    </row>
    <row r="421" spans="1:16" x14ac:dyDescent="0.35">
      <c r="A421">
        <v>2024</v>
      </c>
      <c r="B421">
        <v>8</v>
      </c>
      <c r="C421">
        <v>15</v>
      </c>
      <c r="D421">
        <v>829</v>
      </c>
      <c r="E421">
        <v>3</v>
      </c>
      <c r="F421" t="s">
        <v>225</v>
      </c>
      <c r="G421" t="s">
        <v>1209</v>
      </c>
      <c r="H421">
        <v>3</v>
      </c>
      <c r="J421" t="s">
        <v>237</v>
      </c>
      <c r="K421">
        <v>3</v>
      </c>
      <c r="L421">
        <v>54.4</v>
      </c>
      <c r="M421">
        <v>391</v>
      </c>
      <c r="N421" t="s">
        <v>1209</v>
      </c>
      <c r="O421">
        <v>829</v>
      </c>
    </row>
    <row r="422" spans="1:16" x14ac:dyDescent="0.35">
      <c r="A422">
        <v>2023</v>
      </c>
      <c r="B422">
        <v>2</v>
      </c>
      <c r="C422">
        <v>10</v>
      </c>
      <c r="D422">
        <v>141</v>
      </c>
      <c r="E422">
        <v>1</v>
      </c>
      <c r="F422" t="s">
        <v>41</v>
      </c>
      <c r="G422" t="s">
        <v>1207</v>
      </c>
      <c r="H422">
        <v>10</v>
      </c>
      <c r="J422" t="s">
        <v>91</v>
      </c>
      <c r="K422" t="s">
        <v>318</v>
      </c>
      <c r="L422">
        <v>138.80000000000001</v>
      </c>
      <c r="M422">
        <v>392</v>
      </c>
      <c r="N422" t="s">
        <v>1208</v>
      </c>
      <c r="O422">
        <v>141</v>
      </c>
    </row>
    <row r="423" spans="1:16" x14ac:dyDescent="0.35">
      <c r="A423">
        <v>2016</v>
      </c>
      <c r="B423">
        <v>8</v>
      </c>
      <c r="C423">
        <v>31</v>
      </c>
      <c r="D423">
        <v>287</v>
      </c>
      <c r="E423">
        <v>3</v>
      </c>
      <c r="F423" t="s">
        <v>45</v>
      </c>
      <c r="G423" t="s">
        <v>1208</v>
      </c>
      <c r="H423">
        <v>5</v>
      </c>
      <c r="J423" t="s">
        <v>749</v>
      </c>
      <c r="K423" t="s">
        <v>317</v>
      </c>
      <c r="L423">
        <v>47.6</v>
      </c>
      <c r="M423">
        <v>392</v>
      </c>
      <c r="N423" t="s">
        <v>1210</v>
      </c>
      <c r="O423">
        <v>287</v>
      </c>
    </row>
    <row r="424" spans="1:16" x14ac:dyDescent="0.35">
      <c r="A424">
        <v>2023</v>
      </c>
      <c r="B424">
        <v>11</v>
      </c>
      <c r="C424">
        <v>17</v>
      </c>
      <c r="D424">
        <v>500</v>
      </c>
      <c r="E424">
        <v>4</v>
      </c>
      <c r="F424" t="s">
        <v>225</v>
      </c>
      <c r="G424" t="s">
        <v>1216</v>
      </c>
      <c r="H424">
        <v>1</v>
      </c>
      <c r="J424" t="s">
        <v>235</v>
      </c>
      <c r="K424">
        <v>5</v>
      </c>
      <c r="L424">
        <v>50.4</v>
      </c>
      <c r="M424">
        <v>392</v>
      </c>
      <c r="N424" t="s">
        <v>1209</v>
      </c>
      <c r="O424">
        <v>500</v>
      </c>
    </row>
    <row r="425" spans="1:16" x14ac:dyDescent="0.35">
      <c r="A425">
        <v>2017</v>
      </c>
      <c r="B425">
        <v>8</v>
      </c>
      <c r="C425">
        <v>14</v>
      </c>
      <c r="D425">
        <v>89</v>
      </c>
      <c r="E425">
        <v>3</v>
      </c>
      <c r="F425" t="s">
        <v>45</v>
      </c>
      <c r="G425" t="s">
        <v>1208</v>
      </c>
      <c r="H425">
        <v>6</v>
      </c>
      <c r="J425" t="s">
        <v>317</v>
      </c>
      <c r="K425" t="s">
        <v>317</v>
      </c>
      <c r="L425">
        <v>52.2</v>
      </c>
      <c r="M425">
        <v>393</v>
      </c>
      <c r="N425" t="s">
        <v>1210</v>
      </c>
      <c r="O425">
        <v>89</v>
      </c>
    </row>
    <row r="426" spans="1:16" x14ac:dyDescent="0.35">
      <c r="A426">
        <v>2023</v>
      </c>
      <c r="B426">
        <v>7</v>
      </c>
      <c r="C426">
        <v>17</v>
      </c>
      <c r="D426">
        <v>396</v>
      </c>
      <c r="E426">
        <v>3</v>
      </c>
      <c r="F426" t="s">
        <v>45</v>
      </c>
      <c r="G426" t="s">
        <v>1208</v>
      </c>
      <c r="H426">
        <v>12</v>
      </c>
      <c r="J426" t="s">
        <v>632</v>
      </c>
      <c r="K426" t="s">
        <v>317</v>
      </c>
      <c r="L426">
        <v>34.799999999999997</v>
      </c>
      <c r="M426">
        <v>393</v>
      </c>
      <c r="N426" t="s">
        <v>1210</v>
      </c>
      <c r="O426">
        <v>396</v>
      </c>
    </row>
    <row r="427" spans="1:16" x14ac:dyDescent="0.35">
      <c r="A427">
        <v>2024</v>
      </c>
      <c r="B427">
        <v>8</v>
      </c>
      <c r="C427">
        <v>13</v>
      </c>
      <c r="D427">
        <v>711</v>
      </c>
      <c r="E427">
        <v>3</v>
      </c>
      <c r="F427" t="s">
        <v>225</v>
      </c>
      <c r="G427" t="s">
        <v>1216</v>
      </c>
      <c r="H427">
        <v>2</v>
      </c>
      <c r="J427" t="s">
        <v>1126</v>
      </c>
      <c r="K427">
        <v>2</v>
      </c>
      <c r="L427">
        <v>55.7</v>
      </c>
      <c r="M427">
        <v>393</v>
      </c>
      <c r="N427" t="s">
        <v>1209</v>
      </c>
      <c r="O427">
        <v>711</v>
      </c>
    </row>
    <row r="428" spans="1:16" x14ac:dyDescent="0.35">
      <c r="A428">
        <v>2022</v>
      </c>
      <c r="B428">
        <v>3</v>
      </c>
      <c r="C428" t="s">
        <v>28</v>
      </c>
      <c r="D428">
        <v>7</v>
      </c>
      <c r="E428">
        <v>2</v>
      </c>
      <c r="F428" t="s">
        <v>20</v>
      </c>
      <c r="G428" t="s">
        <v>1217</v>
      </c>
      <c r="H428">
        <v>3</v>
      </c>
      <c r="J428">
        <v>23</v>
      </c>
      <c r="K428">
        <v>23</v>
      </c>
      <c r="L428">
        <v>53.5</v>
      </c>
      <c r="M428">
        <v>394</v>
      </c>
      <c r="N428" t="s">
        <v>1214</v>
      </c>
      <c r="O428">
        <v>7</v>
      </c>
    </row>
    <row r="429" spans="1:16" x14ac:dyDescent="0.35">
      <c r="A429">
        <v>2022</v>
      </c>
      <c r="B429">
        <v>11</v>
      </c>
      <c r="C429">
        <v>7</v>
      </c>
      <c r="D429">
        <v>103</v>
      </c>
      <c r="E429">
        <v>4</v>
      </c>
      <c r="F429" t="s">
        <v>41</v>
      </c>
      <c r="G429" t="s">
        <v>1212</v>
      </c>
      <c r="H429">
        <v>10</v>
      </c>
      <c r="J429" t="s">
        <v>551</v>
      </c>
      <c r="K429" t="s">
        <v>461</v>
      </c>
      <c r="L429">
        <v>53.7</v>
      </c>
      <c r="M429">
        <v>394</v>
      </c>
      <c r="N429" t="s">
        <v>1208</v>
      </c>
      <c r="O429">
        <v>103</v>
      </c>
    </row>
    <row r="430" spans="1:16" x14ac:dyDescent="0.35">
      <c r="A430">
        <v>2022</v>
      </c>
      <c r="B430">
        <v>11</v>
      </c>
      <c r="C430">
        <v>22</v>
      </c>
      <c r="D430">
        <v>115</v>
      </c>
      <c r="E430">
        <v>4</v>
      </c>
      <c r="F430" t="s">
        <v>41</v>
      </c>
      <c r="G430" t="s">
        <v>1212</v>
      </c>
      <c r="H430">
        <v>10</v>
      </c>
      <c r="J430" t="s">
        <v>461</v>
      </c>
      <c r="K430" t="s">
        <v>461</v>
      </c>
      <c r="L430">
        <v>48.5</v>
      </c>
      <c r="M430">
        <v>394</v>
      </c>
      <c r="N430" t="s">
        <v>1208</v>
      </c>
      <c r="O430">
        <v>115</v>
      </c>
    </row>
    <row r="431" spans="1:16" x14ac:dyDescent="0.35">
      <c r="A431">
        <v>2019</v>
      </c>
      <c r="B431">
        <v>1</v>
      </c>
      <c r="C431" t="s">
        <v>28</v>
      </c>
      <c r="D431">
        <v>63</v>
      </c>
      <c r="E431">
        <v>1</v>
      </c>
      <c r="F431" t="s">
        <v>41</v>
      </c>
      <c r="G431" t="s">
        <v>1212</v>
      </c>
      <c r="H431">
        <v>7</v>
      </c>
      <c r="J431" t="s">
        <v>461</v>
      </c>
      <c r="K431" t="s">
        <v>461</v>
      </c>
      <c r="L431">
        <v>49.3</v>
      </c>
      <c r="M431">
        <v>395</v>
      </c>
      <c r="N431" t="s">
        <v>1208</v>
      </c>
      <c r="O431">
        <v>63</v>
      </c>
      <c r="P431">
        <v>8.7899999999999991</v>
      </c>
    </row>
    <row r="432" spans="1:16" x14ac:dyDescent="0.35">
      <c r="A432">
        <v>2022</v>
      </c>
      <c r="B432">
        <v>1</v>
      </c>
      <c r="C432" t="s">
        <v>28</v>
      </c>
      <c r="D432">
        <v>26</v>
      </c>
      <c r="E432">
        <v>1</v>
      </c>
      <c r="F432" t="s">
        <v>20</v>
      </c>
      <c r="G432" t="s">
        <v>1213</v>
      </c>
      <c r="H432">
        <v>2</v>
      </c>
      <c r="J432">
        <v>7</v>
      </c>
      <c r="K432">
        <v>7</v>
      </c>
      <c r="L432">
        <v>67.8</v>
      </c>
      <c r="M432">
        <v>395</v>
      </c>
      <c r="N432" t="s">
        <v>1214</v>
      </c>
      <c r="O432">
        <v>26</v>
      </c>
      <c r="P432">
        <v>8.07</v>
      </c>
    </row>
    <row r="433" spans="1:15" x14ac:dyDescent="0.35">
      <c r="A433">
        <v>2023</v>
      </c>
      <c r="B433">
        <v>7</v>
      </c>
      <c r="C433">
        <v>17</v>
      </c>
      <c r="D433">
        <v>398</v>
      </c>
      <c r="E433">
        <v>3</v>
      </c>
      <c r="F433" t="s">
        <v>45</v>
      </c>
      <c r="G433" t="s">
        <v>1208</v>
      </c>
      <c r="H433">
        <v>12</v>
      </c>
      <c r="J433" t="s">
        <v>632</v>
      </c>
      <c r="K433" t="s">
        <v>317</v>
      </c>
      <c r="L433">
        <v>4.0999999999999996</v>
      </c>
      <c r="M433">
        <v>395</v>
      </c>
      <c r="N433" t="s">
        <v>1210</v>
      </c>
      <c r="O433">
        <v>398</v>
      </c>
    </row>
    <row r="434" spans="1:15" x14ac:dyDescent="0.35">
      <c r="A434">
        <v>2023</v>
      </c>
      <c r="B434">
        <v>10</v>
      </c>
      <c r="C434">
        <v>31</v>
      </c>
      <c r="D434">
        <v>542</v>
      </c>
      <c r="E434">
        <v>4</v>
      </c>
      <c r="F434" t="s">
        <v>225</v>
      </c>
      <c r="G434" t="s">
        <v>1216</v>
      </c>
      <c r="H434">
        <v>1</v>
      </c>
      <c r="J434" t="s">
        <v>67</v>
      </c>
      <c r="K434">
        <v>2</v>
      </c>
      <c r="L434">
        <v>64.8</v>
      </c>
      <c r="M434">
        <v>395</v>
      </c>
      <c r="N434" t="s">
        <v>1209</v>
      </c>
      <c r="O434">
        <v>542</v>
      </c>
    </row>
    <row r="435" spans="1:15" x14ac:dyDescent="0.35">
      <c r="A435">
        <v>2024</v>
      </c>
      <c r="B435">
        <v>8</v>
      </c>
      <c r="C435">
        <v>19</v>
      </c>
      <c r="D435">
        <v>727</v>
      </c>
      <c r="E435">
        <v>3</v>
      </c>
      <c r="F435" t="s">
        <v>225</v>
      </c>
      <c r="G435" t="s">
        <v>1209</v>
      </c>
      <c r="H435">
        <v>3</v>
      </c>
      <c r="J435">
        <v>3</v>
      </c>
      <c r="K435">
        <v>3</v>
      </c>
      <c r="L435">
        <v>85.3</v>
      </c>
      <c r="M435">
        <v>395</v>
      </c>
      <c r="N435" t="s">
        <v>1209</v>
      </c>
      <c r="O435">
        <v>727</v>
      </c>
    </row>
    <row r="436" spans="1:15" x14ac:dyDescent="0.35">
      <c r="A436">
        <v>2016</v>
      </c>
      <c r="B436">
        <v>8</v>
      </c>
      <c r="C436">
        <v>31</v>
      </c>
      <c r="D436">
        <v>278</v>
      </c>
      <c r="E436">
        <v>3</v>
      </c>
      <c r="F436" t="s">
        <v>45</v>
      </c>
      <c r="G436" t="s">
        <v>1215</v>
      </c>
      <c r="H436">
        <v>7</v>
      </c>
      <c r="J436" t="s">
        <v>742</v>
      </c>
      <c r="K436" t="s">
        <v>488</v>
      </c>
      <c r="L436">
        <v>53.3</v>
      </c>
      <c r="M436">
        <v>396</v>
      </c>
      <c r="N436" t="s">
        <v>1210</v>
      </c>
      <c r="O436">
        <v>278</v>
      </c>
    </row>
    <row r="437" spans="1:15" x14ac:dyDescent="0.35">
      <c r="A437">
        <v>2024</v>
      </c>
      <c r="B437">
        <v>8</v>
      </c>
      <c r="C437">
        <v>19</v>
      </c>
      <c r="D437">
        <v>787</v>
      </c>
      <c r="E437">
        <v>3</v>
      </c>
      <c r="F437" t="s">
        <v>225</v>
      </c>
      <c r="G437" t="s">
        <v>1209</v>
      </c>
      <c r="H437">
        <v>3</v>
      </c>
      <c r="J437">
        <v>3</v>
      </c>
      <c r="K437">
        <v>3</v>
      </c>
      <c r="L437">
        <v>71.2</v>
      </c>
      <c r="M437">
        <v>396</v>
      </c>
      <c r="N437" t="s">
        <v>1209</v>
      </c>
      <c r="O437">
        <v>787</v>
      </c>
    </row>
    <row r="438" spans="1:15" x14ac:dyDescent="0.35">
      <c r="A438">
        <v>2022</v>
      </c>
      <c r="B438">
        <v>11</v>
      </c>
      <c r="C438">
        <v>18</v>
      </c>
      <c r="D438">
        <v>111</v>
      </c>
      <c r="E438">
        <v>4</v>
      </c>
      <c r="F438" t="s">
        <v>225</v>
      </c>
      <c r="G438" t="s">
        <v>1209</v>
      </c>
      <c r="H438">
        <v>1</v>
      </c>
      <c r="J438">
        <v>1</v>
      </c>
      <c r="K438">
        <v>1</v>
      </c>
      <c r="L438">
        <v>55.1</v>
      </c>
      <c r="M438">
        <v>397</v>
      </c>
      <c r="N438" t="s">
        <v>1209</v>
      </c>
      <c r="O438">
        <v>111</v>
      </c>
    </row>
    <row r="439" spans="1:15" x14ac:dyDescent="0.35">
      <c r="A439">
        <v>2023</v>
      </c>
      <c r="B439">
        <v>7</v>
      </c>
      <c r="C439">
        <v>17</v>
      </c>
      <c r="D439">
        <v>380</v>
      </c>
      <c r="E439">
        <v>3</v>
      </c>
      <c r="F439" t="s">
        <v>45</v>
      </c>
      <c r="G439" t="s">
        <v>1208</v>
      </c>
      <c r="H439">
        <v>12</v>
      </c>
      <c r="J439" t="s">
        <v>46</v>
      </c>
      <c r="K439" t="s">
        <v>317</v>
      </c>
      <c r="L439">
        <v>49.9</v>
      </c>
      <c r="M439">
        <v>397</v>
      </c>
      <c r="N439" t="s">
        <v>1210</v>
      </c>
      <c r="O439">
        <v>380</v>
      </c>
    </row>
    <row r="440" spans="1:15" x14ac:dyDescent="0.35">
      <c r="A440">
        <v>2023</v>
      </c>
      <c r="B440">
        <v>7</v>
      </c>
      <c r="C440">
        <v>17</v>
      </c>
      <c r="D440">
        <v>380</v>
      </c>
      <c r="E440">
        <v>3</v>
      </c>
      <c r="F440" t="s">
        <v>45</v>
      </c>
      <c r="G440" t="s">
        <v>1208</v>
      </c>
      <c r="H440">
        <v>12</v>
      </c>
      <c r="J440" t="s">
        <v>46</v>
      </c>
      <c r="K440" t="s">
        <v>317</v>
      </c>
      <c r="L440">
        <v>49.9</v>
      </c>
      <c r="M440">
        <v>397</v>
      </c>
      <c r="N440" t="s">
        <v>1210</v>
      </c>
      <c r="O440">
        <v>380</v>
      </c>
    </row>
    <row r="441" spans="1:15" x14ac:dyDescent="0.35">
      <c r="A441">
        <v>2024</v>
      </c>
      <c r="B441">
        <v>8</v>
      </c>
      <c r="C441">
        <v>15</v>
      </c>
      <c r="D441">
        <v>772</v>
      </c>
      <c r="E441">
        <v>3</v>
      </c>
      <c r="F441" t="s">
        <v>225</v>
      </c>
      <c r="G441" t="s">
        <v>1209</v>
      </c>
      <c r="H441">
        <v>3</v>
      </c>
      <c r="J441">
        <v>3</v>
      </c>
      <c r="K441">
        <v>3</v>
      </c>
      <c r="L441">
        <v>61.8</v>
      </c>
      <c r="M441">
        <v>397</v>
      </c>
      <c r="N441" t="s">
        <v>1209</v>
      </c>
      <c r="O441">
        <v>772</v>
      </c>
    </row>
    <row r="442" spans="1:15" x14ac:dyDescent="0.35">
      <c r="A442">
        <v>2024</v>
      </c>
      <c r="B442">
        <v>8</v>
      </c>
      <c r="C442">
        <v>15</v>
      </c>
      <c r="D442">
        <v>733</v>
      </c>
      <c r="E442">
        <v>3</v>
      </c>
      <c r="F442" t="s">
        <v>225</v>
      </c>
      <c r="G442" t="s">
        <v>1209</v>
      </c>
      <c r="H442">
        <v>3</v>
      </c>
      <c r="J442">
        <v>3</v>
      </c>
      <c r="K442">
        <v>3</v>
      </c>
      <c r="L442">
        <v>80.2</v>
      </c>
      <c r="M442">
        <v>398</v>
      </c>
      <c r="N442" t="s">
        <v>1209</v>
      </c>
      <c r="O442">
        <v>733</v>
      </c>
    </row>
    <row r="443" spans="1:15" x14ac:dyDescent="0.35">
      <c r="A443">
        <v>2023</v>
      </c>
      <c r="B443">
        <v>2</v>
      </c>
      <c r="C443">
        <v>10</v>
      </c>
      <c r="D443">
        <v>144</v>
      </c>
      <c r="E443">
        <v>1</v>
      </c>
      <c r="F443" t="s">
        <v>41</v>
      </c>
      <c r="G443" t="s">
        <v>1207</v>
      </c>
      <c r="H443">
        <v>10</v>
      </c>
      <c r="J443" t="s">
        <v>91</v>
      </c>
      <c r="K443" t="s">
        <v>318</v>
      </c>
      <c r="L443">
        <v>147.19999999999999</v>
      </c>
      <c r="M443">
        <v>400</v>
      </c>
      <c r="N443" t="s">
        <v>1208</v>
      </c>
      <c r="O443">
        <v>144</v>
      </c>
    </row>
    <row r="444" spans="1:15" x14ac:dyDescent="0.35">
      <c r="A444">
        <v>2023</v>
      </c>
      <c r="B444">
        <v>2</v>
      </c>
      <c r="C444">
        <v>10</v>
      </c>
      <c r="D444">
        <v>144</v>
      </c>
      <c r="E444">
        <v>1</v>
      </c>
      <c r="F444" t="s">
        <v>41</v>
      </c>
      <c r="G444" t="s">
        <v>1207</v>
      </c>
      <c r="H444">
        <v>10</v>
      </c>
      <c r="J444" t="s">
        <v>91</v>
      </c>
      <c r="K444" t="s">
        <v>318</v>
      </c>
      <c r="L444">
        <v>147.19999999999999</v>
      </c>
      <c r="M444">
        <v>400</v>
      </c>
      <c r="N444" t="s">
        <v>1208</v>
      </c>
      <c r="O444">
        <v>144</v>
      </c>
    </row>
    <row r="445" spans="1:15" x14ac:dyDescent="0.35">
      <c r="A445">
        <v>2024</v>
      </c>
      <c r="B445">
        <v>1</v>
      </c>
      <c r="C445">
        <v>26</v>
      </c>
      <c r="D445">
        <v>553</v>
      </c>
      <c r="E445">
        <v>1</v>
      </c>
      <c r="F445" t="s">
        <v>225</v>
      </c>
      <c r="G445" t="s">
        <v>1209</v>
      </c>
      <c r="H445">
        <v>3</v>
      </c>
      <c r="J445" t="s">
        <v>76</v>
      </c>
      <c r="K445">
        <v>1</v>
      </c>
      <c r="L445">
        <v>61.3</v>
      </c>
      <c r="M445">
        <v>400</v>
      </c>
      <c r="N445" t="s">
        <v>1209</v>
      </c>
      <c r="O445">
        <v>553</v>
      </c>
    </row>
    <row r="446" spans="1:15" x14ac:dyDescent="0.35">
      <c r="A446">
        <v>2011</v>
      </c>
      <c r="B446">
        <v>9</v>
      </c>
      <c r="C446">
        <v>11</v>
      </c>
      <c r="D446">
        <v>622</v>
      </c>
      <c r="E446">
        <v>3</v>
      </c>
      <c r="F446" t="s">
        <v>45</v>
      </c>
      <c r="G446" t="s">
        <v>1208</v>
      </c>
      <c r="H446">
        <v>0</v>
      </c>
      <c r="J446" t="s">
        <v>602</v>
      </c>
      <c r="K446" t="s">
        <v>317</v>
      </c>
      <c r="L446">
        <v>61.9</v>
      </c>
      <c r="M446">
        <v>400</v>
      </c>
      <c r="N446" t="s">
        <v>1210</v>
      </c>
      <c r="O446">
        <v>622</v>
      </c>
    </row>
    <row r="447" spans="1:15" x14ac:dyDescent="0.35">
      <c r="A447">
        <v>2024</v>
      </c>
      <c r="B447">
        <v>1</v>
      </c>
      <c r="C447">
        <v>30</v>
      </c>
      <c r="D447">
        <v>629</v>
      </c>
      <c r="E447">
        <v>1</v>
      </c>
      <c r="F447" t="s">
        <v>225</v>
      </c>
      <c r="G447" t="s">
        <v>1216</v>
      </c>
      <c r="H447">
        <v>2</v>
      </c>
      <c r="J447" t="s">
        <v>21</v>
      </c>
      <c r="K447">
        <v>2</v>
      </c>
      <c r="L447">
        <v>66.3</v>
      </c>
      <c r="M447">
        <v>400</v>
      </c>
      <c r="N447" t="s">
        <v>1209</v>
      </c>
      <c r="O447">
        <v>629</v>
      </c>
    </row>
    <row r="448" spans="1:15" x14ac:dyDescent="0.35">
      <c r="A448">
        <v>2019</v>
      </c>
      <c r="B448">
        <v>8</v>
      </c>
      <c r="C448">
        <v>6</v>
      </c>
      <c r="D448">
        <v>268</v>
      </c>
      <c r="E448">
        <v>3</v>
      </c>
      <c r="F448" t="s">
        <v>226</v>
      </c>
      <c r="G448" t="s">
        <v>1211</v>
      </c>
      <c r="H448">
        <v>2</v>
      </c>
      <c r="J448" t="s">
        <v>228</v>
      </c>
      <c r="K448">
        <v>7</v>
      </c>
      <c r="L448">
        <v>50.8</v>
      </c>
      <c r="M448">
        <v>401</v>
      </c>
      <c r="N448" t="s">
        <v>1211</v>
      </c>
      <c r="O448">
        <v>268</v>
      </c>
    </row>
    <row r="449" spans="1:15" x14ac:dyDescent="0.35">
      <c r="A449">
        <v>2024</v>
      </c>
      <c r="B449">
        <v>8</v>
      </c>
      <c r="C449">
        <v>19</v>
      </c>
      <c r="D449">
        <v>781</v>
      </c>
      <c r="E449">
        <v>3</v>
      </c>
      <c r="F449" t="s">
        <v>225</v>
      </c>
      <c r="G449" t="s">
        <v>1209</v>
      </c>
      <c r="H449">
        <v>3</v>
      </c>
      <c r="J449">
        <v>3</v>
      </c>
      <c r="K449">
        <v>3</v>
      </c>
      <c r="L449">
        <v>57.3</v>
      </c>
      <c r="M449">
        <v>401</v>
      </c>
      <c r="N449" t="s">
        <v>1209</v>
      </c>
      <c r="O449">
        <v>781</v>
      </c>
    </row>
    <row r="450" spans="1:15" x14ac:dyDescent="0.35">
      <c r="A450">
        <v>2018</v>
      </c>
      <c r="B450">
        <v>8</v>
      </c>
      <c r="C450">
        <v>16</v>
      </c>
      <c r="D450">
        <v>328</v>
      </c>
      <c r="E450">
        <v>3</v>
      </c>
      <c r="F450" t="s">
        <v>45</v>
      </c>
      <c r="G450" t="s">
        <v>1208</v>
      </c>
      <c r="H450">
        <v>7</v>
      </c>
      <c r="J450" t="s">
        <v>632</v>
      </c>
      <c r="K450" t="s">
        <v>317</v>
      </c>
      <c r="L450">
        <v>40.9</v>
      </c>
      <c r="M450">
        <v>402</v>
      </c>
      <c r="N450" t="s">
        <v>1210</v>
      </c>
      <c r="O450">
        <v>328</v>
      </c>
    </row>
    <row r="451" spans="1:15" x14ac:dyDescent="0.35">
      <c r="A451">
        <v>2024</v>
      </c>
      <c r="B451">
        <v>8</v>
      </c>
      <c r="C451">
        <v>8</v>
      </c>
      <c r="D451">
        <v>698</v>
      </c>
      <c r="E451">
        <v>3</v>
      </c>
      <c r="F451" t="s">
        <v>45</v>
      </c>
      <c r="G451" t="s">
        <v>1215</v>
      </c>
      <c r="H451">
        <v>15</v>
      </c>
      <c r="J451" t="s">
        <v>742</v>
      </c>
      <c r="K451" t="s">
        <v>488</v>
      </c>
      <c r="L451">
        <v>54.5</v>
      </c>
      <c r="M451">
        <v>402</v>
      </c>
      <c r="N451" t="s">
        <v>1210</v>
      </c>
      <c r="O451">
        <v>698</v>
      </c>
    </row>
    <row r="452" spans="1:15" x14ac:dyDescent="0.35">
      <c r="A452">
        <v>2023</v>
      </c>
      <c r="B452">
        <v>7</v>
      </c>
      <c r="C452">
        <v>17</v>
      </c>
      <c r="D452">
        <v>392</v>
      </c>
      <c r="E452">
        <v>3</v>
      </c>
      <c r="F452" t="s">
        <v>45</v>
      </c>
      <c r="G452" t="s">
        <v>1208</v>
      </c>
      <c r="H452">
        <v>12</v>
      </c>
      <c r="J452" t="s">
        <v>632</v>
      </c>
      <c r="K452" t="s">
        <v>317</v>
      </c>
      <c r="L452">
        <v>44.5</v>
      </c>
      <c r="M452">
        <v>403</v>
      </c>
      <c r="N452" t="s">
        <v>1210</v>
      </c>
      <c r="O452">
        <v>392</v>
      </c>
    </row>
    <row r="453" spans="1:15" x14ac:dyDescent="0.35">
      <c r="A453">
        <v>2024</v>
      </c>
      <c r="B453">
        <v>8</v>
      </c>
      <c r="C453">
        <v>15</v>
      </c>
      <c r="D453">
        <v>732</v>
      </c>
      <c r="E453">
        <v>3</v>
      </c>
      <c r="F453" t="s">
        <v>225</v>
      </c>
      <c r="G453" t="s">
        <v>1209</v>
      </c>
      <c r="H453">
        <v>3</v>
      </c>
      <c r="J453">
        <v>3</v>
      </c>
      <c r="K453">
        <v>3</v>
      </c>
      <c r="L453">
        <v>67.900000000000006</v>
      </c>
      <c r="M453">
        <v>403</v>
      </c>
      <c r="N453" t="s">
        <v>1209</v>
      </c>
      <c r="O453">
        <v>732</v>
      </c>
    </row>
    <row r="454" spans="1:15" x14ac:dyDescent="0.35">
      <c r="A454">
        <v>2023</v>
      </c>
      <c r="B454">
        <v>7</v>
      </c>
      <c r="C454">
        <v>17</v>
      </c>
      <c r="D454">
        <v>390</v>
      </c>
      <c r="E454">
        <v>3</v>
      </c>
      <c r="F454" t="s">
        <v>45</v>
      </c>
      <c r="G454" t="s">
        <v>1208</v>
      </c>
      <c r="H454">
        <v>12</v>
      </c>
      <c r="J454" t="s">
        <v>632</v>
      </c>
      <c r="K454" t="s">
        <v>317</v>
      </c>
      <c r="L454">
        <v>46.7</v>
      </c>
      <c r="M454">
        <v>404</v>
      </c>
      <c r="N454" t="s">
        <v>1210</v>
      </c>
      <c r="O454">
        <v>390</v>
      </c>
    </row>
    <row r="455" spans="1:15" x14ac:dyDescent="0.35">
      <c r="A455">
        <v>2023</v>
      </c>
      <c r="B455">
        <v>10</v>
      </c>
      <c r="C455">
        <v>31</v>
      </c>
      <c r="D455">
        <v>543</v>
      </c>
      <c r="E455">
        <v>4</v>
      </c>
      <c r="F455" t="s">
        <v>225</v>
      </c>
      <c r="G455" t="s">
        <v>1216</v>
      </c>
      <c r="H455">
        <v>1</v>
      </c>
      <c r="J455" t="s">
        <v>67</v>
      </c>
      <c r="K455">
        <v>2</v>
      </c>
      <c r="L455">
        <v>73.400000000000006</v>
      </c>
      <c r="M455">
        <v>404</v>
      </c>
      <c r="N455" t="s">
        <v>1209</v>
      </c>
      <c r="O455">
        <v>543</v>
      </c>
    </row>
    <row r="456" spans="1:15" x14ac:dyDescent="0.35">
      <c r="A456">
        <v>2024</v>
      </c>
      <c r="B456">
        <v>8</v>
      </c>
      <c r="C456">
        <v>14</v>
      </c>
      <c r="D456">
        <v>775</v>
      </c>
      <c r="E456">
        <v>3</v>
      </c>
      <c r="F456" t="s">
        <v>225</v>
      </c>
      <c r="G456" t="s">
        <v>1209</v>
      </c>
      <c r="H456">
        <v>3</v>
      </c>
      <c r="J456" t="s">
        <v>227</v>
      </c>
      <c r="K456">
        <v>4</v>
      </c>
      <c r="L456">
        <v>53.7</v>
      </c>
      <c r="M456">
        <v>404</v>
      </c>
      <c r="N456" t="s">
        <v>1209</v>
      </c>
      <c r="O456">
        <v>775</v>
      </c>
    </row>
    <row r="457" spans="1:15" x14ac:dyDescent="0.35">
      <c r="A457">
        <v>2022</v>
      </c>
      <c r="B457">
        <v>11</v>
      </c>
      <c r="C457">
        <v>4</v>
      </c>
      <c r="D457">
        <v>106</v>
      </c>
      <c r="E457">
        <v>4</v>
      </c>
      <c r="F457" t="s">
        <v>45</v>
      </c>
      <c r="G457" t="s">
        <v>1208</v>
      </c>
      <c r="H457">
        <v>11</v>
      </c>
      <c r="J457" t="s">
        <v>317</v>
      </c>
      <c r="K457" t="s">
        <v>317</v>
      </c>
      <c r="L457">
        <v>55.2</v>
      </c>
      <c r="M457">
        <v>405</v>
      </c>
      <c r="N457" t="s">
        <v>1210</v>
      </c>
      <c r="O457">
        <v>106</v>
      </c>
    </row>
    <row r="458" spans="1:15" x14ac:dyDescent="0.35">
      <c r="A458">
        <v>2019</v>
      </c>
      <c r="B458">
        <v>8</v>
      </c>
      <c r="C458">
        <v>9</v>
      </c>
      <c r="D458">
        <v>322</v>
      </c>
      <c r="E458">
        <v>3</v>
      </c>
      <c r="F458" t="s">
        <v>45</v>
      </c>
      <c r="G458" t="s">
        <v>1208</v>
      </c>
      <c r="H458">
        <v>8</v>
      </c>
      <c r="J458" t="s">
        <v>46</v>
      </c>
      <c r="K458" t="s">
        <v>317</v>
      </c>
      <c r="L458">
        <v>43.6</v>
      </c>
      <c r="M458">
        <v>406</v>
      </c>
      <c r="N458" t="s">
        <v>1210</v>
      </c>
      <c r="O458">
        <v>322</v>
      </c>
    </row>
    <row r="459" spans="1:15" x14ac:dyDescent="0.35">
      <c r="A459">
        <v>2023</v>
      </c>
      <c r="B459">
        <v>7</v>
      </c>
      <c r="C459">
        <v>21</v>
      </c>
      <c r="D459">
        <v>411</v>
      </c>
      <c r="E459">
        <v>3</v>
      </c>
      <c r="F459" t="s">
        <v>20</v>
      </c>
      <c r="G459" t="s">
        <v>1213</v>
      </c>
      <c r="H459">
        <v>3</v>
      </c>
      <c r="J459" t="s">
        <v>55</v>
      </c>
      <c r="K459">
        <v>8</v>
      </c>
      <c r="L459">
        <v>72.5</v>
      </c>
      <c r="M459">
        <v>406</v>
      </c>
      <c r="N459" t="s">
        <v>1214</v>
      </c>
      <c r="O459">
        <v>411</v>
      </c>
    </row>
    <row r="460" spans="1:15" x14ac:dyDescent="0.35">
      <c r="A460">
        <v>2024</v>
      </c>
      <c r="B460">
        <v>1</v>
      </c>
      <c r="C460">
        <v>17</v>
      </c>
      <c r="D460">
        <v>561</v>
      </c>
      <c r="E460">
        <v>1</v>
      </c>
      <c r="F460" t="s">
        <v>41</v>
      </c>
      <c r="G460" t="s">
        <v>1207</v>
      </c>
      <c r="H460">
        <v>11</v>
      </c>
      <c r="J460" t="s">
        <v>42</v>
      </c>
      <c r="K460" t="s">
        <v>318</v>
      </c>
      <c r="L460">
        <v>58.2</v>
      </c>
      <c r="M460">
        <v>406</v>
      </c>
      <c r="N460" t="s">
        <v>1208</v>
      </c>
      <c r="O460">
        <v>561</v>
      </c>
    </row>
    <row r="461" spans="1:15" x14ac:dyDescent="0.35">
      <c r="A461">
        <v>2024</v>
      </c>
      <c r="B461">
        <v>8</v>
      </c>
      <c r="C461">
        <v>19</v>
      </c>
      <c r="D461">
        <v>786</v>
      </c>
      <c r="E461">
        <v>3</v>
      </c>
      <c r="F461" t="s">
        <v>225</v>
      </c>
      <c r="G461" t="s">
        <v>1209</v>
      </c>
      <c r="H461">
        <v>3</v>
      </c>
      <c r="J461">
        <v>3</v>
      </c>
      <c r="K461">
        <v>3</v>
      </c>
      <c r="L461">
        <v>58</v>
      </c>
      <c r="M461">
        <v>406</v>
      </c>
      <c r="N461" t="s">
        <v>1209</v>
      </c>
      <c r="O461">
        <v>786</v>
      </c>
    </row>
    <row r="462" spans="1:15" x14ac:dyDescent="0.35">
      <c r="A462">
        <v>2019</v>
      </c>
      <c r="B462">
        <v>2</v>
      </c>
      <c r="C462">
        <v>21</v>
      </c>
      <c r="D462">
        <v>170</v>
      </c>
      <c r="E462">
        <v>1</v>
      </c>
      <c r="F462" t="s">
        <v>45</v>
      </c>
      <c r="G462" t="s">
        <v>1208</v>
      </c>
      <c r="H462">
        <v>8</v>
      </c>
      <c r="J462" t="s">
        <v>615</v>
      </c>
      <c r="K462" t="s">
        <v>317</v>
      </c>
      <c r="L462">
        <v>70.599999999999994</v>
      </c>
      <c r="M462">
        <v>407</v>
      </c>
      <c r="N462" t="s">
        <v>1210</v>
      </c>
      <c r="O462">
        <v>170</v>
      </c>
    </row>
    <row r="463" spans="1:15" x14ac:dyDescent="0.35">
      <c r="A463">
        <v>2024</v>
      </c>
      <c r="B463">
        <v>1</v>
      </c>
      <c r="C463">
        <v>19</v>
      </c>
      <c r="D463">
        <v>581</v>
      </c>
      <c r="E463">
        <v>1</v>
      </c>
      <c r="F463" t="s">
        <v>41</v>
      </c>
      <c r="G463" t="s">
        <v>1207</v>
      </c>
      <c r="H463">
        <v>11</v>
      </c>
      <c r="J463" t="s">
        <v>42</v>
      </c>
      <c r="K463" t="s">
        <v>318</v>
      </c>
      <c r="L463">
        <v>56</v>
      </c>
      <c r="M463">
        <v>407</v>
      </c>
      <c r="N463" t="s">
        <v>1208</v>
      </c>
      <c r="O463">
        <v>581</v>
      </c>
    </row>
    <row r="464" spans="1:15" x14ac:dyDescent="0.35">
      <c r="A464">
        <v>2024</v>
      </c>
      <c r="B464">
        <v>1</v>
      </c>
      <c r="C464">
        <v>19</v>
      </c>
      <c r="D464">
        <v>581</v>
      </c>
      <c r="E464">
        <v>1</v>
      </c>
      <c r="F464" t="s">
        <v>41</v>
      </c>
      <c r="G464" t="s">
        <v>1207</v>
      </c>
      <c r="H464">
        <v>11</v>
      </c>
      <c r="J464" t="s">
        <v>42</v>
      </c>
      <c r="K464" t="s">
        <v>318</v>
      </c>
      <c r="L464">
        <v>56</v>
      </c>
      <c r="M464">
        <v>407</v>
      </c>
      <c r="N464" t="s">
        <v>1208</v>
      </c>
      <c r="O464">
        <v>581</v>
      </c>
    </row>
    <row r="465" spans="1:15" x14ac:dyDescent="0.35">
      <c r="A465">
        <v>2024</v>
      </c>
      <c r="B465">
        <v>2</v>
      </c>
      <c r="C465">
        <v>23</v>
      </c>
      <c r="D465">
        <v>638</v>
      </c>
      <c r="E465">
        <v>1</v>
      </c>
      <c r="F465" t="s">
        <v>225</v>
      </c>
      <c r="G465" t="s">
        <v>1216</v>
      </c>
      <c r="H465">
        <v>2</v>
      </c>
      <c r="J465" t="s">
        <v>21</v>
      </c>
      <c r="K465">
        <v>2</v>
      </c>
      <c r="L465">
        <v>64</v>
      </c>
      <c r="M465">
        <v>407</v>
      </c>
      <c r="N465" t="s">
        <v>1209</v>
      </c>
      <c r="O465">
        <v>638</v>
      </c>
    </row>
    <row r="466" spans="1:15" x14ac:dyDescent="0.35">
      <c r="A466">
        <v>2024</v>
      </c>
      <c r="B466">
        <v>4</v>
      </c>
      <c r="C466">
        <v>8</v>
      </c>
      <c r="D466">
        <v>651</v>
      </c>
      <c r="E466">
        <v>2</v>
      </c>
      <c r="F466" t="s">
        <v>225</v>
      </c>
      <c r="G466" t="s">
        <v>1216</v>
      </c>
      <c r="H466">
        <v>2</v>
      </c>
      <c r="J466" t="s">
        <v>67</v>
      </c>
      <c r="K466">
        <v>2</v>
      </c>
      <c r="L466">
        <v>71.400000000000006</v>
      </c>
      <c r="M466">
        <v>409</v>
      </c>
      <c r="N466" t="s">
        <v>1209</v>
      </c>
      <c r="O466">
        <v>651</v>
      </c>
    </row>
    <row r="467" spans="1:15" x14ac:dyDescent="0.35">
      <c r="A467">
        <v>2024</v>
      </c>
      <c r="B467">
        <v>8</v>
      </c>
      <c r="C467">
        <v>15</v>
      </c>
      <c r="D467">
        <v>771</v>
      </c>
      <c r="E467">
        <v>3</v>
      </c>
      <c r="F467" t="s">
        <v>225</v>
      </c>
      <c r="G467" t="s">
        <v>1209</v>
      </c>
      <c r="H467">
        <v>3</v>
      </c>
      <c r="J467">
        <v>3</v>
      </c>
      <c r="K467">
        <v>3</v>
      </c>
      <c r="L467">
        <v>72.8</v>
      </c>
      <c r="M467">
        <v>409</v>
      </c>
      <c r="N467" t="s">
        <v>1209</v>
      </c>
      <c r="O467">
        <v>771</v>
      </c>
    </row>
    <row r="468" spans="1:15" x14ac:dyDescent="0.35">
      <c r="A468">
        <v>2009</v>
      </c>
      <c r="B468">
        <v>9</v>
      </c>
      <c r="C468">
        <v>4</v>
      </c>
      <c r="D468">
        <v>620</v>
      </c>
      <c r="E468">
        <v>3</v>
      </c>
      <c r="F468" t="s">
        <v>45</v>
      </c>
      <c r="G468" t="s">
        <v>1215</v>
      </c>
      <c r="H468">
        <v>0</v>
      </c>
      <c r="J468" t="s">
        <v>662</v>
      </c>
      <c r="K468" t="s">
        <v>488</v>
      </c>
      <c r="L468">
        <v>73.900000000000006</v>
      </c>
      <c r="M468">
        <v>410</v>
      </c>
      <c r="N468" t="s">
        <v>1210</v>
      </c>
      <c r="O468">
        <v>620</v>
      </c>
    </row>
    <row r="469" spans="1:15" x14ac:dyDescent="0.35">
      <c r="A469">
        <v>2019</v>
      </c>
      <c r="B469">
        <v>11</v>
      </c>
      <c r="C469">
        <v>27</v>
      </c>
      <c r="D469">
        <v>49</v>
      </c>
      <c r="E469">
        <v>4</v>
      </c>
      <c r="F469" t="s">
        <v>45</v>
      </c>
      <c r="G469" t="s">
        <v>1215</v>
      </c>
      <c r="H469">
        <v>10</v>
      </c>
      <c r="J469" t="s">
        <v>488</v>
      </c>
      <c r="K469" t="s">
        <v>488</v>
      </c>
      <c r="L469">
        <v>60.7</v>
      </c>
      <c r="M469">
        <v>411</v>
      </c>
      <c r="N469" t="s">
        <v>1210</v>
      </c>
      <c r="O469">
        <v>49</v>
      </c>
    </row>
    <row r="470" spans="1:15" x14ac:dyDescent="0.35">
      <c r="A470">
        <v>2023</v>
      </c>
      <c r="B470">
        <v>7</v>
      </c>
      <c r="C470">
        <v>31</v>
      </c>
      <c r="D470">
        <v>455</v>
      </c>
      <c r="E470">
        <v>3</v>
      </c>
      <c r="F470" t="s">
        <v>225</v>
      </c>
      <c r="G470" t="s">
        <v>1216</v>
      </c>
      <c r="H470">
        <v>1</v>
      </c>
      <c r="J470" t="s">
        <v>67</v>
      </c>
      <c r="K470">
        <v>2</v>
      </c>
      <c r="L470">
        <v>70.7</v>
      </c>
      <c r="M470">
        <v>411</v>
      </c>
      <c r="N470" t="s">
        <v>1209</v>
      </c>
      <c r="O470">
        <v>455</v>
      </c>
    </row>
    <row r="471" spans="1:15" x14ac:dyDescent="0.35">
      <c r="A471">
        <v>2024</v>
      </c>
      <c r="B471">
        <v>8</v>
      </c>
      <c r="C471">
        <v>19</v>
      </c>
      <c r="D471">
        <v>791</v>
      </c>
      <c r="E471">
        <v>3</v>
      </c>
      <c r="F471" t="s">
        <v>225</v>
      </c>
      <c r="G471" t="s">
        <v>1209</v>
      </c>
      <c r="H471">
        <v>3</v>
      </c>
      <c r="J471">
        <v>3</v>
      </c>
      <c r="K471">
        <v>3</v>
      </c>
      <c r="L471">
        <v>79</v>
      </c>
      <c r="M471">
        <v>411</v>
      </c>
      <c r="N471" t="s">
        <v>1209</v>
      </c>
      <c r="O471">
        <v>791</v>
      </c>
    </row>
    <row r="472" spans="1:15" x14ac:dyDescent="0.35">
      <c r="A472">
        <v>2018</v>
      </c>
      <c r="B472">
        <v>8</v>
      </c>
      <c r="C472">
        <v>15</v>
      </c>
      <c r="D472">
        <v>306</v>
      </c>
      <c r="E472">
        <v>3</v>
      </c>
      <c r="F472" t="s">
        <v>41</v>
      </c>
      <c r="G472" t="s">
        <v>1207</v>
      </c>
      <c r="H472">
        <v>5</v>
      </c>
      <c r="J472" t="s">
        <v>49</v>
      </c>
      <c r="K472" t="s">
        <v>318</v>
      </c>
      <c r="L472">
        <v>64.599999999999994</v>
      </c>
      <c r="M472">
        <v>412</v>
      </c>
      <c r="N472" t="s">
        <v>1208</v>
      </c>
      <c r="O472">
        <v>306</v>
      </c>
    </row>
    <row r="473" spans="1:15" x14ac:dyDescent="0.35">
      <c r="A473">
        <v>2023</v>
      </c>
      <c r="B473">
        <v>8</v>
      </c>
      <c r="C473">
        <v>2</v>
      </c>
      <c r="D473">
        <v>434</v>
      </c>
      <c r="E473">
        <v>3</v>
      </c>
      <c r="F473" t="s">
        <v>225</v>
      </c>
      <c r="G473" t="s">
        <v>1216</v>
      </c>
      <c r="H473">
        <v>1</v>
      </c>
      <c r="J473" t="s">
        <v>67</v>
      </c>
      <c r="K473">
        <v>2</v>
      </c>
      <c r="L473">
        <v>60.2</v>
      </c>
      <c r="M473">
        <v>412</v>
      </c>
      <c r="N473" t="s">
        <v>1209</v>
      </c>
      <c r="O473">
        <v>434</v>
      </c>
    </row>
    <row r="474" spans="1:15" x14ac:dyDescent="0.35">
      <c r="A474">
        <v>2024</v>
      </c>
      <c r="B474">
        <v>1</v>
      </c>
      <c r="C474">
        <v>17</v>
      </c>
      <c r="D474">
        <v>564</v>
      </c>
      <c r="E474">
        <v>1</v>
      </c>
      <c r="F474" t="s">
        <v>41</v>
      </c>
      <c r="G474" t="s">
        <v>1207</v>
      </c>
      <c r="H474">
        <v>11</v>
      </c>
      <c r="J474" t="s">
        <v>42</v>
      </c>
      <c r="K474" t="s">
        <v>318</v>
      </c>
      <c r="L474">
        <v>62</v>
      </c>
      <c r="M474">
        <v>412</v>
      </c>
      <c r="N474" t="s">
        <v>1208</v>
      </c>
      <c r="O474">
        <v>564</v>
      </c>
    </row>
    <row r="475" spans="1:15" x14ac:dyDescent="0.35">
      <c r="A475">
        <v>2024</v>
      </c>
      <c r="B475">
        <v>8</v>
      </c>
      <c r="C475">
        <v>19</v>
      </c>
      <c r="D475">
        <v>788</v>
      </c>
      <c r="E475">
        <v>3</v>
      </c>
      <c r="F475" t="s">
        <v>225</v>
      </c>
      <c r="G475" t="s">
        <v>1209</v>
      </c>
      <c r="H475">
        <v>3</v>
      </c>
      <c r="J475">
        <v>3</v>
      </c>
      <c r="K475">
        <v>3</v>
      </c>
      <c r="L475">
        <v>77.7</v>
      </c>
      <c r="M475">
        <v>412</v>
      </c>
      <c r="N475" t="s">
        <v>1209</v>
      </c>
      <c r="O475">
        <v>788</v>
      </c>
    </row>
    <row r="476" spans="1:15" x14ac:dyDescent="0.35">
      <c r="A476">
        <v>2024</v>
      </c>
      <c r="B476">
        <v>8</v>
      </c>
      <c r="C476">
        <v>7</v>
      </c>
      <c r="D476">
        <v>807</v>
      </c>
      <c r="E476">
        <v>3</v>
      </c>
      <c r="F476" t="s">
        <v>20</v>
      </c>
      <c r="G476" t="s">
        <v>1214</v>
      </c>
      <c r="H476">
        <v>6</v>
      </c>
      <c r="J476" t="s">
        <v>234</v>
      </c>
      <c r="K476">
        <v>6</v>
      </c>
      <c r="L476">
        <v>6.66</v>
      </c>
      <c r="M476">
        <v>412</v>
      </c>
      <c r="N476" t="s">
        <v>1214</v>
      </c>
      <c r="O476">
        <v>807</v>
      </c>
    </row>
    <row r="477" spans="1:15" x14ac:dyDescent="0.35">
      <c r="A477">
        <v>2024</v>
      </c>
      <c r="B477">
        <v>8</v>
      </c>
      <c r="C477">
        <v>9</v>
      </c>
      <c r="D477">
        <v>715</v>
      </c>
      <c r="E477">
        <v>3</v>
      </c>
      <c r="F477" t="s">
        <v>41</v>
      </c>
      <c r="G477" t="s">
        <v>1207</v>
      </c>
      <c r="H477">
        <v>11</v>
      </c>
      <c r="J477" t="s">
        <v>42</v>
      </c>
      <c r="K477" t="s">
        <v>318</v>
      </c>
      <c r="L477">
        <v>67.099999999999994</v>
      </c>
      <c r="M477">
        <v>413</v>
      </c>
      <c r="N477" t="s">
        <v>1208</v>
      </c>
      <c r="O477">
        <v>715</v>
      </c>
    </row>
    <row r="478" spans="1:15" x14ac:dyDescent="0.35">
      <c r="A478">
        <v>2024</v>
      </c>
      <c r="B478">
        <v>8</v>
      </c>
      <c r="C478">
        <v>19</v>
      </c>
      <c r="D478">
        <v>753</v>
      </c>
      <c r="E478">
        <v>3</v>
      </c>
      <c r="F478" t="s">
        <v>225</v>
      </c>
      <c r="G478" t="s">
        <v>1209</v>
      </c>
      <c r="H478">
        <v>3</v>
      </c>
      <c r="J478">
        <v>3</v>
      </c>
      <c r="K478">
        <v>3</v>
      </c>
      <c r="L478">
        <v>66.8</v>
      </c>
      <c r="M478">
        <v>413</v>
      </c>
      <c r="N478" t="s">
        <v>1209</v>
      </c>
      <c r="O478">
        <v>753</v>
      </c>
    </row>
    <row r="479" spans="1:15" x14ac:dyDescent="0.35">
      <c r="A479">
        <v>2024</v>
      </c>
      <c r="B479">
        <v>8</v>
      </c>
      <c r="C479">
        <v>19</v>
      </c>
      <c r="D479">
        <v>778</v>
      </c>
      <c r="E479">
        <v>3</v>
      </c>
      <c r="F479" t="s">
        <v>225</v>
      </c>
      <c r="G479" t="s">
        <v>1209</v>
      </c>
      <c r="H479">
        <v>3</v>
      </c>
      <c r="J479">
        <v>3</v>
      </c>
      <c r="K479">
        <v>3</v>
      </c>
      <c r="L479">
        <v>71</v>
      </c>
      <c r="M479">
        <v>413</v>
      </c>
      <c r="N479" t="s">
        <v>1209</v>
      </c>
      <c r="O479">
        <v>778</v>
      </c>
    </row>
    <row r="480" spans="1:15" x14ac:dyDescent="0.35">
      <c r="A480">
        <v>2024</v>
      </c>
      <c r="B480">
        <v>8</v>
      </c>
      <c r="C480">
        <v>19</v>
      </c>
      <c r="D480">
        <v>754</v>
      </c>
      <c r="E480">
        <v>3</v>
      </c>
      <c r="F480" t="s">
        <v>225</v>
      </c>
      <c r="G480" t="s">
        <v>1209</v>
      </c>
      <c r="H480">
        <v>3</v>
      </c>
      <c r="J480">
        <v>3</v>
      </c>
      <c r="K480">
        <v>3</v>
      </c>
      <c r="L480">
        <v>85.2</v>
      </c>
      <c r="M480">
        <v>414</v>
      </c>
      <c r="N480" t="s">
        <v>1209</v>
      </c>
      <c r="O480">
        <v>754</v>
      </c>
    </row>
    <row r="481" spans="1:15" x14ac:dyDescent="0.35">
      <c r="A481">
        <v>2017</v>
      </c>
      <c r="B481">
        <v>11</v>
      </c>
      <c r="C481">
        <v>13</v>
      </c>
      <c r="D481">
        <v>65</v>
      </c>
      <c r="E481">
        <v>4</v>
      </c>
      <c r="F481" t="s">
        <v>41</v>
      </c>
      <c r="G481" t="s">
        <v>1207</v>
      </c>
      <c r="H481">
        <v>4</v>
      </c>
      <c r="J481" t="s">
        <v>509</v>
      </c>
      <c r="K481" t="s">
        <v>458</v>
      </c>
      <c r="L481">
        <v>55.4</v>
      </c>
      <c r="M481">
        <v>415</v>
      </c>
      <c r="N481" t="s">
        <v>1208</v>
      </c>
      <c r="O481">
        <v>65</v>
      </c>
    </row>
    <row r="482" spans="1:15" x14ac:dyDescent="0.35">
      <c r="A482">
        <v>2017</v>
      </c>
      <c r="B482">
        <v>11</v>
      </c>
      <c r="C482">
        <v>13</v>
      </c>
      <c r="D482">
        <v>65</v>
      </c>
      <c r="E482">
        <v>4</v>
      </c>
      <c r="F482" t="s">
        <v>41</v>
      </c>
      <c r="G482" t="s">
        <v>1207</v>
      </c>
      <c r="H482">
        <v>4</v>
      </c>
      <c r="J482" t="s">
        <v>509</v>
      </c>
      <c r="K482" t="s">
        <v>458</v>
      </c>
      <c r="L482">
        <v>55.4</v>
      </c>
      <c r="M482">
        <v>415</v>
      </c>
      <c r="N482" t="s">
        <v>1208</v>
      </c>
      <c r="O482">
        <v>65</v>
      </c>
    </row>
    <row r="483" spans="1:15" x14ac:dyDescent="0.35">
      <c r="A483">
        <v>2016</v>
      </c>
      <c r="B483">
        <v>9</v>
      </c>
      <c r="C483">
        <v>2</v>
      </c>
      <c r="D483">
        <v>293</v>
      </c>
      <c r="E483">
        <v>3</v>
      </c>
      <c r="F483" t="s">
        <v>41</v>
      </c>
      <c r="G483" t="s">
        <v>1207</v>
      </c>
      <c r="H483">
        <v>3</v>
      </c>
      <c r="J483" t="s">
        <v>42</v>
      </c>
      <c r="K483" t="s">
        <v>318</v>
      </c>
      <c r="L483">
        <v>77.2</v>
      </c>
      <c r="M483">
        <v>415</v>
      </c>
      <c r="N483" t="s">
        <v>1208</v>
      </c>
      <c r="O483">
        <v>293</v>
      </c>
    </row>
    <row r="484" spans="1:15" x14ac:dyDescent="0.35">
      <c r="A484">
        <v>2021</v>
      </c>
      <c r="B484">
        <v>4</v>
      </c>
      <c r="C484">
        <v>13</v>
      </c>
      <c r="D484">
        <v>489</v>
      </c>
      <c r="E484">
        <v>2</v>
      </c>
      <c r="F484" t="s">
        <v>226</v>
      </c>
      <c r="G484" t="s">
        <v>1214</v>
      </c>
      <c r="H484">
        <v>3</v>
      </c>
      <c r="J484" t="s">
        <v>51</v>
      </c>
      <c r="K484" t="s">
        <v>936</v>
      </c>
      <c r="L484">
        <v>70</v>
      </c>
      <c r="M484">
        <v>415</v>
      </c>
      <c r="N484" t="s">
        <v>1211</v>
      </c>
      <c r="O484">
        <v>489</v>
      </c>
    </row>
    <row r="485" spans="1:15" x14ac:dyDescent="0.35">
      <c r="A485">
        <v>2024</v>
      </c>
      <c r="B485">
        <v>3</v>
      </c>
      <c r="C485">
        <v>13</v>
      </c>
      <c r="D485">
        <v>692</v>
      </c>
      <c r="E485">
        <v>2</v>
      </c>
      <c r="F485" t="s">
        <v>226</v>
      </c>
      <c r="G485" t="s">
        <v>1211</v>
      </c>
      <c r="H485">
        <v>7</v>
      </c>
      <c r="J485" t="s">
        <v>228</v>
      </c>
      <c r="K485">
        <v>7</v>
      </c>
      <c r="L485">
        <v>71.5</v>
      </c>
      <c r="M485">
        <v>415</v>
      </c>
      <c r="N485" t="s">
        <v>1211</v>
      </c>
      <c r="O485">
        <v>692</v>
      </c>
    </row>
    <row r="486" spans="1:15" x14ac:dyDescent="0.35">
      <c r="A486">
        <v>2024</v>
      </c>
      <c r="B486">
        <v>8</v>
      </c>
      <c r="C486">
        <v>15</v>
      </c>
      <c r="D486">
        <v>773</v>
      </c>
      <c r="E486">
        <v>3</v>
      </c>
      <c r="F486" t="s">
        <v>225</v>
      </c>
      <c r="G486" t="s">
        <v>1209</v>
      </c>
      <c r="H486">
        <v>3</v>
      </c>
      <c r="J486">
        <v>3</v>
      </c>
      <c r="K486">
        <v>3</v>
      </c>
      <c r="L486">
        <v>70.400000000000006</v>
      </c>
      <c r="M486">
        <v>415</v>
      </c>
      <c r="N486" t="s">
        <v>1209</v>
      </c>
      <c r="O486">
        <v>773</v>
      </c>
    </row>
    <row r="487" spans="1:15" x14ac:dyDescent="0.35">
      <c r="A487">
        <v>2024</v>
      </c>
      <c r="B487">
        <v>8</v>
      </c>
      <c r="C487">
        <v>19</v>
      </c>
      <c r="D487">
        <v>744</v>
      </c>
      <c r="E487">
        <v>3</v>
      </c>
      <c r="F487" t="s">
        <v>225</v>
      </c>
      <c r="G487" t="s">
        <v>1209</v>
      </c>
      <c r="H487">
        <v>3</v>
      </c>
      <c r="J487">
        <v>3</v>
      </c>
      <c r="K487">
        <v>3</v>
      </c>
      <c r="L487">
        <v>73.8</v>
      </c>
      <c r="M487">
        <v>416</v>
      </c>
      <c r="N487" t="s">
        <v>1209</v>
      </c>
      <c r="O487">
        <v>744</v>
      </c>
    </row>
    <row r="488" spans="1:15" x14ac:dyDescent="0.35">
      <c r="A488">
        <v>2024</v>
      </c>
      <c r="B488">
        <v>8</v>
      </c>
      <c r="C488">
        <v>19</v>
      </c>
      <c r="D488">
        <v>782</v>
      </c>
      <c r="E488">
        <v>3</v>
      </c>
      <c r="F488" t="s">
        <v>225</v>
      </c>
      <c r="G488" t="s">
        <v>1209</v>
      </c>
      <c r="H488">
        <v>3</v>
      </c>
      <c r="J488">
        <v>3</v>
      </c>
      <c r="K488">
        <v>3</v>
      </c>
      <c r="L488">
        <v>70.7</v>
      </c>
      <c r="M488">
        <v>416</v>
      </c>
      <c r="N488" t="s">
        <v>1209</v>
      </c>
      <c r="O488">
        <v>782</v>
      </c>
    </row>
    <row r="489" spans="1:15" x14ac:dyDescent="0.35">
      <c r="A489">
        <v>2022</v>
      </c>
      <c r="B489">
        <v>11</v>
      </c>
      <c r="C489">
        <v>16</v>
      </c>
      <c r="D489">
        <v>112</v>
      </c>
      <c r="E489">
        <v>4</v>
      </c>
      <c r="F489" t="s">
        <v>225</v>
      </c>
      <c r="G489" t="s">
        <v>1216</v>
      </c>
      <c r="H489">
        <v>0</v>
      </c>
      <c r="J489">
        <v>2</v>
      </c>
      <c r="K489">
        <v>2</v>
      </c>
      <c r="L489">
        <v>79.900000000000006</v>
      </c>
      <c r="M489">
        <v>417</v>
      </c>
      <c r="N489" t="s">
        <v>1209</v>
      </c>
      <c r="O489">
        <v>112</v>
      </c>
    </row>
    <row r="490" spans="1:15" x14ac:dyDescent="0.35">
      <c r="A490">
        <v>2024</v>
      </c>
      <c r="B490">
        <v>1</v>
      </c>
      <c r="C490">
        <v>18</v>
      </c>
      <c r="D490">
        <v>558</v>
      </c>
      <c r="E490">
        <v>1</v>
      </c>
      <c r="F490" t="s">
        <v>41</v>
      </c>
      <c r="G490" t="s">
        <v>1207</v>
      </c>
      <c r="H490">
        <v>11</v>
      </c>
      <c r="J490" t="s">
        <v>583</v>
      </c>
      <c r="K490" t="s">
        <v>318</v>
      </c>
      <c r="L490">
        <v>64.400000000000006</v>
      </c>
      <c r="M490">
        <v>417</v>
      </c>
      <c r="N490" t="s">
        <v>1208</v>
      </c>
      <c r="O490">
        <v>558</v>
      </c>
    </row>
    <row r="491" spans="1:15" x14ac:dyDescent="0.35">
      <c r="A491">
        <v>2023</v>
      </c>
      <c r="B491">
        <v>11</v>
      </c>
      <c r="C491">
        <v>3</v>
      </c>
      <c r="D491">
        <v>532</v>
      </c>
      <c r="E491">
        <v>4</v>
      </c>
      <c r="F491" t="s">
        <v>225</v>
      </c>
      <c r="G491" t="s">
        <v>1216</v>
      </c>
      <c r="H491">
        <v>1</v>
      </c>
      <c r="J491">
        <v>2</v>
      </c>
      <c r="K491">
        <v>2</v>
      </c>
      <c r="L491">
        <v>75.5</v>
      </c>
      <c r="M491">
        <v>418</v>
      </c>
      <c r="N491" t="s">
        <v>1209</v>
      </c>
      <c r="O491">
        <v>532</v>
      </c>
    </row>
    <row r="492" spans="1:15" x14ac:dyDescent="0.35">
      <c r="A492">
        <v>2024</v>
      </c>
      <c r="B492">
        <v>8</v>
      </c>
      <c r="C492">
        <v>19</v>
      </c>
      <c r="D492">
        <v>825</v>
      </c>
      <c r="E492">
        <v>3</v>
      </c>
      <c r="F492" t="s">
        <v>225</v>
      </c>
      <c r="G492" t="s">
        <v>1209</v>
      </c>
      <c r="H492">
        <v>3</v>
      </c>
      <c r="J492">
        <v>3</v>
      </c>
      <c r="K492">
        <v>3</v>
      </c>
      <c r="L492">
        <v>8.31</v>
      </c>
      <c r="M492">
        <v>419</v>
      </c>
      <c r="N492" t="s">
        <v>1209</v>
      </c>
      <c r="O492">
        <v>825</v>
      </c>
    </row>
    <row r="493" spans="1:15" x14ac:dyDescent="0.35">
      <c r="A493">
        <v>2021</v>
      </c>
      <c r="B493" t="s">
        <v>28</v>
      </c>
      <c r="C493" t="s">
        <v>28</v>
      </c>
      <c r="D493">
        <v>2</v>
      </c>
      <c r="E493" t="s">
        <v>28</v>
      </c>
      <c r="F493" t="s">
        <v>45</v>
      </c>
      <c r="G493" t="s">
        <v>1208</v>
      </c>
      <c r="H493">
        <v>10</v>
      </c>
      <c r="J493" t="s">
        <v>317</v>
      </c>
      <c r="K493" t="s">
        <v>317</v>
      </c>
      <c r="L493">
        <v>65.2</v>
      </c>
      <c r="M493">
        <v>420</v>
      </c>
      <c r="N493" t="s">
        <v>1210</v>
      </c>
      <c r="O493">
        <v>2</v>
      </c>
    </row>
    <row r="494" spans="1:15" x14ac:dyDescent="0.35">
      <c r="A494">
        <v>2019</v>
      </c>
      <c r="B494">
        <v>11</v>
      </c>
      <c r="C494">
        <v>27</v>
      </c>
      <c r="D494">
        <v>44</v>
      </c>
      <c r="E494">
        <v>4</v>
      </c>
      <c r="F494" t="s">
        <v>45</v>
      </c>
      <c r="G494" t="s">
        <v>1208</v>
      </c>
      <c r="H494">
        <v>8</v>
      </c>
      <c r="J494" t="s">
        <v>317</v>
      </c>
      <c r="K494" t="s">
        <v>317</v>
      </c>
      <c r="L494">
        <v>65.099999999999994</v>
      </c>
      <c r="M494">
        <v>420</v>
      </c>
      <c r="N494" t="s">
        <v>1210</v>
      </c>
      <c r="O494">
        <v>44</v>
      </c>
    </row>
    <row r="495" spans="1:15" x14ac:dyDescent="0.35">
      <c r="A495">
        <v>2024</v>
      </c>
      <c r="B495">
        <v>8</v>
      </c>
      <c r="C495">
        <v>19</v>
      </c>
      <c r="D495">
        <v>748</v>
      </c>
      <c r="E495">
        <v>3</v>
      </c>
      <c r="F495" t="s">
        <v>225</v>
      </c>
      <c r="G495" t="s">
        <v>1209</v>
      </c>
      <c r="H495">
        <v>3</v>
      </c>
      <c r="J495">
        <v>3</v>
      </c>
      <c r="K495">
        <v>3</v>
      </c>
      <c r="L495">
        <v>77.7</v>
      </c>
      <c r="M495">
        <v>420</v>
      </c>
      <c r="N495" t="s">
        <v>1209</v>
      </c>
      <c r="O495">
        <v>748</v>
      </c>
    </row>
    <row r="496" spans="1:15" x14ac:dyDescent="0.35">
      <c r="A496">
        <v>2024</v>
      </c>
      <c r="B496">
        <v>8</v>
      </c>
      <c r="C496">
        <v>19</v>
      </c>
      <c r="D496">
        <v>817</v>
      </c>
      <c r="E496">
        <v>3</v>
      </c>
      <c r="F496" t="s">
        <v>225</v>
      </c>
      <c r="G496" t="s">
        <v>1209</v>
      </c>
      <c r="H496">
        <v>3</v>
      </c>
      <c r="J496">
        <v>3</v>
      </c>
      <c r="K496">
        <v>3</v>
      </c>
      <c r="L496">
        <v>75</v>
      </c>
      <c r="M496">
        <v>420</v>
      </c>
      <c r="N496" t="s">
        <v>1209</v>
      </c>
      <c r="O496">
        <v>817</v>
      </c>
    </row>
    <row r="497" spans="1:16" x14ac:dyDescent="0.35">
      <c r="A497">
        <v>2024</v>
      </c>
      <c r="B497">
        <v>8</v>
      </c>
      <c r="C497">
        <v>15</v>
      </c>
      <c r="D497">
        <v>831</v>
      </c>
      <c r="E497">
        <v>3</v>
      </c>
      <c r="F497" t="s">
        <v>225</v>
      </c>
      <c r="G497" t="s">
        <v>1209</v>
      </c>
      <c r="H497">
        <v>3</v>
      </c>
      <c r="J497" t="s">
        <v>237</v>
      </c>
      <c r="K497">
        <v>3</v>
      </c>
      <c r="L497">
        <v>84.6</v>
      </c>
      <c r="M497">
        <v>420</v>
      </c>
      <c r="N497" t="s">
        <v>1209</v>
      </c>
      <c r="O497">
        <v>831</v>
      </c>
    </row>
    <row r="498" spans="1:16" x14ac:dyDescent="0.35">
      <c r="A498">
        <v>2023</v>
      </c>
      <c r="B498">
        <v>7</v>
      </c>
      <c r="C498">
        <v>26</v>
      </c>
      <c r="D498">
        <v>439</v>
      </c>
      <c r="E498">
        <v>3</v>
      </c>
      <c r="F498" t="s">
        <v>225</v>
      </c>
      <c r="G498" t="s">
        <v>1209</v>
      </c>
      <c r="H498">
        <v>2</v>
      </c>
      <c r="J498" t="s">
        <v>94</v>
      </c>
      <c r="K498">
        <v>1</v>
      </c>
      <c r="L498">
        <v>63.1</v>
      </c>
      <c r="M498">
        <v>421</v>
      </c>
      <c r="N498" t="s">
        <v>1209</v>
      </c>
      <c r="O498">
        <v>439</v>
      </c>
    </row>
    <row r="499" spans="1:16" x14ac:dyDescent="0.35">
      <c r="A499">
        <v>2024</v>
      </c>
      <c r="B499">
        <v>3</v>
      </c>
      <c r="C499">
        <v>12</v>
      </c>
      <c r="D499">
        <v>667</v>
      </c>
      <c r="E499">
        <v>2</v>
      </c>
      <c r="F499" t="s">
        <v>45</v>
      </c>
      <c r="G499" t="s">
        <v>1208</v>
      </c>
      <c r="H499">
        <v>13</v>
      </c>
      <c r="J499" t="s">
        <v>236</v>
      </c>
      <c r="K499" t="s">
        <v>317</v>
      </c>
      <c r="L499">
        <v>72.3</v>
      </c>
      <c r="M499">
        <v>425</v>
      </c>
      <c r="N499" t="s">
        <v>1210</v>
      </c>
      <c r="O499">
        <v>667</v>
      </c>
      <c r="P499">
        <v>6.79</v>
      </c>
    </row>
    <row r="500" spans="1:16" x14ac:dyDescent="0.35">
      <c r="A500">
        <v>2024</v>
      </c>
      <c r="B500">
        <v>8</v>
      </c>
      <c r="C500">
        <v>8</v>
      </c>
      <c r="D500">
        <v>703</v>
      </c>
      <c r="E500">
        <v>3</v>
      </c>
      <c r="F500" t="s">
        <v>45</v>
      </c>
      <c r="G500" t="s">
        <v>1208</v>
      </c>
      <c r="H500">
        <v>13</v>
      </c>
      <c r="J500" t="s">
        <v>46</v>
      </c>
      <c r="K500" t="s">
        <v>317</v>
      </c>
      <c r="L500">
        <v>69.2</v>
      </c>
      <c r="M500">
        <v>425</v>
      </c>
      <c r="N500" t="s">
        <v>1210</v>
      </c>
      <c r="O500">
        <v>703</v>
      </c>
    </row>
    <row r="501" spans="1:16" x14ac:dyDescent="0.35">
      <c r="A501">
        <v>2024</v>
      </c>
      <c r="B501">
        <v>8</v>
      </c>
      <c r="C501">
        <v>15</v>
      </c>
      <c r="D501">
        <v>736</v>
      </c>
      <c r="E501">
        <v>3</v>
      </c>
      <c r="F501" t="s">
        <v>225</v>
      </c>
      <c r="G501" t="s">
        <v>1209</v>
      </c>
      <c r="H501">
        <v>3</v>
      </c>
      <c r="J501">
        <v>3</v>
      </c>
      <c r="K501">
        <v>3</v>
      </c>
      <c r="L501">
        <v>92.2</v>
      </c>
      <c r="M501">
        <v>425</v>
      </c>
      <c r="N501" t="s">
        <v>1209</v>
      </c>
      <c r="O501">
        <v>736</v>
      </c>
    </row>
    <row r="502" spans="1:16" x14ac:dyDescent="0.35">
      <c r="A502">
        <v>2024</v>
      </c>
      <c r="B502">
        <v>8</v>
      </c>
      <c r="C502">
        <v>19</v>
      </c>
      <c r="D502">
        <v>808</v>
      </c>
      <c r="E502">
        <v>3</v>
      </c>
      <c r="F502" t="s">
        <v>225</v>
      </c>
      <c r="G502" t="s">
        <v>1209</v>
      </c>
      <c r="H502">
        <v>3</v>
      </c>
      <c r="J502">
        <v>3</v>
      </c>
      <c r="K502">
        <v>3</v>
      </c>
      <c r="L502">
        <v>79.5</v>
      </c>
      <c r="M502">
        <v>425</v>
      </c>
      <c r="N502" t="s">
        <v>1209</v>
      </c>
      <c r="O502">
        <v>808</v>
      </c>
    </row>
    <row r="503" spans="1:16" x14ac:dyDescent="0.35">
      <c r="A503">
        <v>2011</v>
      </c>
      <c r="B503">
        <v>11</v>
      </c>
      <c r="C503">
        <v>14</v>
      </c>
      <c r="D503">
        <v>617</v>
      </c>
      <c r="E503">
        <v>4</v>
      </c>
      <c r="F503" t="s">
        <v>45</v>
      </c>
      <c r="G503" t="s">
        <v>1215</v>
      </c>
      <c r="H503">
        <v>2</v>
      </c>
      <c r="J503" t="s">
        <v>671</v>
      </c>
      <c r="K503" t="s">
        <v>512</v>
      </c>
      <c r="L503">
        <v>75.3</v>
      </c>
      <c r="M503">
        <v>430</v>
      </c>
      <c r="N503" t="s">
        <v>1210</v>
      </c>
      <c r="O503">
        <v>617</v>
      </c>
    </row>
    <row r="504" spans="1:16" x14ac:dyDescent="0.35">
      <c r="A504">
        <v>2024</v>
      </c>
      <c r="B504">
        <v>8</v>
      </c>
      <c r="C504">
        <v>15</v>
      </c>
      <c r="D504">
        <v>734</v>
      </c>
      <c r="E504">
        <v>3</v>
      </c>
      <c r="F504" t="s">
        <v>225</v>
      </c>
      <c r="G504" t="s">
        <v>1209</v>
      </c>
      <c r="H504">
        <v>3</v>
      </c>
      <c r="J504">
        <v>3</v>
      </c>
      <c r="K504">
        <v>3</v>
      </c>
      <c r="L504">
        <v>86.9</v>
      </c>
      <c r="M504">
        <v>430</v>
      </c>
      <c r="N504" t="s">
        <v>1209</v>
      </c>
      <c r="O504">
        <v>734</v>
      </c>
    </row>
    <row r="505" spans="1:16" x14ac:dyDescent="0.35">
      <c r="A505">
        <v>2022</v>
      </c>
      <c r="B505">
        <v>11</v>
      </c>
      <c r="C505">
        <v>1</v>
      </c>
      <c r="D505">
        <v>365</v>
      </c>
      <c r="E505">
        <v>4</v>
      </c>
      <c r="F505" t="s">
        <v>41</v>
      </c>
      <c r="G505" t="s">
        <v>1207</v>
      </c>
      <c r="H505">
        <v>9</v>
      </c>
      <c r="J505" t="s">
        <v>583</v>
      </c>
      <c r="K505" t="s">
        <v>318</v>
      </c>
      <c r="L505">
        <v>6.5</v>
      </c>
      <c r="M505">
        <v>431</v>
      </c>
      <c r="N505" t="s">
        <v>1208</v>
      </c>
      <c r="O505">
        <v>365</v>
      </c>
    </row>
    <row r="506" spans="1:16" x14ac:dyDescent="0.35">
      <c r="A506">
        <v>2023</v>
      </c>
      <c r="B506">
        <v>7</v>
      </c>
      <c r="C506">
        <v>19</v>
      </c>
      <c r="D506">
        <v>357</v>
      </c>
      <c r="E506">
        <v>3</v>
      </c>
      <c r="F506" t="s">
        <v>41</v>
      </c>
      <c r="G506" t="s">
        <v>1207</v>
      </c>
      <c r="H506">
        <v>10</v>
      </c>
      <c r="J506" t="s">
        <v>42</v>
      </c>
      <c r="K506" t="s">
        <v>318</v>
      </c>
      <c r="L506">
        <v>63.2</v>
      </c>
      <c r="M506">
        <v>432</v>
      </c>
      <c r="N506" t="s">
        <v>1208</v>
      </c>
      <c r="O506">
        <v>357</v>
      </c>
    </row>
    <row r="507" spans="1:16" x14ac:dyDescent="0.35">
      <c r="A507">
        <v>2024</v>
      </c>
      <c r="B507">
        <v>2</v>
      </c>
      <c r="C507">
        <v>23</v>
      </c>
      <c r="D507">
        <v>639</v>
      </c>
      <c r="E507">
        <v>1</v>
      </c>
      <c r="F507" t="s">
        <v>225</v>
      </c>
      <c r="G507" t="s">
        <v>1216</v>
      </c>
      <c r="H507">
        <v>2</v>
      </c>
      <c r="J507" t="s">
        <v>21</v>
      </c>
      <c r="K507">
        <v>2</v>
      </c>
      <c r="L507">
        <v>87.1</v>
      </c>
      <c r="M507">
        <v>432</v>
      </c>
      <c r="N507" t="s">
        <v>1209</v>
      </c>
      <c r="O507">
        <v>639</v>
      </c>
    </row>
    <row r="508" spans="1:16" x14ac:dyDescent="0.35">
      <c r="A508">
        <v>2024</v>
      </c>
      <c r="B508">
        <v>8</v>
      </c>
      <c r="C508">
        <v>19</v>
      </c>
      <c r="D508">
        <v>749</v>
      </c>
      <c r="E508">
        <v>3</v>
      </c>
      <c r="F508" t="s">
        <v>225</v>
      </c>
      <c r="G508" t="s">
        <v>1209</v>
      </c>
      <c r="H508">
        <v>3</v>
      </c>
      <c r="J508">
        <v>3</v>
      </c>
      <c r="K508">
        <v>3</v>
      </c>
      <c r="L508">
        <v>85.4</v>
      </c>
      <c r="M508">
        <v>432</v>
      </c>
      <c r="N508" t="s">
        <v>1209</v>
      </c>
      <c r="O508">
        <v>749</v>
      </c>
    </row>
    <row r="509" spans="1:16" x14ac:dyDescent="0.35">
      <c r="A509">
        <v>2023</v>
      </c>
      <c r="B509">
        <v>2</v>
      </c>
      <c r="C509">
        <v>3</v>
      </c>
      <c r="D509">
        <v>136</v>
      </c>
      <c r="E509">
        <v>1</v>
      </c>
      <c r="F509" t="s">
        <v>226</v>
      </c>
      <c r="G509" t="s">
        <v>1211</v>
      </c>
      <c r="H509">
        <v>6</v>
      </c>
      <c r="J509">
        <v>7</v>
      </c>
      <c r="K509">
        <v>7</v>
      </c>
      <c r="L509">
        <v>142.6</v>
      </c>
      <c r="M509">
        <v>433</v>
      </c>
      <c r="N509" t="s">
        <v>1211</v>
      </c>
      <c r="O509">
        <v>136</v>
      </c>
    </row>
    <row r="510" spans="1:16" x14ac:dyDescent="0.35">
      <c r="A510">
        <v>2021</v>
      </c>
      <c r="B510">
        <v>10</v>
      </c>
      <c r="C510">
        <v>11</v>
      </c>
      <c r="D510">
        <v>459</v>
      </c>
      <c r="E510">
        <v>4</v>
      </c>
      <c r="F510" t="s">
        <v>226</v>
      </c>
      <c r="G510" t="s">
        <v>1214</v>
      </c>
      <c r="H510">
        <v>3</v>
      </c>
      <c r="J510" t="s">
        <v>51</v>
      </c>
      <c r="K510" t="s">
        <v>916</v>
      </c>
      <c r="L510">
        <v>70</v>
      </c>
      <c r="M510">
        <v>433</v>
      </c>
      <c r="N510" t="s">
        <v>1211</v>
      </c>
      <c r="O510">
        <v>459</v>
      </c>
    </row>
    <row r="511" spans="1:16" x14ac:dyDescent="0.35">
      <c r="A511">
        <v>2024</v>
      </c>
      <c r="B511">
        <v>8</v>
      </c>
      <c r="C511">
        <v>19</v>
      </c>
      <c r="D511">
        <v>796</v>
      </c>
      <c r="E511">
        <v>3</v>
      </c>
      <c r="F511" t="s">
        <v>225</v>
      </c>
      <c r="G511" t="s">
        <v>1209</v>
      </c>
      <c r="H511">
        <v>3</v>
      </c>
      <c r="J511">
        <v>3</v>
      </c>
      <c r="K511">
        <v>3</v>
      </c>
      <c r="L511">
        <v>83.6</v>
      </c>
      <c r="M511">
        <v>434</v>
      </c>
      <c r="N511" t="s">
        <v>1209</v>
      </c>
      <c r="O511">
        <v>796</v>
      </c>
    </row>
    <row r="512" spans="1:16" x14ac:dyDescent="0.35">
      <c r="A512">
        <v>2024</v>
      </c>
      <c r="B512">
        <v>8</v>
      </c>
      <c r="C512">
        <v>14</v>
      </c>
      <c r="D512">
        <v>695</v>
      </c>
      <c r="E512">
        <v>3</v>
      </c>
      <c r="F512" t="s">
        <v>225</v>
      </c>
      <c r="G512" t="s">
        <v>1209</v>
      </c>
      <c r="H512">
        <v>3</v>
      </c>
      <c r="J512" t="s">
        <v>1018</v>
      </c>
      <c r="K512">
        <v>1</v>
      </c>
      <c r="L512">
        <v>69.7</v>
      </c>
      <c r="M512">
        <v>435</v>
      </c>
      <c r="N512" t="s">
        <v>1209</v>
      </c>
      <c r="O512">
        <v>695</v>
      </c>
    </row>
    <row r="513" spans="1:16" x14ac:dyDescent="0.35">
      <c r="A513">
        <v>2023</v>
      </c>
      <c r="B513">
        <v>7</v>
      </c>
      <c r="C513">
        <v>28</v>
      </c>
      <c r="D513">
        <v>420</v>
      </c>
      <c r="E513">
        <v>3</v>
      </c>
      <c r="F513" t="s">
        <v>225</v>
      </c>
      <c r="G513" t="s">
        <v>1209</v>
      </c>
      <c r="H513">
        <v>2</v>
      </c>
      <c r="J513" t="s">
        <v>61</v>
      </c>
      <c r="K513">
        <v>4</v>
      </c>
      <c r="L513">
        <v>79.8</v>
      </c>
      <c r="M513">
        <v>436.8</v>
      </c>
      <c r="N513" t="s">
        <v>1209</v>
      </c>
      <c r="O513">
        <v>420</v>
      </c>
    </row>
    <row r="514" spans="1:16" x14ac:dyDescent="0.35">
      <c r="A514">
        <v>2024</v>
      </c>
      <c r="B514">
        <v>1</v>
      </c>
      <c r="C514">
        <v>16</v>
      </c>
      <c r="D514">
        <v>572</v>
      </c>
      <c r="E514">
        <v>1</v>
      </c>
      <c r="F514" t="s">
        <v>45</v>
      </c>
      <c r="G514" t="s">
        <v>1208</v>
      </c>
      <c r="H514">
        <v>13</v>
      </c>
      <c r="J514" t="s">
        <v>615</v>
      </c>
      <c r="K514" t="s">
        <v>317</v>
      </c>
      <c r="L514">
        <v>79.2</v>
      </c>
      <c r="M514">
        <v>437</v>
      </c>
      <c r="N514" t="s">
        <v>1210</v>
      </c>
      <c r="O514">
        <v>572</v>
      </c>
    </row>
    <row r="515" spans="1:16" x14ac:dyDescent="0.35">
      <c r="A515">
        <v>2021</v>
      </c>
      <c r="B515">
        <v>10</v>
      </c>
      <c r="C515">
        <v>11</v>
      </c>
      <c r="D515">
        <v>465</v>
      </c>
      <c r="E515">
        <v>4</v>
      </c>
      <c r="F515" t="s">
        <v>226</v>
      </c>
      <c r="G515" t="s">
        <v>1214</v>
      </c>
      <c r="H515">
        <v>3</v>
      </c>
      <c r="J515" t="s">
        <v>51</v>
      </c>
      <c r="K515" t="s">
        <v>920</v>
      </c>
      <c r="L515">
        <v>65</v>
      </c>
      <c r="M515">
        <v>439</v>
      </c>
      <c r="N515" t="s">
        <v>1211</v>
      </c>
      <c r="O515">
        <v>465</v>
      </c>
    </row>
    <row r="516" spans="1:16" x14ac:dyDescent="0.35">
      <c r="A516">
        <v>2023</v>
      </c>
      <c r="B516">
        <v>10</v>
      </c>
      <c r="C516">
        <v>31</v>
      </c>
      <c r="D516">
        <v>539</v>
      </c>
      <c r="E516">
        <v>4</v>
      </c>
      <c r="F516" t="s">
        <v>225</v>
      </c>
      <c r="G516" t="s">
        <v>1216</v>
      </c>
      <c r="H516">
        <v>1</v>
      </c>
      <c r="J516" t="s">
        <v>67</v>
      </c>
      <c r="K516">
        <v>2</v>
      </c>
      <c r="L516">
        <v>83.8</v>
      </c>
      <c r="M516">
        <v>439</v>
      </c>
      <c r="N516" t="s">
        <v>1209</v>
      </c>
      <c r="O516">
        <v>539</v>
      </c>
    </row>
    <row r="517" spans="1:16" x14ac:dyDescent="0.35">
      <c r="A517">
        <v>2021</v>
      </c>
      <c r="B517">
        <v>4</v>
      </c>
      <c r="C517">
        <v>13</v>
      </c>
      <c r="D517">
        <v>491</v>
      </c>
      <c r="E517">
        <v>2</v>
      </c>
      <c r="F517" t="s">
        <v>226</v>
      </c>
      <c r="G517" t="s">
        <v>1214</v>
      </c>
      <c r="H517">
        <v>3</v>
      </c>
      <c r="J517" t="s">
        <v>51</v>
      </c>
      <c r="K517" t="s">
        <v>920</v>
      </c>
      <c r="L517">
        <v>60</v>
      </c>
      <c r="M517">
        <v>440</v>
      </c>
      <c r="N517" t="s">
        <v>1211</v>
      </c>
      <c r="O517">
        <v>491</v>
      </c>
    </row>
    <row r="518" spans="1:16" x14ac:dyDescent="0.35">
      <c r="A518">
        <v>2024</v>
      </c>
      <c r="B518">
        <v>3</v>
      </c>
      <c r="C518">
        <v>28</v>
      </c>
      <c r="D518">
        <v>659</v>
      </c>
      <c r="E518">
        <v>2</v>
      </c>
      <c r="F518" t="s">
        <v>41</v>
      </c>
      <c r="G518" t="s">
        <v>1207</v>
      </c>
      <c r="H518">
        <v>11</v>
      </c>
      <c r="J518" t="s">
        <v>42</v>
      </c>
      <c r="K518" t="s">
        <v>318</v>
      </c>
      <c r="L518">
        <v>78.900000000000006</v>
      </c>
      <c r="M518">
        <v>440</v>
      </c>
      <c r="N518" t="s">
        <v>1208</v>
      </c>
      <c r="O518">
        <v>659</v>
      </c>
    </row>
    <row r="519" spans="1:16" x14ac:dyDescent="0.35">
      <c r="A519">
        <v>2024</v>
      </c>
      <c r="B519">
        <v>8</v>
      </c>
      <c r="C519">
        <v>9</v>
      </c>
      <c r="D519">
        <v>768</v>
      </c>
      <c r="E519">
        <v>3</v>
      </c>
      <c r="F519" t="s">
        <v>41</v>
      </c>
      <c r="G519" t="s">
        <v>1207</v>
      </c>
      <c r="H519">
        <v>11</v>
      </c>
      <c r="J519" t="s">
        <v>509</v>
      </c>
      <c r="K519" t="s">
        <v>458</v>
      </c>
      <c r="L519">
        <v>87.8</v>
      </c>
      <c r="M519">
        <v>440</v>
      </c>
      <c r="N519" t="s">
        <v>1208</v>
      </c>
      <c r="O519">
        <v>768</v>
      </c>
    </row>
    <row r="520" spans="1:16" x14ac:dyDescent="0.35">
      <c r="A520">
        <v>2024</v>
      </c>
      <c r="B520">
        <v>8</v>
      </c>
      <c r="C520">
        <v>19</v>
      </c>
      <c r="D520">
        <v>798</v>
      </c>
      <c r="E520">
        <v>3</v>
      </c>
      <c r="F520" t="s">
        <v>225</v>
      </c>
      <c r="G520" t="s">
        <v>1209</v>
      </c>
      <c r="H520">
        <v>3</v>
      </c>
      <c r="J520">
        <v>3</v>
      </c>
      <c r="K520">
        <v>3</v>
      </c>
      <c r="L520">
        <v>86.2</v>
      </c>
      <c r="M520">
        <v>440</v>
      </c>
      <c r="N520" t="s">
        <v>1209</v>
      </c>
      <c r="O520">
        <v>798</v>
      </c>
    </row>
    <row r="521" spans="1:16" x14ac:dyDescent="0.35">
      <c r="A521">
        <v>2024</v>
      </c>
      <c r="B521">
        <v>1</v>
      </c>
      <c r="C521">
        <v>19</v>
      </c>
      <c r="D521">
        <v>598</v>
      </c>
      <c r="E521">
        <v>1</v>
      </c>
      <c r="F521" t="s">
        <v>41</v>
      </c>
      <c r="G521" t="s">
        <v>1212</v>
      </c>
      <c r="H521">
        <v>12</v>
      </c>
      <c r="J521" t="s">
        <v>541</v>
      </c>
      <c r="K521" t="s">
        <v>461</v>
      </c>
      <c r="L521">
        <v>89.5</v>
      </c>
      <c r="M521">
        <v>441</v>
      </c>
      <c r="N521" t="s">
        <v>1208</v>
      </c>
      <c r="O521">
        <v>598</v>
      </c>
    </row>
    <row r="522" spans="1:16" x14ac:dyDescent="0.35">
      <c r="A522">
        <v>2023</v>
      </c>
      <c r="B522">
        <v>7</v>
      </c>
      <c r="C522">
        <v>26</v>
      </c>
      <c r="D522">
        <v>450</v>
      </c>
      <c r="E522">
        <v>3</v>
      </c>
      <c r="F522" t="s">
        <v>225</v>
      </c>
      <c r="G522" t="s">
        <v>1209</v>
      </c>
      <c r="H522">
        <v>2</v>
      </c>
      <c r="J522" t="s">
        <v>76</v>
      </c>
      <c r="K522">
        <v>1</v>
      </c>
      <c r="L522">
        <v>88.7</v>
      </c>
      <c r="M522">
        <v>444</v>
      </c>
      <c r="N522" t="s">
        <v>1209</v>
      </c>
      <c r="O522">
        <v>450</v>
      </c>
    </row>
    <row r="523" spans="1:16" x14ac:dyDescent="0.35">
      <c r="A523">
        <v>2023</v>
      </c>
      <c r="B523">
        <v>11</v>
      </c>
      <c r="C523">
        <v>3</v>
      </c>
      <c r="D523">
        <v>530</v>
      </c>
      <c r="E523">
        <v>4</v>
      </c>
      <c r="F523" t="s">
        <v>225</v>
      </c>
      <c r="G523" t="s">
        <v>1216</v>
      </c>
      <c r="H523">
        <v>1</v>
      </c>
      <c r="J523">
        <v>2</v>
      </c>
      <c r="K523">
        <v>2</v>
      </c>
      <c r="L523">
        <v>83.6</v>
      </c>
      <c r="M523">
        <v>444</v>
      </c>
      <c r="N523" t="s">
        <v>1209</v>
      </c>
      <c r="O523">
        <v>530</v>
      </c>
    </row>
    <row r="524" spans="1:16" x14ac:dyDescent="0.35">
      <c r="A524">
        <v>2023</v>
      </c>
      <c r="B524">
        <v>8</v>
      </c>
      <c r="C524">
        <v>2</v>
      </c>
      <c r="D524">
        <v>414</v>
      </c>
      <c r="E524">
        <v>3</v>
      </c>
      <c r="F524" t="s">
        <v>226</v>
      </c>
      <c r="G524" t="s">
        <v>1211</v>
      </c>
      <c r="H524">
        <v>6</v>
      </c>
      <c r="J524" t="s">
        <v>878</v>
      </c>
      <c r="K524">
        <v>7</v>
      </c>
      <c r="L524">
        <v>93.1</v>
      </c>
      <c r="M524">
        <v>444.5</v>
      </c>
      <c r="N524" t="s">
        <v>1211</v>
      </c>
      <c r="O524">
        <v>414</v>
      </c>
    </row>
    <row r="525" spans="1:16" x14ac:dyDescent="0.35">
      <c r="A525">
        <v>2023</v>
      </c>
      <c r="B525">
        <v>8</v>
      </c>
      <c r="C525">
        <v>2</v>
      </c>
      <c r="D525">
        <v>421</v>
      </c>
      <c r="E525">
        <v>3</v>
      </c>
      <c r="F525" t="s">
        <v>226</v>
      </c>
      <c r="G525" t="s">
        <v>1211</v>
      </c>
      <c r="H525">
        <v>6</v>
      </c>
      <c r="J525" t="s">
        <v>64</v>
      </c>
      <c r="K525">
        <v>7</v>
      </c>
      <c r="L525">
        <v>87.8</v>
      </c>
      <c r="M525">
        <v>444.5</v>
      </c>
      <c r="N525" t="s">
        <v>1211</v>
      </c>
      <c r="O525">
        <v>421</v>
      </c>
    </row>
    <row r="526" spans="1:16" x14ac:dyDescent="0.35">
      <c r="A526">
        <v>2024</v>
      </c>
      <c r="B526">
        <v>1</v>
      </c>
      <c r="C526">
        <v>26</v>
      </c>
      <c r="D526">
        <v>552</v>
      </c>
      <c r="E526">
        <v>1</v>
      </c>
      <c r="F526" t="s">
        <v>225</v>
      </c>
      <c r="G526" t="s">
        <v>1209</v>
      </c>
      <c r="H526">
        <v>3</v>
      </c>
      <c r="J526" t="s">
        <v>76</v>
      </c>
      <c r="K526">
        <v>1</v>
      </c>
      <c r="L526">
        <v>85.5</v>
      </c>
      <c r="M526">
        <v>445</v>
      </c>
      <c r="N526" t="s">
        <v>1209</v>
      </c>
      <c r="O526">
        <v>552</v>
      </c>
      <c r="P526">
        <v>11.42</v>
      </c>
    </row>
    <row r="527" spans="1:16" x14ac:dyDescent="0.35">
      <c r="A527">
        <v>2023</v>
      </c>
      <c r="B527">
        <v>7</v>
      </c>
      <c r="C527">
        <v>18</v>
      </c>
      <c r="D527">
        <v>341</v>
      </c>
      <c r="E527">
        <v>3</v>
      </c>
      <c r="F527" t="s">
        <v>41</v>
      </c>
      <c r="G527" t="s">
        <v>1212</v>
      </c>
      <c r="H527">
        <v>11</v>
      </c>
      <c r="J527" t="s">
        <v>551</v>
      </c>
      <c r="K527" t="s">
        <v>461</v>
      </c>
      <c r="L527">
        <v>68.8</v>
      </c>
      <c r="M527">
        <v>445</v>
      </c>
      <c r="N527" t="s">
        <v>1208</v>
      </c>
      <c r="O527">
        <v>341</v>
      </c>
    </row>
    <row r="528" spans="1:16" x14ac:dyDescent="0.35">
      <c r="A528">
        <v>2024</v>
      </c>
      <c r="B528">
        <v>8</v>
      </c>
      <c r="C528">
        <v>19</v>
      </c>
      <c r="D528">
        <v>726</v>
      </c>
      <c r="E528">
        <v>3</v>
      </c>
      <c r="F528" t="s">
        <v>225</v>
      </c>
      <c r="G528" t="s">
        <v>1209</v>
      </c>
      <c r="H528">
        <v>3</v>
      </c>
      <c r="J528">
        <v>3</v>
      </c>
      <c r="K528">
        <v>3</v>
      </c>
      <c r="L528">
        <v>91</v>
      </c>
      <c r="M528">
        <v>445</v>
      </c>
      <c r="N528" t="s">
        <v>1209</v>
      </c>
      <c r="O528">
        <v>726</v>
      </c>
    </row>
    <row r="529" spans="1:16" x14ac:dyDescent="0.35">
      <c r="A529">
        <v>2024</v>
      </c>
      <c r="B529">
        <v>8</v>
      </c>
      <c r="C529">
        <v>19</v>
      </c>
      <c r="D529">
        <v>797</v>
      </c>
      <c r="E529">
        <v>3</v>
      </c>
      <c r="F529" t="s">
        <v>225</v>
      </c>
      <c r="G529" t="s">
        <v>1209</v>
      </c>
      <c r="H529">
        <v>3</v>
      </c>
      <c r="J529">
        <v>3</v>
      </c>
      <c r="K529">
        <v>3</v>
      </c>
      <c r="L529">
        <v>87.3</v>
      </c>
      <c r="M529">
        <v>445</v>
      </c>
      <c r="N529" t="s">
        <v>1209</v>
      </c>
      <c r="O529">
        <v>797</v>
      </c>
    </row>
    <row r="530" spans="1:16" x14ac:dyDescent="0.35">
      <c r="A530">
        <v>2024</v>
      </c>
      <c r="B530">
        <v>8</v>
      </c>
      <c r="C530">
        <v>15</v>
      </c>
      <c r="D530">
        <v>828</v>
      </c>
      <c r="E530">
        <v>3</v>
      </c>
      <c r="F530" t="s">
        <v>225</v>
      </c>
      <c r="G530" t="s">
        <v>1209</v>
      </c>
      <c r="H530">
        <v>3</v>
      </c>
      <c r="J530" t="s">
        <v>237</v>
      </c>
      <c r="K530">
        <v>3</v>
      </c>
      <c r="L530">
        <v>91.2</v>
      </c>
      <c r="M530">
        <v>445</v>
      </c>
      <c r="N530" t="s">
        <v>1209</v>
      </c>
      <c r="O530">
        <v>828</v>
      </c>
    </row>
    <row r="531" spans="1:16" x14ac:dyDescent="0.35">
      <c r="A531">
        <v>2023</v>
      </c>
      <c r="B531">
        <v>7</v>
      </c>
      <c r="C531">
        <v>17</v>
      </c>
      <c r="D531">
        <v>381</v>
      </c>
      <c r="E531">
        <v>3</v>
      </c>
      <c r="F531" t="s">
        <v>45</v>
      </c>
      <c r="G531" t="s">
        <v>1208</v>
      </c>
      <c r="H531">
        <v>12</v>
      </c>
      <c r="J531" t="s">
        <v>46</v>
      </c>
      <c r="K531" t="s">
        <v>317</v>
      </c>
      <c r="L531">
        <v>70.7</v>
      </c>
      <c r="M531">
        <v>446</v>
      </c>
      <c r="N531" t="s">
        <v>1210</v>
      </c>
      <c r="O531">
        <v>381</v>
      </c>
    </row>
    <row r="532" spans="1:16" x14ac:dyDescent="0.35">
      <c r="A532">
        <v>2024</v>
      </c>
      <c r="B532">
        <v>8</v>
      </c>
      <c r="C532">
        <v>19</v>
      </c>
      <c r="D532">
        <v>728</v>
      </c>
      <c r="E532">
        <v>3</v>
      </c>
      <c r="F532" t="s">
        <v>225</v>
      </c>
      <c r="G532" t="s">
        <v>1209</v>
      </c>
      <c r="H532">
        <v>3</v>
      </c>
      <c r="J532">
        <v>3</v>
      </c>
      <c r="K532">
        <v>3</v>
      </c>
      <c r="L532">
        <v>97.4</v>
      </c>
      <c r="M532">
        <v>446</v>
      </c>
      <c r="N532" t="s">
        <v>1209</v>
      </c>
      <c r="O532">
        <v>728</v>
      </c>
    </row>
    <row r="533" spans="1:16" x14ac:dyDescent="0.35">
      <c r="A533">
        <v>2019</v>
      </c>
      <c r="B533">
        <v>3</v>
      </c>
      <c r="C533">
        <v>4</v>
      </c>
      <c r="D533">
        <v>165</v>
      </c>
      <c r="E533">
        <v>2</v>
      </c>
      <c r="F533" t="s">
        <v>226</v>
      </c>
      <c r="G533" t="s">
        <v>1211</v>
      </c>
      <c r="H533">
        <v>2</v>
      </c>
      <c r="J533" t="s">
        <v>228</v>
      </c>
      <c r="K533">
        <v>7</v>
      </c>
      <c r="L533">
        <v>90.8</v>
      </c>
      <c r="M533">
        <v>447</v>
      </c>
      <c r="N533" t="s">
        <v>1211</v>
      </c>
      <c r="O533">
        <v>165</v>
      </c>
    </row>
    <row r="534" spans="1:16" x14ac:dyDescent="0.35">
      <c r="A534">
        <v>2021</v>
      </c>
      <c r="B534">
        <v>11</v>
      </c>
      <c r="C534">
        <v>3</v>
      </c>
      <c r="D534">
        <v>19</v>
      </c>
      <c r="E534">
        <v>4</v>
      </c>
      <c r="F534" t="s">
        <v>20</v>
      </c>
      <c r="G534" t="s">
        <v>1217</v>
      </c>
      <c r="H534">
        <v>2</v>
      </c>
      <c r="J534">
        <v>23</v>
      </c>
      <c r="K534">
        <v>23</v>
      </c>
      <c r="L534">
        <v>99.7</v>
      </c>
      <c r="M534">
        <v>450</v>
      </c>
      <c r="N534" t="s">
        <v>1214</v>
      </c>
      <c r="O534">
        <v>19</v>
      </c>
    </row>
    <row r="535" spans="1:16" x14ac:dyDescent="0.35">
      <c r="A535">
        <v>2024</v>
      </c>
      <c r="B535">
        <v>8</v>
      </c>
      <c r="C535">
        <v>19</v>
      </c>
      <c r="D535">
        <v>741</v>
      </c>
      <c r="E535">
        <v>3</v>
      </c>
      <c r="F535" t="s">
        <v>225</v>
      </c>
      <c r="G535" t="s">
        <v>1209</v>
      </c>
      <c r="H535">
        <v>3</v>
      </c>
      <c r="J535">
        <v>3</v>
      </c>
      <c r="K535">
        <v>3</v>
      </c>
      <c r="L535">
        <v>93</v>
      </c>
      <c r="M535">
        <v>450</v>
      </c>
      <c r="N535" t="s">
        <v>1209</v>
      </c>
      <c r="O535">
        <v>741</v>
      </c>
    </row>
    <row r="536" spans="1:16" x14ac:dyDescent="0.35">
      <c r="A536">
        <v>2024</v>
      </c>
      <c r="B536">
        <v>8</v>
      </c>
      <c r="C536">
        <v>19</v>
      </c>
      <c r="D536">
        <v>752</v>
      </c>
      <c r="E536">
        <v>3</v>
      </c>
      <c r="F536" t="s">
        <v>225</v>
      </c>
      <c r="G536" t="s">
        <v>1209</v>
      </c>
      <c r="H536">
        <v>3</v>
      </c>
      <c r="J536">
        <v>3</v>
      </c>
      <c r="K536">
        <v>3</v>
      </c>
      <c r="L536">
        <v>103.2</v>
      </c>
      <c r="M536">
        <v>450</v>
      </c>
      <c r="N536" t="s">
        <v>1209</v>
      </c>
      <c r="O536">
        <v>752</v>
      </c>
    </row>
    <row r="537" spans="1:16" x14ac:dyDescent="0.35">
      <c r="A537">
        <v>2019</v>
      </c>
      <c r="B537">
        <v>11</v>
      </c>
      <c r="C537">
        <v>27</v>
      </c>
      <c r="D537">
        <v>47</v>
      </c>
      <c r="E537">
        <v>4</v>
      </c>
      <c r="F537" t="s">
        <v>45</v>
      </c>
      <c r="G537" t="s">
        <v>1215</v>
      </c>
      <c r="H537">
        <v>10</v>
      </c>
      <c r="J537" t="s">
        <v>488</v>
      </c>
      <c r="K537" t="s">
        <v>488</v>
      </c>
      <c r="L537">
        <v>80.3</v>
      </c>
      <c r="M537">
        <v>451</v>
      </c>
      <c r="N537" t="s">
        <v>1210</v>
      </c>
      <c r="O537">
        <v>47</v>
      </c>
    </row>
    <row r="538" spans="1:16" x14ac:dyDescent="0.35">
      <c r="A538">
        <v>2016</v>
      </c>
      <c r="B538">
        <v>9</v>
      </c>
      <c r="C538">
        <v>1</v>
      </c>
      <c r="D538">
        <v>236</v>
      </c>
      <c r="E538">
        <v>3</v>
      </c>
      <c r="F538" t="s">
        <v>45</v>
      </c>
      <c r="G538" t="s">
        <v>1208</v>
      </c>
      <c r="H538">
        <v>5</v>
      </c>
      <c r="J538" t="s">
        <v>647</v>
      </c>
      <c r="K538" t="s">
        <v>317</v>
      </c>
      <c r="L538">
        <v>98.7</v>
      </c>
      <c r="M538">
        <v>454</v>
      </c>
      <c r="N538" t="s">
        <v>1210</v>
      </c>
      <c r="O538">
        <v>236</v>
      </c>
      <c r="P538">
        <v>11.2</v>
      </c>
    </row>
    <row r="539" spans="1:16" x14ac:dyDescent="0.35">
      <c r="A539">
        <v>2016</v>
      </c>
      <c r="B539">
        <v>9</v>
      </c>
      <c r="C539">
        <v>1</v>
      </c>
      <c r="D539">
        <v>236</v>
      </c>
      <c r="E539">
        <v>3</v>
      </c>
      <c r="F539" t="s">
        <v>45</v>
      </c>
      <c r="G539" t="s">
        <v>1208</v>
      </c>
      <c r="H539">
        <v>5</v>
      </c>
      <c r="J539" t="s">
        <v>647</v>
      </c>
      <c r="K539" t="s">
        <v>317</v>
      </c>
      <c r="L539">
        <v>98.7</v>
      </c>
      <c r="M539">
        <v>454</v>
      </c>
      <c r="N539" t="s">
        <v>1210</v>
      </c>
      <c r="O539">
        <v>236</v>
      </c>
      <c r="P539">
        <v>9.6300000000000008</v>
      </c>
    </row>
    <row r="540" spans="1:16" x14ac:dyDescent="0.35">
      <c r="A540">
        <v>2011</v>
      </c>
      <c r="B540">
        <v>11</v>
      </c>
      <c r="C540">
        <v>14</v>
      </c>
      <c r="D540">
        <v>618</v>
      </c>
      <c r="E540">
        <v>4</v>
      </c>
      <c r="F540" t="s">
        <v>45</v>
      </c>
      <c r="G540" t="s">
        <v>1215</v>
      </c>
      <c r="H540">
        <v>2</v>
      </c>
      <c r="J540" t="s">
        <v>711</v>
      </c>
      <c r="K540" t="s">
        <v>512</v>
      </c>
      <c r="L540">
        <v>89.3</v>
      </c>
      <c r="M540">
        <v>455</v>
      </c>
      <c r="N540" t="s">
        <v>1210</v>
      </c>
      <c r="O540">
        <v>618</v>
      </c>
    </row>
    <row r="541" spans="1:16" x14ac:dyDescent="0.35">
      <c r="A541">
        <v>2023</v>
      </c>
      <c r="B541">
        <v>7</v>
      </c>
      <c r="C541">
        <v>18</v>
      </c>
      <c r="D541">
        <v>339</v>
      </c>
      <c r="E541">
        <v>3</v>
      </c>
      <c r="F541" t="s">
        <v>41</v>
      </c>
      <c r="G541" t="s">
        <v>1212</v>
      </c>
      <c r="H541">
        <v>11</v>
      </c>
      <c r="J541" t="s">
        <v>551</v>
      </c>
      <c r="K541" t="s">
        <v>461</v>
      </c>
      <c r="L541">
        <v>8.5</v>
      </c>
      <c r="M541">
        <v>456</v>
      </c>
      <c r="N541" t="s">
        <v>1208</v>
      </c>
      <c r="O541">
        <v>339</v>
      </c>
    </row>
    <row r="542" spans="1:16" x14ac:dyDescent="0.35">
      <c r="A542">
        <v>2021</v>
      </c>
      <c r="B542">
        <v>10</v>
      </c>
      <c r="C542" t="s">
        <v>28</v>
      </c>
      <c r="D542">
        <v>6</v>
      </c>
      <c r="E542">
        <v>4</v>
      </c>
      <c r="F542" t="s">
        <v>41</v>
      </c>
      <c r="G542" t="s">
        <v>1207</v>
      </c>
      <c r="H542">
        <v>8</v>
      </c>
      <c r="J542" t="s">
        <v>318</v>
      </c>
      <c r="K542" t="s">
        <v>318</v>
      </c>
      <c r="L542">
        <v>101.5</v>
      </c>
      <c r="M542">
        <v>457</v>
      </c>
      <c r="N542" t="s">
        <v>1208</v>
      </c>
      <c r="O542">
        <v>6</v>
      </c>
      <c r="P542">
        <v>6.74</v>
      </c>
    </row>
    <row r="543" spans="1:16" x14ac:dyDescent="0.35">
      <c r="A543">
        <v>2023</v>
      </c>
      <c r="B543">
        <v>7</v>
      </c>
      <c r="C543">
        <v>19</v>
      </c>
      <c r="D543">
        <v>351</v>
      </c>
      <c r="E543">
        <v>3</v>
      </c>
      <c r="F543" t="s">
        <v>41</v>
      </c>
      <c r="G543" t="s">
        <v>1207</v>
      </c>
      <c r="H543">
        <v>10</v>
      </c>
      <c r="J543" t="s">
        <v>583</v>
      </c>
      <c r="K543" t="s">
        <v>318</v>
      </c>
      <c r="L543">
        <v>86.2</v>
      </c>
      <c r="M543">
        <v>457</v>
      </c>
      <c r="N543" t="s">
        <v>1208</v>
      </c>
      <c r="O543">
        <v>351</v>
      </c>
    </row>
    <row r="544" spans="1:16" x14ac:dyDescent="0.35">
      <c r="A544">
        <v>2024</v>
      </c>
      <c r="B544">
        <v>1</v>
      </c>
      <c r="C544">
        <v>30</v>
      </c>
      <c r="D544">
        <v>628</v>
      </c>
      <c r="E544">
        <v>1</v>
      </c>
      <c r="F544" t="s">
        <v>225</v>
      </c>
      <c r="G544" t="s">
        <v>1216</v>
      </c>
      <c r="H544">
        <v>2</v>
      </c>
      <c r="J544" t="s">
        <v>83</v>
      </c>
      <c r="K544">
        <v>2</v>
      </c>
      <c r="L544">
        <v>84.2</v>
      </c>
      <c r="M544">
        <v>459</v>
      </c>
      <c r="N544" t="s">
        <v>1209</v>
      </c>
      <c r="O544">
        <v>628</v>
      </c>
    </row>
    <row r="545" spans="1:16" x14ac:dyDescent="0.35">
      <c r="A545">
        <v>2024</v>
      </c>
      <c r="B545">
        <v>8</v>
      </c>
      <c r="C545">
        <v>19</v>
      </c>
      <c r="D545">
        <v>755</v>
      </c>
      <c r="E545">
        <v>3</v>
      </c>
      <c r="F545" t="s">
        <v>225</v>
      </c>
      <c r="G545" t="s">
        <v>1209</v>
      </c>
      <c r="H545">
        <v>3</v>
      </c>
      <c r="J545">
        <v>3</v>
      </c>
      <c r="K545">
        <v>3</v>
      </c>
      <c r="L545">
        <v>98.6</v>
      </c>
      <c r="M545">
        <v>460</v>
      </c>
      <c r="N545" t="s">
        <v>1209</v>
      </c>
      <c r="O545">
        <v>755</v>
      </c>
    </row>
    <row r="546" spans="1:16" x14ac:dyDescent="0.35">
      <c r="A546">
        <v>2021</v>
      </c>
      <c r="B546">
        <v>10</v>
      </c>
      <c r="C546">
        <v>11</v>
      </c>
      <c r="D546">
        <v>484</v>
      </c>
      <c r="E546">
        <v>4</v>
      </c>
      <c r="F546" t="s">
        <v>226</v>
      </c>
      <c r="G546" t="s">
        <v>1214</v>
      </c>
      <c r="H546">
        <v>3</v>
      </c>
      <c r="J546" t="s">
        <v>51</v>
      </c>
      <c r="K546" t="s">
        <v>939</v>
      </c>
      <c r="L546">
        <v>95</v>
      </c>
      <c r="M546">
        <v>462</v>
      </c>
      <c r="N546" t="s">
        <v>1211</v>
      </c>
      <c r="O546">
        <v>484</v>
      </c>
      <c r="P546">
        <v>7.02</v>
      </c>
    </row>
    <row r="547" spans="1:16" x14ac:dyDescent="0.35">
      <c r="A547">
        <v>2023</v>
      </c>
      <c r="B547">
        <v>2</v>
      </c>
      <c r="C547">
        <v>10</v>
      </c>
      <c r="D547">
        <v>143</v>
      </c>
      <c r="E547">
        <v>1</v>
      </c>
      <c r="F547" t="s">
        <v>41</v>
      </c>
      <c r="G547" t="s">
        <v>1207</v>
      </c>
      <c r="H547">
        <v>10</v>
      </c>
      <c r="J547" t="s">
        <v>91</v>
      </c>
      <c r="K547" t="s">
        <v>318</v>
      </c>
      <c r="L547">
        <v>179.1</v>
      </c>
      <c r="M547">
        <v>462</v>
      </c>
      <c r="N547" t="s">
        <v>1208</v>
      </c>
      <c r="O547">
        <v>143</v>
      </c>
    </row>
    <row r="548" spans="1:16" x14ac:dyDescent="0.35">
      <c r="A548">
        <v>2023</v>
      </c>
      <c r="B548">
        <v>2</v>
      </c>
      <c r="C548">
        <v>10</v>
      </c>
      <c r="D548">
        <v>143</v>
      </c>
      <c r="E548">
        <v>1</v>
      </c>
      <c r="F548" t="s">
        <v>41</v>
      </c>
      <c r="G548" t="s">
        <v>1207</v>
      </c>
      <c r="H548">
        <v>10</v>
      </c>
      <c r="J548" t="s">
        <v>91</v>
      </c>
      <c r="K548" t="s">
        <v>318</v>
      </c>
      <c r="L548">
        <v>179.1</v>
      </c>
      <c r="M548">
        <v>462</v>
      </c>
      <c r="N548" t="s">
        <v>1208</v>
      </c>
      <c r="O548">
        <v>143</v>
      </c>
    </row>
    <row r="549" spans="1:16" x14ac:dyDescent="0.35">
      <c r="A549">
        <v>2022</v>
      </c>
      <c r="B549">
        <v>11</v>
      </c>
      <c r="C549">
        <v>1</v>
      </c>
      <c r="D549">
        <v>367</v>
      </c>
      <c r="E549">
        <v>4</v>
      </c>
      <c r="F549" t="s">
        <v>41</v>
      </c>
      <c r="G549" t="s">
        <v>1207</v>
      </c>
      <c r="H549">
        <v>9</v>
      </c>
      <c r="J549" t="s">
        <v>42</v>
      </c>
      <c r="K549" t="s">
        <v>318</v>
      </c>
      <c r="L549">
        <v>79.099999999999994</v>
      </c>
      <c r="M549">
        <v>464</v>
      </c>
      <c r="N549" t="s">
        <v>1208</v>
      </c>
      <c r="O549">
        <v>367</v>
      </c>
    </row>
    <row r="550" spans="1:16" x14ac:dyDescent="0.35">
      <c r="A550">
        <v>2022</v>
      </c>
      <c r="B550">
        <v>11</v>
      </c>
      <c r="C550">
        <v>1</v>
      </c>
      <c r="D550">
        <v>367</v>
      </c>
      <c r="E550">
        <v>4</v>
      </c>
      <c r="F550" t="s">
        <v>41</v>
      </c>
      <c r="G550" t="s">
        <v>1207</v>
      </c>
      <c r="H550">
        <v>9</v>
      </c>
      <c r="J550" t="s">
        <v>42</v>
      </c>
      <c r="K550" t="s">
        <v>318</v>
      </c>
      <c r="L550">
        <v>79.099999999999994</v>
      </c>
      <c r="M550">
        <v>464</v>
      </c>
      <c r="N550" t="s">
        <v>1208</v>
      </c>
      <c r="O550">
        <v>367</v>
      </c>
    </row>
    <row r="551" spans="1:16" x14ac:dyDescent="0.35">
      <c r="A551">
        <v>2024</v>
      </c>
      <c r="B551">
        <v>1</v>
      </c>
      <c r="C551">
        <v>19</v>
      </c>
      <c r="D551">
        <v>583</v>
      </c>
      <c r="E551">
        <v>1</v>
      </c>
      <c r="F551" t="s">
        <v>41</v>
      </c>
      <c r="G551" t="s">
        <v>1207</v>
      </c>
      <c r="H551">
        <v>11</v>
      </c>
      <c r="J551" t="s">
        <v>42</v>
      </c>
      <c r="K551" t="s">
        <v>318</v>
      </c>
      <c r="L551">
        <v>104.7</v>
      </c>
      <c r="M551">
        <v>464</v>
      </c>
      <c r="N551" t="s">
        <v>1208</v>
      </c>
      <c r="O551">
        <v>583</v>
      </c>
    </row>
    <row r="552" spans="1:16" x14ac:dyDescent="0.35">
      <c r="A552">
        <v>2024</v>
      </c>
      <c r="B552">
        <v>8</v>
      </c>
      <c r="C552">
        <v>8</v>
      </c>
      <c r="D552">
        <v>701</v>
      </c>
      <c r="E552">
        <v>3</v>
      </c>
      <c r="F552" t="s">
        <v>45</v>
      </c>
      <c r="G552" t="s">
        <v>1208</v>
      </c>
      <c r="H552">
        <v>13</v>
      </c>
      <c r="J552" t="s">
        <v>46</v>
      </c>
      <c r="K552" t="s">
        <v>317</v>
      </c>
      <c r="L552">
        <v>84.5</v>
      </c>
      <c r="M552">
        <v>464</v>
      </c>
      <c r="N552" t="s">
        <v>1210</v>
      </c>
      <c r="O552">
        <v>701</v>
      </c>
    </row>
    <row r="553" spans="1:16" x14ac:dyDescent="0.35">
      <c r="A553">
        <v>2024</v>
      </c>
      <c r="B553">
        <v>8</v>
      </c>
      <c r="C553">
        <v>19</v>
      </c>
      <c r="D553">
        <v>814</v>
      </c>
      <c r="E553">
        <v>3</v>
      </c>
      <c r="F553" t="s">
        <v>225</v>
      </c>
      <c r="G553" t="s">
        <v>1209</v>
      </c>
      <c r="H553">
        <v>3</v>
      </c>
      <c r="J553">
        <v>3</v>
      </c>
      <c r="K553">
        <v>3</v>
      </c>
      <c r="L553">
        <v>147</v>
      </c>
      <c r="M553">
        <v>464</v>
      </c>
      <c r="N553" t="s">
        <v>1209</v>
      </c>
      <c r="O553">
        <v>814</v>
      </c>
    </row>
    <row r="554" spans="1:16" x14ac:dyDescent="0.35">
      <c r="A554">
        <v>2021</v>
      </c>
      <c r="B554">
        <v>10</v>
      </c>
      <c r="C554">
        <v>11</v>
      </c>
      <c r="D554">
        <v>466</v>
      </c>
      <c r="E554">
        <v>4</v>
      </c>
      <c r="F554" t="s">
        <v>226</v>
      </c>
      <c r="G554" t="s">
        <v>1214</v>
      </c>
      <c r="H554">
        <v>3</v>
      </c>
      <c r="J554" t="s">
        <v>51</v>
      </c>
      <c r="K554" t="s">
        <v>920</v>
      </c>
      <c r="L554">
        <v>100</v>
      </c>
      <c r="M554">
        <v>466</v>
      </c>
      <c r="N554" t="s">
        <v>1211</v>
      </c>
      <c r="O554">
        <v>466</v>
      </c>
    </row>
    <row r="555" spans="1:16" x14ac:dyDescent="0.35">
      <c r="A555">
        <v>2021</v>
      </c>
      <c r="B555">
        <v>4</v>
      </c>
      <c r="C555">
        <v>13</v>
      </c>
      <c r="D555">
        <v>492</v>
      </c>
      <c r="E555">
        <v>2</v>
      </c>
      <c r="F555" t="s">
        <v>226</v>
      </c>
      <c r="G555" t="s">
        <v>1214</v>
      </c>
      <c r="H555">
        <v>3</v>
      </c>
      <c r="J555" t="s">
        <v>51</v>
      </c>
      <c r="K555" t="s">
        <v>920</v>
      </c>
      <c r="L555">
        <v>100</v>
      </c>
      <c r="M555">
        <v>466</v>
      </c>
      <c r="N555" t="s">
        <v>1211</v>
      </c>
      <c r="O555">
        <v>492</v>
      </c>
    </row>
    <row r="556" spans="1:16" x14ac:dyDescent="0.35">
      <c r="A556">
        <v>2024</v>
      </c>
      <c r="B556">
        <v>1</v>
      </c>
      <c r="C556">
        <v>22</v>
      </c>
      <c r="D556">
        <v>603</v>
      </c>
      <c r="E556">
        <v>1</v>
      </c>
      <c r="F556" t="s">
        <v>20</v>
      </c>
      <c r="G556" t="s">
        <v>1213</v>
      </c>
      <c r="H556">
        <v>4</v>
      </c>
      <c r="J556" t="s">
        <v>233</v>
      </c>
      <c r="K556">
        <v>37</v>
      </c>
      <c r="L556">
        <v>121.8</v>
      </c>
      <c r="M556">
        <v>466</v>
      </c>
      <c r="N556" t="s">
        <v>1214</v>
      </c>
      <c r="O556">
        <v>603</v>
      </c>
    </row>
    <row r="557" spans="1:16" x14ac:dyDescent="0.35">
      <c r="A557">
        <v>2021</v>
      </c>
      <c r="B557">
        <v>10</v>
      </c>
      <c r="C557">
        <v>11</v>
      </c>
      <c r="D557">
        <v>472</v>
      </c>
      <c r="E557">
        <v>4</v>
      </c>
      <c r="F557" t="s">
        <v>226</v>
      </c>
      <c r="G557" t="s">
        <v>1214</v>
      </c>
      <c r="H557">
        <v>3</v>
      </c>
      <c r="J557" t="s">
        <v>51</v>
      </c>
      <c r="K557" t="s">
        <v>929</v>
      </c>
      <c r="L557">
        <v>100</v>
      </c>
      <c r="M557">
        <v>467</v>
      </c>
      <c r="N557" t="s">
        <v>1211</v>
      </c>
      <c r="O557">
        <v>472</v>
      </c>
    </row>
    <row r="558" spans="1:16" x14ac:dyDescent="0.35">
      <c r="A558">
        <v>2021</v>
      </c>
      <c r="B558">
        <v>10</v>
      </c>
      <c r="C558">
        <v>11</v>
      </c>
      <c r="D558">
        <v>481</v>
      </c>
      <c r="E558">
        <v>4</v>
      </c>
      <c r="F558" t="s">
        <v>226</v>
      </c>
      <c r="G558" t="s">
        <v>1214</v>
      </c>
      <c r="H558">
        <v>3</v>
      </c>
      <c r="J558" t="s">
        <v>51</v>
      </c>
      <c r="K558" t="s">
        <v>936</v>
      </c>
      <c r="L558">
        <v>120</v>
      </c>
      <c r="M558">
        <v>467</v>
      </c>
      <c r="N558" t="s">
        <v>1211</v>
      </c>
      <c r="O558">
        <v>481</v>
      </c>
    </row>
    <row r="559" spans="1:16" x14ac:dyDescent="0.35">
      <c r="A559">
        <v>2024</v>
      </c>
      <c r="B559">
        <v>3</v>
      </c>
      <c r="C559">
        <v>1</v>
      </c>
      <c r="D559">
        <v>665</v>
      </c>
      <c r="E559">
        <v>2</v>
      </c>
      <c r="F559" t="s">
        <v>20</v>
      </c>
      <c r="G559" t="s">
        <v>1213</v>
      </c>
      <c r="H559">
        <v>4</v>
      </c>
      <c r="J559" t="s">
        <v>70</v>
      </c>
      <c r="K559">
        <v>37</v>
      </c>
      <c r="L559">
        <v>103.2</v>
      </c>
      <c r="M559">
        <v>468</v>
      </c>
      <c r="N559" t="s">
        <v>1214</v>
      </c>
      <c r="O559">
        <v>665</v>
      </c>
    </row>
    <row r="560" spans="1:16" x14ac:dyDescent="0.35">
      <c r="A560">
        <v>2023</v>
      </c>
      <c r="B560">
        <v>7</v>
      </c>
      <c r="C560">
        <v>19</v>
      </c>
      <c r="D560">
        <v>354</v>
      </c>
      <c r="E560">
        <v>3</v>
      </c>
      <c r="F560" t="s">
        <v>41</v>
      </c>
      <c r="G560" t="s">
        <v>1207</v>
      </c>
      <c r="H560">
        <v>10</v>
      </c>
      <c r="J560" t="s">
        <v>42</v>
      </c>
      <c r="K560" t="s">
        <v>318</v>
      </c>
      <c r="L560">
        <v>102.1</v>
      </c>
      <c r="M560">
        <v>470</v>
      </c>
      <c r="N560" t="s">
        <v>1208</v>
      </c>
      <c r="O560">
        <v>354</v>
      </c>
    </row>
    <row r="561" spans="1:16" x14ac:dyDescent="0.35">
      <c r="A561">
        <v>2023</v>
      </c>
      <c r="B561">
        <v>8</v>
      </c>
      <c r="C561">
        <v>2</v>
      </c>
      <c r="D561">
        <v>443</v>
      </c>
      <c r="E561">
        <v>3</v>
      </c>
      <c r="F561" t="s">
        <v>226</v>
      </c>
      <c r="G561" t="s">
        <v>1211</v>
      </c>
      <c r="H561">
        <v>6</v>
      </c>
      <c r="J561" t="s">
        <v>228</v>
      </c>
      <c r="K561">
        <v>7</v>
      </c>
      <c r="L561">
        <v>52.9</v>
      </c>
      <c r="M561">
        <v>470</v>
      </c>
      <c r="N561" t="s">
        <v>1211</v>
      </c>
      <c r="O561">
        <v>443</v>
      </c>
    </row>
    <row r="562" spans="1:16" x14ac:dyDescent="0.35">
      <c r="A562">
        <v>2023</v>
      </c>
      <c r="B562">
        <v>11</v>
      </c>
      <c r="C562">
        <v>8</v>
      </c>
      <c r="D562">
        <v>509</v>
      </c>
      <c r="E562">
        <v>4</v>
      </c>
      <c r="F562" t="s">
        <v>20</v>
      </c>
      <c r="G562" t="s">
        <v>1213</v>
      </c>
      <c r="H562">
        <v>3</v>
      </c>
      <c r="J562" t="s">
        <v>73</v>
      </c>
      <c r="K562">
        <v>37</v>
      </c>
      <c r="L562">
        <v>105</v>
      </c>
      <c r="M562">
        <v>470</v>
      </c>
      <c r="N562" t="s">
        <v>1214</v>
      </c>
      <c r="O562">
        <v>509</v>
      </c>
    </row>
    <row r="563" spans="1:16" x14ac:dyDescent="0.35">
      <c r="A563">
        <v>2024</v>
      </c>
      <c r="B563">
        <v>8</v>
      </c>
      <c r="C563">
        <v>20</v>
      </c>
      <c r="D563">
        <v>764</v>
      </c>
      <c r="E563">
        <v>3</v>
      </c>
      <c r="F563" t="s">
        <v>226</v>
      </c>
      <c r="G563" t="s">
        <v>1211</v>
      </c>
      <c r="H563">
        <v>7</v>
      </c>
      <c r="J563" t="s">
        <v>228</v>
      </c>
      <c r="K563">
        <v>7</v>
      </c>
      <c r="L563">
        <v>101.9</v>
      </c>
      <c r="M563">
        <v>470</v>
      </c>
      <c r="N563" t="s">
        <v>1211</v>
      </c>
      <c r="O563">
        <v>764</v>
      </c>
    </row>
    <row r="564" spans="1:16" x14ac:dyDescent="0.35">
      <c r="A564">
        <v>2024</v>
      </c>
      <c r="B564">
        <v>8</v>
      </c>
      <c r="C564">
        <v>19</v>
      </c>
      <c r="D564">
        <v>818</v>
      </c>
      <c r="E564">
        <v>3</v>
      </c>
      <c r="F564" t="s">
        <v>225</v>
      </c>
      <c r="G564" t="s">
        <v>1209</v>
      </c>
      <c r="H564">
        <v>3</v>
      </c>
      <c r="J564">
        <v>3</v>
      </c>
      <c r="K564">
        <v>3</v>
      </c>
      <c r="L564">
        <v>96</v>
      </c>
      <c r="M564">
        <v>470</v>
      </c>
      <c r="N564" t="s">
        <v>1209</v>
      </c>
      <c r="O564">
        <v>818</v>
      </c>
    </row>
    <row r="565" spans="1:16" x14ac:dyDescent="0.35">
      <c r="A565">
        <v>2023</v>
      </c>
      <c r="B565">
        <v>7</v>
      </c>
      <c r="C565">
        <v>19</v>
      </c>
      <c r="D565">
        <v>355</v>
      </c>
      <c r="E565">
        <v>3</v>
      </c>
      <c r="F565" t="s">
        <v>41</v>
      </c>
      <c r="G565" t="s">
        <v>1207</v>
      </c>
      <c r="H565">
        <v>10</v>
      </c>
      <c r="J565" t="s">
        <v>42</v>
      </c>
      <c r="K565" t="s">
        <v>318</v>
      </c>
      <c r="L565">
        <v>103.1</v>
      </c>
      <c r="M565">
        <v>471</v>
      </c>
      <c r="N565" t="s">
        <v>1208</v>
      </c>
      <c r="O565">
        <v>355</v>
      </c>
    </row>
    <row r="566" spans="1:16" x14ac:dyDescent="0.35">
      <c r="A566">
        <v>2023</v>
      </c>
      <c r="B566">
        <v>7</v>
      </c>
      <c r="C566">
        <v>17</v>
      </c>
      <c r="D566">
        <v>378</v>
      </c>
      <c r="E566">
        <v>3</v>
      </c>
      <c r="F566" t="s">
        <v>45</v>
      </c>
      <c r="G566" t="s">
        <v>1208</v>
      </c>
      <c r="H566">
        <v>12</v>
      </c>
      <c r="J566" t="s">
        <v>46</v>
      </c>
      <c r="K566" t="s">
        <v>317</v>
      </c>
      <c r="L566">
        <v>95.5</v>
      </c>
      <c r="M566">
        <v>472</v>
      </c>
      <c r="N566" t="s">
        <v>1210</v>
      </c>
      <c r="O566">
        <v>378</v>
      </c>
    </row>
    <row r="567" spans="1:16" x14ac:dyDescent="0.35">
      <c r="A567">
        <v>2024</v>
      </c>
      <c r="B567">
        <v>1</v>
      </c>
      <c r="C567">
        <v>18</v>
      </c>
      <c r="D567">
        <v>586</v>
      </c>
      <c r="E567">
        <v>1</v>
      </c>
      <c r="F567" t="s">
        <v>41</v>
      </c>
      <c r="G567" t="s">
        <v>1212</v>
      </c>
      <c r="H567">
        <v>12</v>
      </c>
      <c r="J567" t="s">
        <v>1031</v>
      </c>
      <c r="K567" t="s">
        <v>461</v>
      </c>
      <c r="L567">
        <v>102.5</v>
      </c>
      <c r="M567">
        <v>472</v>
      </c>
      <c r="N567" t="s">
        <v>1208</v>
      </c>
      <c r="O567">
        <v>586</v>
      </c>
    </row>
    <row r="568" spans="1:16" x14ac:dyDescent="0.35">
      <c r="A568">
        <v>2021</v>
      </c>
      <c r="B568" t="s">
        <v>28</v>
      </c>
      <c r="C568" t="s">
        <v>28</v>
      </c>
      <c r="D568">
        <v>474</v>
      </c>
      <c r="E568" t="s">
        <v>28</v>
      </c>
      <c r="F568" t="s">
        <v>226</v>
      </c>
      <c r="G568" t="s">
        <v>1214</v>
      </c>
      <c r="H568">
        <v>3</v>
      </c>
      <c r="J568" t="s">
        <v>51</v>
      </c>
      <c r="K568" t="s">
        <v>927</v>
      </c>
      <c r="L568">
        <v>135</v>
      </c>
      <c r="M568">
        <v>473</v>
      </c>
      <c r="N568" t="s">
        <v>1211</v>
      </c>
      <c r="O568">
        <v>474</v>
      </c>
    </row>
    <row r="569" spans="1:16" x14ac:dyDescent="0.35">
      <c r="A569">
        <v>2021</v>
      </c>
      <c r="B569">
        <v>10</v>
      </c>
      <c r="C569">
        <v>11</v>
      </c>
      <c r="D569">
        <v>478</v>
      </c>
      <c r="E569">
        <v>4</v>
      </c>
      <c r="F569" t="s">
        <v>226</v>
      </c>
      <c r="G569" t="s">
        <v>1214</v>
      </c>
      <c r="H569">
        <v>3</v>
      </c>
      <c r="J569" t="s">
        <v>51</v>
      </c>
      <c r="K569" t="s">
        <v>929</v>
      </c>
      <c r="L569">
        <v>95</v>
      </c>
      <c r="M569">
        <v>473</v>
      </c>
      <c r="N569" t="s">
        <v>1211</v>
      </c>
      <c r="O569">
        <v>478</v>
      </c>
    </row>
    <row r="570" spans="1:16" x14ac:dyDescent="0.35">
      <c r="A570">
        <v>2018</v>
      </c>
      <c r="B570">
        <v>8</v>
      </c>
      <c r="C570">
        <v>15</v>
      </c>
      <c r="D570">
        <v>305</v>
      </c>
      <c r="E570">
        <v>3</v>
      </c>
      <c r="F570" t="s">
        <v>41</v>
      </c>
      <c r="G570" t="s">
        <v>1207</v>
      </c>
      <c r="H570">
        <v>5</v>
      </c>
      <c r="J570" t="s">
        <v>49</v>
      </c>
      <c r="K570" t="s">
        <v>318</v>
      </c>
      <c r="L570">
        <v>106.9</v>
      </c>
      <c r="M570">
        <v>474</v>
      </c>
      <c r="N570" t="s">
        <v>1208</v>
      </c>
      <c r="O570">
        <v>305</v>
      </c>
    </row>
    <row r="571" spans="1:16" x14ac:dyDescent="0.35">
      <c r="A571">
        <v>2024</v>
      </c>
      <c r="B571">
        <v>3</v>
      </c>
      <c r="C571">
        <v>13</v>
      </c>
      <c r="D571">
        <v>693</v>
      </c>
      <c r="E571">
        <v>2</v>
      </c>
      <c r="F571" t="s">
        <v>226</v>
      </c>
      <c r="G571" t="s">
        <v>1211</v>
      </c>
      <c r="H571">
        <v>7</v>
      </c>
      <c r="J571" t="s">
        <v>228</v>
      </c>
      <c r="K571">
        <v>7</v>
      </c>
      <c r="L571">
        <v>113.3</v>
      </c>
      <c r="M571">
        <v>476</v>
      </c>
      <c r="N571" t="s">
        <v>1211</v>
      </c>
      <c r="O571">
        <v>693</v>
      </c>
      <c r="P571">
        <v>10.43</v>
      </c>
    </row>
    <row r="572" spans="1:16" x14ac:dyDescent="0.35">
      <c r="A572">
        <v>2024</v>
      </c>
      <c r="B572">
        <v>3</v>
      </c>
      <c r="C572">
        <v>13</v>
      </c>
      <c r="D572">
        <v>693</v>
      </c>
      <c r="E572">
        <v>2</v>
      </c>
      <c r="F572" t="s">
        <v>226</v>
      </c>
      <c r="G572" t="s">
        <v>1211</v>
      </c>
      <c r="H572">
        <v>7</v>
      </c>
      <c r="J572" t="s">
        <v>228</v>
      </c>
      <c r="K572">
        <v>7</v>
      </c>
      <c r="L572">
        <v>113.3</v>
      </c>
      <c r="M572">
        <v>476</v>
      </c>
      <c r="N572" t="s">
        <v>1211</v>
      </c>
      <c r="O572">
        <v>693</v>
      </c>
      <c r="P572">
        <v>6.58</v>
      </c>
    </row>
    <row r="573" spans="1:16" x14ac:dyDescent="0.35">
      <c r="A573">
        <v>2022</v>
      </c>
      <c r="B573">
        <v>11</v>
      </c>
      <c r="C573">
        <v>7</v>
      </c>
      <c r="D573">
        <v>128</v>
      </c>
      <c r="E573">
        <v>4</v>
      </c>
      <c r="F573" t="s">
        <v>41</v>
      </c>
      <c r="G573" t="s">
        <v>1212</v>
      </c>
      <c r="H573">
        <v>10</v>
      </c>
      <c r="J573" t="s">
        <v>461</v>
      </c>
      <c r="K573" t="s">
        <v>461</v>
      </c>
      <c r="L573">
        <v>118.7</v>
      </c>
      <c r="M573">
        <v>476</v>
      </c>
      <c r="N573" t="s">
        <v>1208</v>
      </c>
      <c r="O573">
        <v>128</v>
      </c>
    </row>
    <row r="574" spans="1:16" x14ac:dyDescent="0.35">
      <c r="A574">
        <v>2022</v>
      </c>
      <c r="B574">
        <v>11</v>
      </c>
      <c r="C574">
        <v>7</v>
      </c>
      <c r="D574">
        <v>128</v>
      </c>
      <c r="E574">
        <v>4</v>
      </c>
      <c r="F574" t="s">
        <v>41</v>
      </c>
      <c r="G574" t="s">
        <v>1212</v>
      </c>
      <c r="H574">
        <v>10</v>
      </c>
      <c r="J574" t="s">
        <v>461</v>
      </c>
      <c r="K574" t="s">
        <v>461</v>
      </c>
      <c r="L574">
        <v>118.7</v>
      </c>
      <c r="M574">
        <v>476</v>
      </c>
      <c r="N574" t="s">
        <v>1208</v>
      </c>
      <c r="O574">
        <v>128</v>
      </c>
    </row>
    <row r="575" spans="1:16" x14ac:dyDescent="0.35">
      <c r="A575">
        <v>2022</v>
      </c>
      <c r="B575">
        <v>11</v>
      </c>
      <c r="C575">
        <v>7</v>
      </c>
      <c r="D575">
        <v>128</v>
      </c>
      <c r="E575">
        <v>4</v>
      </c>
      <c r="F575" t="s">
        <v>41</v>
      </c>
      <c r="G575" t="s">
        <v>1212</v>
      </c>
      <c r="H575">
        <v>10</v>
      </c>
      <c r="J575" t="s">
        <v>461</v>
      </c>
      <c r="K575" t="s">
        <v>461</v>
      </c>
      <c r="L575">
        <v>118.7</v>
      </c>
      <c r="M575">
        <v>476</v>
      </c>
      <c r="N575" t="s">
        <v>1208</v>
      </c>
      <c r="O575">
        <v>128</v>
      </c>
    </row>
    <row r="576" spans="1:16" x14ac:dyDescent="0.35">
      <c r="A576">
        <v>2021</v>
      </c>
      <c r="B576">
        <v>10</v>
      </c>
      <c r="C576">
        <v>11</v>
      </c>
      <c r="D576">
        <v>479</v>
      </c>
      <c r="E576">
        <v>4</v>
      </c>
      <c r="F576" t="s">
        <v>226</v>
      </c>
      <c r="G576" t="s">
        <v>1214</v>
      </c>
      <c r="H576">
        <v>3</v>
      </c>
      <c r="J576" t="s">
        <v>51</v>
      </c>
      <c r="K576" t="s">
        <v>929</v>
      </c>
      <c r="L576">
        <v>95</v>
      </c>
      <c r="M576">
        <v>477</v>
      </c>
      <c r="N576" t="s">
        <v>1211</v>
      </c>
      <c r="O576">
        <v>479</v>
      </c>
    </row>
    <row r="577" spans="1:15" x14ac:dyDescent="0.35">
      <c r="A577">
        <v>2016</v>
      </c>
      <c r="B577">
        <v>11</v>
      </c>
      <c r="C577">
        <v>8</v>
      </c>
      <c r="D577">
        <v>186</v>
      </c>
      <c r="E577">
        <v>4</v>
      </c>
      <c r="F577" t="s">
        <v>45</v>
      </c>
      <c r="G577" t="s">
        <v>1208</v>
      </c>
      <c r="H577">
        <v>5</v>
      </c>
      <c r="J577" t="s">
        <v>46</v>
      </c>
      <c r="K577" t="s">
        <v>317</v>
      </c>
      <c r="L577">
        <v>120.8</v>
      </c>
      <c r="M577">
        <v>478</v>
      </c>
      <c r="N577" t="s">
        <v>1210</v>
      </c>
      <c r="O577">
        <v>186</v>
      </c>
    </row>
    <row r="578" spans="1:15" x14ac:dyDescent="0.35">
      <c r="A578">
        <v>2016</v>
      </c>
      <c r="B578">
        <v>11</v>
      </c>
      <c r="C578">
        <v>8</v>
      </c>
      <c r="D578">
        <v>186</v>
      </c>
      <c r="E578">
        <v>4</v>
      </c>
      <c r="F578" t="s">
        <v>45</v>
      </c>
      <c r="G578" t="s">
        <v>1208</v>
      </c>
      <c r="H578">
        <v>5</v>
      </c>
      <c r="J578" t="s">
        <v>46</v>
      </c>
      <c r="K578" t="s">
        <v>317</v>
      </c>
      <c r="L578">
        <v>120.8</v>
      </c>
      <c r="M578">
        <v>478</v>
      </c>
      <c r="N578" t="s">
        <v>1210</v>
      </c>
      <c r="O578">
        <v>186</v>
      </c>
    </row>
    <row r="579" spans="1:15" x14ac:dyDescent="0.35">
      <c r="A579">
        <v>2023</v>
      </c>
      <c r="B579">
        <v>7</v>
      </c>
      <c r="C579">
        <v>21</v>
      </c>
      <c r="D579">
        <v>445</v>
      </c>
      <c r="E579">
        <v>3</v>
      </c>
      <c r="F579" t="s">
        <v>20</v>
      </c>
      <c r="G579" t="s">
        <v>1213</v>
      </c>
      <c r="H579">
        <v>3</v>
      </c>
      <c r="J579" t="s">
        <v>70</v>
      </c>
      <c r="K579">
        <v>37</v>
      </c>
      <c r="L579">
        <v>116.4</v>
      </c>
      <c r="M579">
        <v>478</v>
      </c>
      <c r="N579" t="s">
        <v>1214</v>
      </c>
      <c r="O579">
        <v>445</v>
      </c>
    </row>
    <row r="580" spans="1:15" x14ac:dyDescent="0.35">
      <c r="A580">
        <v>2024</v>
      </c>
      <c r="B580">
        <v>1</v>
      </c>
      <c r="C580">
        <v>22</v>
      </c>
      <c r="D580">
        <v>551</v>
      </c>
      <c r="E580">
        <v>1</v>
      </c>
      <c r="F580" t="s">
        <v>20</v>
      </c>
      <c r="G580" t="s">
        <v>1213</v>
      </c>
      <c r="H580">
        <v>4</v>
      </c>
      <c r="J580" t="s">
        <v>70</v>
      </c>
      <c r="K580">
        <v>37</v>
      </c>
      <c r="L580">
        <v>118.1</v>
      </c>
      <c r="M580">
        <v>478</v>
      </c>
      <c r="N580" t="s">
        <v>1214</v>
      </c>
      <c r="O580">
        <v>551</v>
      </c>
    </row>
    <row r="581" spans="1:15" x14ac:dyDescent="0.35">
      <c r="A581">
        <v>2017</v>
      </c>
      <c r="B581">
        <v>1</v>
      </c>
      <c r="C581">
        <v>20</v>
      </c>
      <c r="D581">
        <v>98</v>
      </c>
      <c r="E581">
        <v>1</v>
      </c>
      <c r="F581" t="s">
        <v>41</v>
      </c>
      <c r="G581" t="s">
        <v>1212</v>
      </c>
      <c r="H581">
        <v>5</v>
      </c>
      <c r="J581" t="s">
        <v>546</v>
      </c>
      <c r="K581" t="s">
        <v>461</v>
      </c>
      <c r="L581">
        <v>115.2</v>
      </c>
      <c r="M581">
        <v>480</v>
      </c>
      <c r="N581" t="s">
        <v>1208</v>
      </c>
      <c r="O581">
        <v>98</v>
      </c>
    </row>
    <row r="582" spans="1:15" x14ac:dyDescent="0.35">
      <c r="A582">
        <v>2016</v>
      </c>
      <c r="B582">
        <v>11</v>
      </c>
      <c r="C582">
        <v>7</v>
      </c>
      <c r="D582">
        <v>204</v>
      </c>
      <c r="E582">
        <v>4</v>
      </c>
      <c r="F582" t="s">
        <v>45</v>
      </c>
      <c r="G582" t="s">
        <v>1215</v>
      </c>
      <c r="H582">
        <v>7</v>
      </c>
      <c r="J582" t="s">
        <v>657</v>
      </c>
      <c r="K582" t="s">
        <v>488</v>
      </c>
      <c r="L582">
        <v>113.2</v>
      </c>
      <c r="M582">
        <v>480</v>
      </c>
      <c r="N582" t="s">
        <v>1210</v>
      </c>
      <c r="O582">
        <v>204</v>
      </c>
    </row>
    <row r="583" spans="1:15" x14ac:dyDescent="0.35">
      <c r="A583">
        <v>2024</v>
      </c>
      <c r="B583">
        <v>8</v>
      </c>
      <c r="C583">
        <v>19</v>
      </c>
      <c r="D583">
        <v>793</v>
      </c>
      <c r="E583">
        <v>3</v>
      </c>
      <c r="F583" t="s">
        <v>225</v>
      </c>
      <c r="G583" t="s">
        <v>1209</v>
      </c>
      <c r="H583">
        <v>3</v>
      </c>
      <c r="J583">
        <v>3</v>
      </c>
      <c r="K583">
        <v>3</v>
      </c>
      <c r="L583">
        <v>128.30000000000001</v>
      </c>
      <c r="M583">
        <v>481</v>
      </c>
      <c r="N583" t="s">
        <v>1209</v>
      </c>
      <c r="O583">
        <v>793</v>
      </c>
    </row>
    <row r="584" spans="1:15" x14ac:dyDescent="0.35">
      <c r="A584">
        <v>2024</v>
      </c>
      <c r="B584">
        <v>1</v>
      </c>
      <c r="C584">
        <v>19</v>
      </c>
      <c r="D584">
        <v>599</v>
      </c>
      <c r="E584">
        <v>1</v>
      </c>
      <c r="F584" t="s">
        <v>41</v>
      </c>
      <c r="G584" t="s">
        <v>1212</v>
      </c>
      <c r="H584">
        <v>12</v>
      </c>
      <c r="J584" t="s">
        <v>541</v>
      </c>
      <c r="K584" t="s">
        <v>461</v>
      </c>
      <c r="L584">
        <v>122.2</v>
      </c>
      <c r="M584">
        <v>482</v>
      </c>
      <c r="N584" t="s">
        <v>1208</v>
      </c>
      <c r="O584">
        <v>599</v>
      </c>
    </row>
    <row r="585" spans="1:15" x14ac:dyDescent="0.35">
      <c r="A585">
        <v>2011</v>
      </c>
      <c r="B585">
        <v>11</v>
      </c>
      <c r="C585">
        <v>14</v>
      </c>
      <c r="D585">
        <v>612</v>
      </c>
      <c r="E585">
        <v>4</v>
      </c>
      <c r="F585" t="s">
        <v>45</v>
      </c>
      <c r="G585" t="s">
        <v>1215</v>
      </c>
      <c r="H585">
        <v>2</v>
      </c>
      <c r="J585" t="s">
        <v>711</v>
      </c>
      <c r="K585" t="s">
        <v>512</v>
      </c>
      <c r="L585">
        <v>145.30000000000001</v>
      </c>
      <c r="M585">
        <v>482</v>
      </c>
      <c r="N585" t="s">
        <v>1210</v>
      </c>
      <c r="O585">
        <v>612</v>
      </c>
    </row>
    <row r="586" spans="1:15" x14ac:dyDescent="0.35">
      <c r="A586">
        <v>2024</v>
      </c>
      <c r="B586">
        <v>3</v>
      </c>
      <c r="C586">
        <v>28</v>
      </c>
      <c r="D586">
        <v>681</v>
      </c>
      <c r="E586">
        <v>2</v>
      </c>
      <c r="F586" t="s">
        <v>41</v>
      </c>
      <c r="G586" t="s">
        <v>1207</v>
      </c>
      <c r="H586">
        <v>11</v>
      </c>
      <c r="J586" t="s">
        <v>49</v>
      </c>
      <c r="K586" t="s">
        <v>318</v>
      </c>
      <c r="L586">
        <v>117.6</v>
      </c>
      <c r="M586">
        <v>485</v>
      </c>
      <c r="N586" t="s">
        <v>1208</v>
      </c>
      <c r="O586">
        <v>681</v>
      </c>
    </row>
    <row r="587" spans="1:15" x14ac:dyDescent="0.35">
      <c r="A587">
        <v>2024</v>
      </c>
      <c r="B587">
        <v>8</v>
      </c>
      <c r="C587">
        <v>6</v>
      </c>
      <c r="D587">
        <v>705</v>
      </c>
      <c r="E587">
        <v>3</v>
      </c>
      <c r="F587" t="s">
        <v>20</v>
      </c>
      <c r="G587" t="s">
        <v>1213</v>
      </c>
      <c r="H587">
        <v>4</v>
      </c>
      <c r="J587" t="s">
        <v>233</v>
      </c>
      <c r="K587">
        <v>37</v>
      </c>
      <c r="L587">
        <v>107.3</v>
      </c>
      <c r="M587">
        <v>486</v>
      </c>
      <c r="N587" t="s">
        <v>1214</v>
      </c>
      <c r="O587">
        <v>705</v>
      </c>
    </row>
    <row r="588" spans="1:15" x14ac:dyDescent="0.35">
      <c r="A588">
        <v>2017</v>
      </c>
      <c r="B588">
        <v>11</v>
      </c>
      <c r="C588">
        <v>13</v>
      </c>
      <c r="D588">
        <v>70</v>
      </c>
      <c r="E588">
        <v>4</v>
      </c>
      <c r="F588" t="s">
        <v>41</v>
      </c>
      <c r="G588" t="s">
        <v>1207</v>
      </c>
      <c r="H588">
        <v>4</v>
      </c>
      <c r="J588" t="s">
        <v>42</v>
      </c>
      <c r="K588" t="s">
        <v>318</v>
      </c>
      <c r="L588">
        <v>111.5</v>
      </c>
      <c r="M588">
        <v>487</v>
      </c>
      <c r="N588" t="s">
        <v>1208</v>
      </c>
      <c r="O588">
        <v>70</v>
      </c>
    </row>
    <row r="589" spans="1:15" x14ac:dyDescent="0.35">
      <c r="A589">
        <v>2024</v>
      </c>
      <c r="B589">
        <v>1</v>
      </c>
      <c r="C589">
        <v>25</v>
      </c>
      <c r="D589">
        <v>600</v>
      </c>
      <c r="E589">
        <v>1</v>
      </c>
      <c r="F589" t="s">
        <v>226</v>
      </c>
      <c r="G589" t="s">
        <v>1211</v>
      </c>
      <c r="H589">
        <v>7</v>
      </c>
      <c r="J589" t="s">
        <v>228</v>
      </c>
      <c r="K589">
        <v>7</v>
      </c>
      <c r="L589">
        <v>110.9</v>
      </c>
      <c r="M589">
        <v>487</v>
      </c>
      <c r="N589" t="s">
        <v>1211</v>
      </c>
      <c r="O589">
        <v>600</v>
      </c>
    </row>
    <row r="590" spans="1:15" x14ac:dyDescent="0.35">
      <c r="A590">
        <v>2019</v>
      </c>
      <c r="B590">
        <v>11</v>
      </c>
      <c r="C590">
        <v>27</v>
      </c>
      <c r="D590">
        <v>39</v>
      </c>
      <c r="E590">
        <v>4</v>
      </c>
      <c r="F590" t="s">
        <v>45</v>
      </c>
      <c r="G590" t="s">
        <v>1208</v>
      </c>
      <c r="H590">
        <v>8</v>
      </c>
      <c r="J590" t="s">
        <v>317</v>
      </c>
      <c r="K590" t="s">
        <v>317</v>
      </c>
      <c r="L590">
        <v>98.5</v>
      </c>
      <c r="M590">
        <v>488</v>
      </c>
      <c r="N590" t="s">
        <v>1210</v>
      </c>
      <c r="O590">
        <v>39</v>
      </c>
    </row>
    <row r="591" spans="1:15" x14ac:dyDescent="0.35">
      <c r="A591">
        <v>2023</v>
      </c>
      <c r="B591">
        <v>2</v>
      </c>
      <c r="C591">
        <v>18</v>
      </c>
      <c r="D591">
        <v>146</v>
      </c>
      <c r="E591">
        <v>1</v>
      </c>
      <c r="F591" t="s">
        <v>41</v>
      </c>
      <c r="G591" t="s">
        <v>1207</v>
      </c>
      <c r="H591">
        <v>10</v>
      </c>
      <c r="J591" t="s">
        <v>91</v>
      </c>
      <c r="K591" t="s">
        <v>318</v>
      </c>
      <c r="L591">
        <v>120.9</v>
      </c>
      <c r="M591">
        <v>489</v>
      </c>
      <c r="N591" t="s">
        <v>1208</v>
      </c>
      <c r="O591">
        <v>146</v>
      </c>
    </row>
    <row r="592" spans="1:15" x14ac:dyDescent="0.35">
      <c r="A592">
        <v>2021</v>
      </c>
      <c r="B592">
        <v>10</v>
      </c>
      <c r="C592">
        <v>11</v>
      </c>
      <c r="D592">
        <v>460</v>
      </c>
      <c r="E592">
        <v>4</v>
      </c>
      <c r="F592" t="s">
        <v>226</v>
      </c>
      <c r="G592" t="s">
        <v>1214</v>
      </c>
      <c r="H592">
        <v>3</v>
      </c>
      <c r="J592" t="s">
        <v>51</v>
      </c>
      <c r="K592" t="s">
        <v>916</v>
      </c>
      <c r="L592">
        <v>120</v>
      </c>
      <c r="M592">
        <v>489</v>
      </c>
      <c r="N592" t="s">
        <v>1211</v>
      </c>
      <c r="O592">
        <v>460</v>
      </c>
    </row>
    <row r="593" spans="1:16" x14ac:dyDescent="0.35">
      <c r="A593">
        <v>2024</v>
      </c>
      <c r="B593">
        <v>1</v>
      </c>
      <c r="C593">
        <v>22</v>
      </c>
      <c r="D593">
        <v>568</v>
      </c>
      <c r="E593">
        <v>1</v>
      </c>
      <c r="F593" t="s">
        <v>20</v>
      </c>
      <c r="G593" t="s">
        <v>1213</v>
      </c>
      <c r="H593">
        <v>4</v>
      </c>
      <c r="J593" t="s">
        <v>231</v>
      </c>
      <c r="K593">
        <v>8</v>
      </c>
      <c r="L593">
        <v>303.39999999999998</v>
      </c>
      <c r="M593">
        <v>490</v>
      </c>
      <c r="N593" t="s">
        <v>1214</v>
      </c>
      <c r="O593">
        <v>568</v>
      </c>
    </row>
    <row r="594" spans="1:16" x14ac:dyDescent="0.35">
      <c r="A594">
        <v>2021</v>
      </c>
      <c r="B594">
        <v>10</v>
      </c>
      <c r="C594" t="s">
        <v>28</v>
      </c>
      <c r="D594">
        <v>33</v>
      </c>
      <c r="E594">
        <v>4</v>
      </c>
      <c r="F594" t="s">
        <v>41</v>
      </c>
      <c r="G594" t="s">
        <v>1212</v>
      </c>
      <c r="H594">
        <v>9</v>
      </c>
      <c r="J594" t="s">
        <v>461</v>
      </c>
      <c r="K594" t="s">
        <v>461</v>
      </c>
      <c r="L594">
        <v>108.8</v>
      </c>
      <c r="M594">
        <v>491</v>
      </c>
      <c r="N594" t="s">
        <v>1208</v>
      </c>
      <c r="O594">
        <v>33</v>
      </c>
      <c r="P594">
        <v>3.74</v>
      </c>
    </row>
    <row r="595" spans="1:16" x14ac:dyDescent="0.35">
      <c r="A595">
        <v>2021</v>
      </c>
      <c r="B595">
        <v>10</v>
      </c>
      <c r="C595">
        <v>11</v>
      </c>
      <c r="D595">
        <v>473</v>
      </c>
      <c r="E595">
        <v>4</v>
      </c>
      <c r="F595" t="s">
        <v>226</v>
      </c>
      <c r="G595" t="s">
        <v>1214</v>
      </c>
      <c r="H595">
        <v>3</v>
      </c>
      <c r="J595" t="s">
        <v>51</v>
      </c>
      <c r="K595" t="s">
        <v>929</v>
      </c>
      <c r="L595">
        <v>120</v>
      </c>
      <c r="M595">
        <v>491</v>
      </c>
      <c r="N595" t="s">
        <v>1211</v>
      </c>
      <c r="O595">
        <v>473</v>
      </c>
    </row>
    <row r="596" spans="1:16" x14ac:dyDescent="0.35">
      <c r="A596">
        <v>2021</v>
      </c>
      <c r="B596">
        <v>10</v>
      </c>
      <c r="C596">
        <v>11</v>
      </c>
      <c r="D596">
        <v>468</v>
      </c>
      <c r="E596">
        <v>4</v>
      </c>
      <c r="F596" t="s">
        <v>226</v>
      </c>
      <c r="G596" t="s">
        <v>1214</v>
      </c>
      <c r="H596">
        <v>3</v>
      </c>
      <c r="J596" t="s">
        <v>51</v>
      </c>
      <c r="K596" t="s">
        <v>920</v>
      </c>
      <c r="L596">
        <v>105</v>
      </c>
      <c r="M596">
        <v>492</v>
      </c>
      <c r="N596" t="s">
        <v>1211</v>
      </c>
      <c r="O596">
        <v>468</v>
      </c>
    </row>
    <row r="597" spans="1:16" x14ac:dyDescent="0.35">
      <c r="A597">
        <v>2021</v>
      </c>
      <c r="B597">
        <v>10</v>
      </c>
      <c r="C597">
        <v>11</v>
      </c>
      <c r="D597">
        <v>464</v>
      </c>
      <c r="E597">
        <v>4</v>
      </c>
      <c r="F597" t="s">
        <v>226</v>
      </c>
      <c r="G597" t="s">
        <v>1214</v>
      </c>
      <c r="H597">
        <v>3</v>
      </c>
      <c r="J597" t="s">
        <v>51</v>
      </c>
      <c r="K597" t="s">
        <v>920</v>
      </c>
      <c r="L597">
        <v>110</v>
      </c>
      <c r="M597">
        <v>493</v>
      </c>
      <c r="N597" t="s">
        <v>1211</v>
      </c>
      <c r="O597">
        <v>464</v>
      </c>
    </row>
    <row r="598" spans="1:16" x14ac:dyDescent="0.35">
      <c r="A598">
        <v>2021</v>
      </c>
      <c r="B598">
        <v>4</v>
      </c>
      <c r="C598">
        <v>13</v>
      </c>
      <c r="D598">
        <v>497</v>
      </c>
      <c r="E598">
        <v>2</v>
      </c>
      <c r="F598" t="s">
        <v>226</v>
      </c>
      <c r="G598" t="s">
        <v>1214</v>
      </c>
      <c r="H598">
        <v>3</v>
      </c>
      <c r="J598" t="s">
        <v>51</v>
      </c>
      <c r="K598" t="s">
        <v>916</v>
      </c>
      <c r="L598">
        <v>135</v>
      </c>
      <c r="M598">
        <v>495</v>
      </c>
      <c r="N598" t="s">
        <v>1211</v>
      </c>
      <c r="O598">
        <v>497</v>
      </c>
    </row>
    <row r="599" spans="1:16" x14ac:dyDescent="0.35">
      <c r="A599">
        <v>2016</v>
      </c>
      <c r="B599">
        <v>9</v>
      </c>
      <c r="C599">
        <v>1</v>
      </c>
      <c r="D599">
        <v>234</v>
      </c>
      <c r="E599">
        <v>3</v>
      </c>
      <c r="F599" t="s">
        <v>45</v>
      </c>
      <c r="G599" t="s">
        <v>1208</v>
      </c>
      <c r="H599">
        <v>5</v>
      </c>
      <c r="J599" t="s">
        <v>647</v>
      </c>
      <c r="K599" t="s">
        <v>317</v>
      </c>
      <c r="L599">
        <v>128.19999999999999</v>
      </c>
      <c r="M599">
        <v>498</v>
      </c>
      <c r="N599" t="s">
        <v>1210</v>
      </c>
      <c r="O599">
        <v>234</v>
      </c>
      <c r="P599">
        <v>6.49</v>
      </c>
    </row>
    <row r="600" spans="1:16" x14ac:dyDescent="0.35">
      <c r="A600">
        <v>2018</v>
      </c>
      <c r="B600">
        <v>8</v>
      </c>
      <c r="C600">
        <v>16</v>
      </c>
      <c r="D600">
        <v>323</v>
      </c>
      <c r="E600">
        <v>3</v>
      </c>
      <c r="F600" t="s">
        <v>45</v>
      </c>
      <c r="G600" t="s">
        <v>1208</v>
      </c>
      <c r="H600">
        <v>7</v>
      </c>
      <c r="J600" t="s">
        <v>647</v>
      </c>
      <c r="K600" t="s">
        <v>317</v>
      </c>
      <c r="L600">
        <v>108.5</v>
      </c>
      <c r="M600">
        <v>500</v>
      </c>
      <c r="N600" t="s">
        <v>1210</v>
      </c>
      <c r="O600">
        <v>323</v>
      </c>
    </row>
    <row r="601" spans="1:16" x14ac:dyDescent="0.35">
      <c r="A601">
        <v>2024</v>
      </c>
      <c r="B601">
        <v>1</v>
      </c>
      <c r="C601">
        <v>30</v>
      </c>
      <c r="D601">
        <v>641</v>
      </c>
      <c r="E601">
        <v>1</v>
      </c>
      <c r="F601" t="s">
        <v>225</v>
      </c>
      <c r="G601" t="s">
        <v>1209</v>
      </c>
      <c r="H601">
        <v>3</v>
      </c>
      <c r="J601" t="s">
        <v>1076</v>
      </c>
      <c r="K601">
        <v>3</v>
      </c>
      <c r="L601">
        <v>135.80000000000001</v>
      </c>
      <c r="M601">
        <v>500</v>
      </c>
      <c r="N601" t="s">
        <v>1209</v>
      </c>
      <c r="O601">
        <v>641</v>
      </c>
    </row>
    <row r="602" spans="1:16" x14ac:dyDescent="0.35">
      <c r="A602">
        <v>2024</v>
      </c>
      <c r="B602">
        <v>8</v>
      </c>
      <c r="C602">
        <v>19</v>
      </c>
      <c r="D602">
        <v>794</v>
      </c>
      <c r="E602">
        <v>3</v>
      </c>
      <c r="F602" t="s">
        <v>225</v>
      </c>
      <c r="G602" t="s">
        <v>1209</v>
      </c>
      <c r="H602">
        <v>3</v>
      </c>
      <c r="J602">
        <v>3</v>
      </c>
      <c r="K602">
        <v>3</v>
      </c>
      <c r="L602">
        <v>148.80000000000001</v>
      </c>
      <c r="M602">
        <v>502</v>
      </c>
      <c r="N602" t="s">
        <v>1209</v>
      </c>
      <c r="O602">
        <v>794</v>
      </c>
    </row>
    <row r="603" spans="1:16" x14ac:dyDescent="0.35">
      <c r="A603">
        <v>2021</v>
      </c>
      <c r="B603">
        <v>10</v>
      </c>
      <c r="C603">
        <v>11</v>
      </c>
      <c r="D603">
        <v>477</v>
      </c>
      <c r="E603">
        <v>4</v>
      </c>
      <c r="F603" t="s">
        <v>226</v>
      </c>
      <c r="G603" t="s">
        <v>1214</v>
      </c>
      <c r="H603">
        <v>3</v>
      </c>
      <c r="J603" t="s">
        <v>51</v>
      </c>
      <c r="K603" t="s">
        <v>929</v>
      </c>
      <c r="L603">
        <v>120</v>
      </c>
      <c r="M603">
        <v>504</v>
      </c>
      <c r="N603" t="s">
        <v>1211</v>
      </c>
      <c r="O603">
        <v>477</v>
      </c>
    </row>
    <row r="604" spans="1:16" x14ac:dyDescent="0.35">
      <c r="A604">
        <v>2024</v>
      </c>
      <c r="B604">
        <v>8</v>
      </c>
      <c r="C604">
        <v>14</v>
      </c>
      <c r="D604">
        <v>860</v>
      </c>
      <c r="E604">
        <v>3</v>
      </c>
      <c r="F604" t="s">
        <v>225</v>
      </c>
      <c r="G604" t="s">
        <v>1209</v>
      </c>
      <c r="H604">
        <v>3</v>
      </c>
      <c r="J604" t="s">
        <v>76</v>
      </c>
      <c r="K604">
        <v>1</v>
      </c>
      <c r="L604">
        <v>135.30000000000001</v>
      </c>
      <c r="M604">
        <v>504</v>
      </c>
      <c r="N604" t="s">
        <v>1209</v>
      </c>
      <c r="O604">
        <v>860</v>
      </c>
    </row>
    <row r="605" spans="1:16" x14ac:dyDescent="0.35">
      <c r="A605">
        <v>2019</v>
      </c>
      <c r="B605">
        <v>11</v>
      </c>
      <c r="C605">
        <v>27</v>
      </c>
      <c r="D605">
        <v>48</v>
      </c>
      <c r="E605">
        <v>4</v>
      </c>
      <c r="F605" t="s">
        <v>45</v>
      </c>
      <c r="G605" t="s">
        <v>1215</v>
      </c>
      <c r="H605">
        <v>10</v>
      </c>
      <c r="J605" t="s">
        <v>488</v>
      </c>
      <c r="K605" t="s">
        <v>488</v>
      </c>
      <c r="L605">
        <v>107.8</v>
      </c>
      <c r="M605">
        <v>505</v>
      </c>
      <c r="N605" t="s">
        <v>1210</v>
      </c>
      <c r="O605">
        <v>48</v>
      </c>
    </row>
    <row r="606" spans="1:16" x14ac:dyDescent="0.35">
      <c r="A606">
        <v>2024</v>
      </c>
      <c r="B606">
        <v>3</v>
      </c>
      <c r="C606">
        <v>13</v>
      </c>
      <c r="D606">
        <v>674</v>
      </c>
      <c r="E606">
        <v>2</v>
      </c>
      <c r="F606" t="s">
        <v>226</v>
      </c>
      <c r="G606" t="s">
        <v>1211</v>
      </c>
      <c r="H606">
        <v>7</v>
      </c>
      <c r="J606" t="s">
        <v>783</v>
      </c>
      <c r="K606">
        <v>7</v>
      </c>
      <c r="L606">
        <v>85.8</v>
      </c>
      <c r="M606">
        <v>505</v>
      </c>
      <c r="N606" t="s">
        <v>1211</v>
      </c>
      <c r="O606">
        <v>674</v>
      </c>
    </row>
    <row r="607" spans="1:16" x14ac:dyDescent="0.35">
      <c r="A607">
        <v>2024</v>
      </c>
      <c r="B607">
        <v>8</v>
      </c>
      <c r="C607">
        <v>9</v>
      </c>
      <c r="D607">
        <v>720</v>
      </c>
      <c r="E607">
        <v>3</v>
      </c>
      <c r="F607" t="s">
        <v>41</v>
      </c>
      <c r="G607" t="s">
        <v>1207</v>
      </c>
      <c r="H607">
        <v>11</v>
      </c>
      <c r="J607" t="s">
        <v>755</v>
      </c>
      <c r="K607" t="s">
        <v>458</v>
      </c>
      <c r="L607">
        <v>142.69999999999999</v>
      </c>
      <c r="M607">
        <v>507</v>
      </c>
      <c r="N607" t="s">
        <v>1208</v>
      </c>
      <c r="O607">
        <v>720</v>
      </c>
    </row>
    <row r="608" spans="1:16" x14ac:dyDescent="0.35">
      <c r="A608">
        <v>2022</v>
      </c>
      <c r="B608">
        <v>11</v>
      </c>
      <c r="C608">
        <v>1</v>
      </c>
      <c r="D608">
        <v>377</v>
      </c>
      <c r="E608">
        <v>4</v>
      </c>
      <c r="F608" t="s">
        <v>41</v>
      </c>
      <c r="G608" t="s">
        <v>1207</v>
      </c>
      <c r="H608">
        <v>9</v>
      </c>
      <c r="J608" t="s">
        <v>42</v>
      </c>
      <c r="K608" t="s">
        <v>318</v>
      </c>
      <c r="L608">
        <v>120.5</v>
      </c>
      <c r="M608">
        <v>508</v>
      </c>
      <c r="N608" t="s">
        <v>1208</v>
      </c>
      <c r="O608">
        <v>377</v>
      </c>
    </row>
    <row r="609" spans="1:16" x14ac:dyDescent="0.35">
      <c r="A609">
        <v>2023</v>
      </c>
      <c r="B609">
        <v>7</v>
      </c>
      <c r="C609">
        <v>31</v>
      </c>
      <c r="D609">
        <v>456</v>
      </c>
      <c r="E609">
        <v>3</v>
      </c>
      <c r="F609" t="s">
        <v>225</v>
      </c>
      <c r="G609" t="s">
        <v>1216</v>
      </c>
      <c r="H609">
        <v>1</v>
      </c>
      <c r="J609" t="s">
        <v>67</v>
      </c>
      <c r="K609">
        <v>2</v>
      </c>
      <c r="L609">
        <v>140.6</v>
      </c>
      <c r="M609">
        <v>510</v>
      </c>
      <c r="N609" t="s">
        <v>1209</v>
      </c>
      <c r="O609">
        <v>456</v>
      </c>
    </row>
    <row r="610" spans="1:16" x14ac:dyDescent="0.35">
      <c r="A610">
        <v>2023</v>
      </c>
      <c r="B610">
        <v>11</v>
      </c>
      <c r="C610">
        <v>7</v>
      </c>
      <c r="D610">
        <v>547</v>
      </c>
      <c r="E610">
        <v>4</v>
      </c>
      <c r="F610" t="s">
        <v>41</v>
      </c>
      <c r="G610" t="s">
        <v>1207</v>
      </c>
      <c r="H610">
        <v>10</v>
      </c>
      <c r="J610" t="s">
        <v>42</v>
      </c>
      <c r="K610" t="s">
        <v>318</v>
      </c>
      <c r="L610">
        <v>130.30000000000001</v>
      </c>
      <c r="M610">
        <v>510</v>
      </c>
      <c r="N610" t="s">
        <v>1208</v>
      </c>
      <c r="O610">
        <v>547</v>
      </c>
    </row>
    <row r="611" spans="1:16" x14ac:dyDescent="0.35">
      <c r="A611">
        <v>2022</v>
      </c>
      <c r="B611">
        <v>1</v>
      </c>
      <c r="C611" t="s">
        <v>28</v>
      </c>
      <c r="D611">
        <v>20</v>
      </c>
      <c r="E611">
        <v>1</v>
      </c>
      <c r="F611" t="s">
        <v>20</v>
      </c>
      <c r="G611" t="s">
        <v>1213</v>
      </c>
      <c r="H611">
        <v>2</v>
      </c>
      <c r="J611">
        <v>8</v>
      </c>
      <c r="K611">
        <v>8</v>
      </c>
      <c r="L611">
        <v>217.6</v>
      </c>
      <c r="M611">
        <v>511</v>
      </c>
      <c r="N611" t="s">
        <v>1214</v>
      </c>
      <c r="O611">
        <v>20</v>
      </c>
    </row>
    <row r="612" spans="1:16" x14ac:dyDescent="0.35">
      <c r="A612">
        <v>2022</v>
      </c>
      <c r="B612">
        <v>11</v>
      </c>
      <c r="C612">
        <v>18</v>
      </c>
      <c r="D612">
        <v>118</v>
      </c>
      <c r="E612">
        <v>4</v>
      </c>
      <c r="F612" t="s">
        <v>225</v>
      </c>
      <c r="G612" t="s">
        <v>1209</v>
      </c>
      <c r="H612">
        <v>1</v>
      </c>
      <c r="J612">
        <v>1</v>
      </c>
      <c r="K612">
        <v>1</v>
      </c>
      <c r="L612">
        <v>15.5</v>
      </c>
      <c r="M612">
        <v>511</v>
      </c>
      <c r="N612" t="s">
        <v>1209</v>
      </c>
      <c r="O612">
        <v>118</v>
      </c>
    </row>
    <row r="613" spans="1:16" x14ac:dyDescent="0.35">
      <c r="A613">
        <v>2024</v>
      </c>
      <c r="B613">
        <v>8</v>
      </c>
      <c r="C613">
        <v>19</v>
      </c>
      <c r="D613">
        <v>823</v>
      </c>
      <c r="E613">
        <v>3</v>
      </c>
      <c r="F613" t="s">
        <v>225</v>
      </c>
      <c r="G613" t="s">
        <v>1209</v>
      </c>
      <c r="H613">
        <v>3</v>
      </c>
      <c r="J613">
        <v>3</v>
      </c>
      <c r="K613">
        <v>3</v>
      </c>
      <c r="L613">
        <v>117.9</v>
      </c>
      <c r="M613">
        <v>511</v>
      </c>
      <c r="N613" t="s">
        <v>1209</v>
      </c>
      <c r="O613">
        <v>823</v>
      </c>
    </row>
    <row r="614" spans="1:16" x14ac:dyDescent="0.35">
      <c r="A614">
        <v>2024</v>
      </c>
      <c r="B614">
        <v>3</v>
      </c>
      <c r="C614">
        <v>28</v>
      </c>
      <c r="D614">
        <v>683</v>
      </c>
      <c r="E614">
        <v>2</v>
      </c>
      <c r="F614" t="s">
        <v>41</v>
      </c>
      <c r="G614" t="s">
        <v>1207</v>
      </c>
      <c r="H614">
        <v>11</v>
      </c>
      <c r="J614" t="s">
        <v>583</v>
      </c>
      <c r="K614" t="s">
        <v>318</v>
      </c>
      <c r="L614">
        <v>118.8</v>
      </c>
      <c r="M614">
        <v>512</v>
      </c>
      <c r="N614" t="s">
        <v>1208</v>
      </c>
      <c r="O614">
        <v>683</v>
      </c>
      <c r="P614">
        <v>8.06</v>
      </c>
    </row>
    <row r="615" spans="1:16" x14ac:dyDescent="0.35">
      <c r="A615">
        <v>2022</v>
      </c>
      <c r="B615">
        <v>11</v>
      </c>
      <c r="C615">
        <v>1</v>
      </c>
      <c r="D615">
        <v>364</v>
      </c>
      <c r="E615">
        <v>4</v>
      </c>
      <c r="F615" t="s">
        <v>41</v>
      </c>
      <c r="G615" t="s">
        <v>1207</v>
      </c>
      <c r="H615">
        <v>9</v>
      </c>
      <c r="J615" t="s">
        <v>583</v>
      </c>
      <c r="K615" t="s">
        <v>318</v>
      </c>
      <c r="L615">
        <v>105.2</v>
      </c>
      <c r="M615">
        <v>513</v>
      </c>
      <c r="N615" t="s">
        <v>1208</v>
      </c>
      <c r="O615">
        <v>364</v>
      </c>
    </row>
    <row r="616" spans="1:16" x14ac:dyDescent="0.35">
      <c r="A616">
        <v>2021</v>
      </c>
      <c r="B616">
        <v>10</v>
      </c>
      <c r="C616">
        <v>11</v>
      </c>
      <c r="D616">
        <v>467</v>
      </c>
      <c r="E616">
        <v>4</v>
      </c>
      <c r="F616" t="s">
        <v>226</v>
      </c>
      <c r="G616" t="s">
        <v>1214</v>
      </c>
      <c r="H616">
        <v>3</v>
      </c>
      <c r="J616" t="s">
        <v>51</v>
      </c>
      <c r="K616" t="s">
        <v>920</v>
      </c>
      <c r="L616">
        <v>120</v>
      </c>
      <c r="M616">
        <v>513</v>
      </c>
      <c r="N616" t="s">
        <v>1211</v>
      </c>
      <c r="O616">
        <v>467</v>
      </c>
    </row>
    <row r="617" spans="1:16" x14ac:dyDescent="0.35">
      <c r="A617">
        <v>2021</v>
      </c>
      <c r="B617" t="s">
        <v>28</v>
      </c>
      <c r="C617" t="s">
        <v>28</v>
      </c>
      <c r="D617">
        <v>488</v>
      </c>
      <c r="E617" t="s">
        <v>28</v>
      </c>
      <c r="F617" t="s">
        <v>226</v>
      </c>
      <c r="G617" t="s">
        <v>1214</v>
      </c>
      <c r="H617">
        <v>3</v>
      </c>
      <c r="J617" t="s">
        <v>51</v>
      </c>
      <c r="K617" t="s">
        <v>942</v>
      </c>
      <c r="L617">
        <v>140</v>
      </c>
      <c r="M617">
        <v>514</v>
      </c>
      <c r="N617" t="s">
        <v>1211</v>
      </c>
      <c r="O617">
        <v>488</v>
      </c>
    </row>
    <row r="618" spans="1:16" x14ac:dyDescent="0.35">
      <c r="A618">
        <v>2024</v>
      </c>
      <c r="B618">
        <v>8</v>
      </c>
      <c r="C618">
        <v>19</v>
      </c>
      <c r="D618">
        <v>750</v>
      </c>
      <c r="E618">
        <v>3</v>
      </c>
      <c r="F618" t="s">
        <v>225</v>
      </c>
      <c r="G618" t="s">
        <v>1209</v>
      </c>
      <c r="H618">
        <v>3</v>
      </c>
      <c r="J618">
        <v>3</v>
      </c>
      <c r="K618">
        <v>3</v>
      </c>
      <c r="L618">
        <v>150.19999999999999</v>
      </c>
      <c r="M618">
        <v>514</v>
      </c>
      <c r="N618" t="s">
        <v>1209</v>
      </c>
      <c r="O618">
        <v>750</v>
      </c>
    </row>
    <row r="619" spans="1:16" x14ac:dyDescent="0.35">
      <c r="A619">
        <v>2016</v>
      </c>
      <c r="B619">
        <v>9</v>
      </c>
      <c r="C619">
        <v>1</v>
      </c>
      <c r="D619">
        <v>263</v>
      </c>
      <c r="E619">
        <v>3</v>
      </c>
      <c r="F619" t="s">
        <v>45</v>
      </c>
      <c r="G619" t="s">
        <v>1208</v>
      </c>
      <c r="H619">
        <v>5</v>
      </c>
      <c r="J619" t="s">
        <v>718</v>
      </c>
      <c r="K619" t="s">
        <v>317</v>
      </c>
      <c r="L619">
        <v>136.19999999999999</v>
      </c>
      <c r="M619">
        <v>515</v>
      </c>
      <c r="N619" t="s">
        <v>1210</v>
      </c>
      <c r="O619">
        <v>263</v>
      </c>
    </row>
    <row r="620" spans="1:16" x14ac:dyDescent="0.35">
      <c r="A620">
        <v>2023</v>
      </c>
      <c r="B620">
        <v>7</v>
      </c>
      <c r="C620">
        <v>19</v>
      </c>
      <c r="D620">
        <v>346</v>
      </c>
      <c r="E620">
        <v>3</v>
      </c>
      <c r="F620" t="s">
        <v>41</v>
      </c>
      <c r="G620" t="s">
        <v>1212</v>
      </c>
      <c r="H620">
        <v>11</v>
      </c>
      <c r="J620" t="s">
        <v>541</v>
      </c>
      <c r="K620" t="s">
        <v>461</v>
      </c>
      <c r="L620">
        <v>119.3</v>
      </c>
      <c r="M620">
        <v>515</v>
      </c>
      <c r="N620" t="s">
        <v>1208</v>
      </c>
      <c r="O620">
        <v>346</v>
      </c>
    </row>
    <row r="621" spans="1:16" x14ac:dyDescent="0.35">
      <c r="A621">
        <v>2023</v>
      </c>
      <c r="B621">
        <v>7</v>
      </c>
      <c r="C621">
        <v>19</v>
      </c>
      <c r="D621">
        <v>374</v>
      </c>
      <c r="E621">
        <v>3</v>
      </c>
      <c r="F621" t="s">
        <v>41</v>
      </c>
      <c r="G621" t="s">
        <v>1212</v>
      </c>
      <c r="H621">
        <v>11</v>
      </c>
      <c r="J621" t="s">
        <v>544</v>
      </c>
      <c r="K621" t="s">
        <v>461</v>
      </c>
      <c r="L621">
        <v>116.9</v>
      </c>
      <c r="M621">
        <v>515</v>
      </c>
      <c r="N621" t="s">
        <v>1208</v>
      </c>
      <c r="O621">
        <v>374</v>
      </c>
    </row>
    <row r="622" spans="1:16" x14ac:dyDescent="0.35">
      <c r="A622">
        <v>2022</v>
      </c>
      <c r="B622">
        <v>11</v>
      </c>
      <c r="C622">
        <v>1</v>
      </c>
      <c r="D622">
        <v>373</v>
      </c>
      <c r="E622">
        <v>4</v>
      </c>
      <c r="F622" t="s">
        <v>41</v>
      </c>
      <c r="G622" t="s">
        <v>1207</v>
      </c>
      <c r="H622">
        <v>9</v>
      </c>
      <c r="J622" t="s">
        <v>42</v>
      </c>
      <c r="K622" t="s">
        <v>318</v>
      </c>
      <c r="L622">
        <v>121.2</v>
      </c>
      <c r="M622">
        <v>516</v>
      </c>
      <c r="N622" t="s">
        <v>1208</v>
      </c>
      <c r="O622">
        <v>373</v>
      </c>
    </row>
    <row r="623" spans="1:16" x14ac:dyDescent="0.35">
      <c r="A623">
        <v>2021</v>
      </c>
      <c r="B623">
        <v>10</v>
      </c>
      <c r="C623">
        <v>11</v>
      </c>
      <c r="D623">
        <v>469</v>
      </c>
      <c r="E623">
        <v>4</v>
      </c>
      <c r="F623" t="s">
        <v>226</v>
      </c>
      <c r="G623" t="s">
        <v>1214</v>
      </c>
      <c r="H623">
        <v>3</v>
      </c>
      <c r="J623" t="s">
        <v>51</v>
      </c>
      <c r="K623" t="s">
        <v>920</v>
      </c>
      <c r="L623">
        <v>125</v>
      </c>
      <c r="M623">
        <v>516</v>
      </c>
      <c r="N623" t="s">
        <v>1211</v>
      </c>
      <c r="O623">
        <v>469</v>
      </c>
    </row>
    <row r="624" spans="1:16" x14ac:dyDescent="0.35">
      <c r="A624">
        <v>2021</v>
      </c>
      <c r="B624">
        <v>10</v>
      </c>
      <c r="C624">
        <v>11</v>
      </c>
      <c r="D624">
        <v>462</v>
      </c>
      <c r="E624">
        <v>4</v>
      </c>
      <c r="F624" t="s">
        <v>226</v>
      </c>
      <c r="G624" t="s">
        <v>1214</v>
      </c>
      <c r="H624">
        <v>3</v>
      </c>
      <c r="J624" t="s">
        <v>51</v>
      </c>
      <c r="K624" t="s">
        <v>916</v>
      </c>
      <c r="L624">
        <v>160</v>
      </c>
      <c r="M624">
        <v>517</v>
      </c>
      <c r="N624" t="s">
        <v>1211</v>
      </c>
      <c r="O624">
        <v>462</v>
      </c>
    </row>
    <row r="625" spans="1:15" x14ac:dyDescent="0.35">
      <c r="A625">
        <v>2021</v>
      </c>
      <c r="B625" t="s">
        <v>28</v>
      </c>
      <c r="C625" t="s">
        <v>28</v>
      </c>
      <c r="D625">
        <v>1</v>
      </c>
      <c r="E625" t="s">
        <v>28</v>
      </c>
      <c r="F625" t="s">
        <v>45</v>
      </c>
      <c r="G625" t="s">
        <v>1208</v>
      </c>
      <c r="H625">
        <v>10</v>
      </c>
      <c r="J625" t="s">
        <v>317</v>
      </c>
      <c r="K625" t="s">
        <v>317</v>
      </c>
      <c r="L625">
        <v>138.80000000000001</v>
      </c>
      <c r="M625">
        <v>519</v>
      </c>
      <c r="N625" t="s">
        <v>1210</v>
      </c>
      <c r="O625">
        <v>1</v>
      </c>
    </row>
    <row r="626" spans="1:15" x14ac:dyDescent="0.35">
      <c r="A626">
        <v>2016</v>
      </c>
      <c r="B626">
        <v>9</v>
      </c>
      <c r="C626">
        <v>1</v>
      </c>
      <c r="D626">
        <v>258</v>
      </c>
      <c r="E626">
        <v>3</v>
      </c>
      <c r="F626" t="s">
        <v>45</v>
      </c>
      <c r="G626" t="s">
        <v>1208</v>
      </c>
      <c r="H626">
        <v>5</v>
      </c>
      <c r="J626" t="s">
        <v>718</v>
      </c>
      <c r="K626" t="s">
        <v>317</v>
      </c>
      <c r="L626">
        <v>139.9</v>
      </c>
      <c r="M626">
        <v>519</v>
      </c>
      <c r="N626" t="s">
        <v>1210</v>
      </c>
      <c r="O626">
        <v>258</v>
      </c>
    </row>
    <row r="627" spans="1:15" x14ac:dyDescent="0.35">
      <c r="A627">
        <v>2016</v>
      </c>
      <c r="B627">
        <v>9</v>
      </c>
      <c r="C627">
        <v>1</v>
      </c>
      <c r="D627">
        <v>258</v>
      </c>
      <c r="E627">
        <v>3</v>
      </c>
      <c r="F627" t="s">
        <v>45</v>
      </c>
      <c r="G627" t="s">
        <v>1208</v>
      </c>
      <c r="H627">
        <v>5</v>
      </c>
      <c r="J627" t="s">
        <v>718</v>
      </c>
      <c r="K627" t="s">
        <v>317</v>
      </c>
      <c r="L627">
        <v>139.9</v>
      </c>
      <c r="M627">
        <v>519</v>
      </c>
      <c r="N627" t="s">
        <v>1210</v>
      </c>
      <c r="O627">
        <v>258</v>
      </c>
    </row>
    <row r="628" spans="1:15" x14ac:dyDescent="0.35">
      <c r="A628">
        <v>2016</v>
      </c>
      <c r="B628">
        <v>9</v>
      </c>
      <c r="C628">
        <v>1</v>
      </c>
      <c r="D628">
        <v>258</v>
      </c>
      <c r="E628">
        <v>3</v>
      </c>
      <c r="F628" t="s">
        <v>45</v>
      </c>
      <c r="G628" t="s">
        <v>1208</v>
      </c>
      <c r="H628">
        <v>5</v>
      </c>
      <c r="J628" t="s">
        <v>718</v>
      </c>
      <c r="K628" t="s">
        <v>317</v>
      </c>
      <c r="L628">
        <v>139.9</v>
      </c>
      <c r="M628">
        <v>519</v>
      </c>
      <c r="N628" t="s">
        <v>1210</v>
      </c>
      <c r="O628">
        <v>258</v>
      </c>
    </row>
    <row r="629" spans="1:15" x14ac:dyDescent="0.35">
      <c r="A629">
        <v>2021</v>
      </c>
      <c r="B629">
        <v>4</v>
      </c>
      <c r="C629">
        <v>13</v>
      </c>
      <c r="D629">
        <v>496</v>
      </c>
      <c r="E629">
        <v>2</v>
      </c>
      <c r="F629" t="s">
        <v>226</v>
      </c>
      <c r="G629" t="s">
        <v>1214</v>
      </c>
      <c r="H629">
        <v>3</v>
      </c>
      <c r="J629" t="s">
        <v>51</v>
      </c>
      <c r="K629" t="s">
        <v>929</v>
      </c>
      <c r="L629">
        <v>165</v>
      </c>
      <c r="M629">
        <v>520</v>
      </c>
      <c r="N629" t="s">
        <v>1211</v>
      </c>
      <c r="O629">
        <v>496</v>
      </c>
    </row>
    <row r="630" spans="1:15" x14ac:dyDescent="0.35">
      <c r="A630">
        <v>2024</v>
      </c>
      <c r="B630">
        <v>1</v>
      </c>
      <c r="C630">
        <v>17</v>
      </c>
      <c r="D630">
        <v>566</v>
      </c>
      <c r="E630">
        <v>1</v>
      </c>
      <c r="F630" t="s">
        <v>41</v>
      </c>
      <c r="G630" t="s">
        <v>1207</v>
      </c>
      <c r="H630">
        <v>11</v>
      </c>
      <c r="J630" t="s">
        <v>42</v>
      </c>
      <c r="K630" t="s">
        <v>318</v>
      </c>
      <c r="L630">
        <v>186</v>
      </c>
      <c r="M630">
        <v>521</v>
      </c>
      <c r="N630" t="s">
        <v>1208</v>
      </c>
      <c r="O630">
        <v>566</v>
      </c>
    </row>
    <row r="631" spans="1:15" x14ac:dyDescent="0.35">
      <c r="A631">
        <v>2024</v>
      </c>
      <c r="B631">
        <v>1</v>
      </c>
      <c r="C631">
        <v>16</v>
      </c>
      <c r="D631">
        <v>595</v>
      </c>
      <c r="E631">
        <v>1</v>
      </c>
      <c r="F631" t="s">
        <v>45</v>
      </c>
      <c r="G631" t="s">
        <v>1208</v>
      </c>
      <c r="H631">
        <v>13</v>
      </c>
      <c r="J631" t="s">
        <v>990</v>
      </c>
      <c r="K631" t="s">
        <v>317</v>
      </c>
      <c r="L631">
        <v>141.80000000000001</v>
      </c>
      <c r="M631">
        <v>521</v>
      </c>
      <c r="N631" t="s">
        <v>1210</v>
      </c>
      <c r="O631">
        <v>595</v>
      </c>
    </row>
    <row r="632" spans="1:15" x14ac:dyDescent="0.35">
      <c r="A632">
        <v>2023</v>
      </c>
      <c r="B632">
        <v>11</v>
      </c>
      <c r="C632">
        <v>3</v>
      </c>
      <c r="D632">
        <v>508</v>
      </c>
      <c r="E632">
        <v>4</v>
      </c>
      <c r="F632" t="s">
        <v>226</v>
      </c>
      <c r="G632" t="s">
        <v>1211</v>
      </c>
      <c r="H632">
        <v>6</v>
      </c>
      <c r="J632" t="s">
        <v>783</v>
      </c>
      <c r="K632">
        <v>7</v>
      </c>
      <c r="L632">
        <v>124.3</v>
      </c>
      <c r="M632">
        <v>524</v>
      </c>
      <c r="N632" t="s">
        <v>1211</v>
      </c>
      <c r="O632">
        <v>508</v>
      </c>
    </row>
    <row r="633" spans="1:15" x14ac:dyDescent="0.35">
      <c r="A633">
        <v>2024</v>
      </c>
      <c r="B633">
        <v>8</v>
      </c>
      <c r="C633">
        <v>9</v>
      </c>
      <c r="D633">
        <v>714</v>
      </c>
      <c r="E633">
        <v>3</v>
      </c>
      <c r="F633" t="s">
        <v>41</v>
      </c>
      <c r="G633" t="s">
        <v>1207</v>
      </c>
      <c r="H633">
        <v>11</v>
      </c>
      <c r="J633" t="s">
        <v>42</v>
      </c>
      <c r="K633" t="s">
        <v>318</v>
      </c>
      <c r="L633">
        <v>143.6</v>
      </c>
      <c r="M633">
        <v>524</v>
      </c>
      <c r="N633" t="s">
        <v>1208</v>
      </c>
      <c r="O633">
        <v>714</v>
      </c>
    </row>
    <row r="634" spans="1:15" x14ac:dyDescent="0.35">
      <c r="A634">
        <v>2024</v>
      </c>
      <c r="B634">
        <v>6</v>
      </c>
      <c r="C634">
        <v>19</v>
      </c>
      <c r="D634">
        <v>800</v>
      </c>
      <c r="E634">
        <v>3</v>
      </c>
      <c r="F634" t="s">
        <v>225</v>
      </c>
      <c r="G634" t="s">
        <v>1209</v>
      </c>
      <c r="H634">
        <v>3</v>
      </c>
      <c r="J634" t="s">
        <v>1162</v>
      </c>
      <c r="K634">
        <v>3</v>
      </c>
      <c r="L634">
        <v>182.5</v>
      </c>
      <c r="M634">
        <v>524</v>
      </c>
      <c r="N634" t="s">
        <v>1209</v>
      </c>
      <c r="O634">
        <v>800</v>
      </c>
    </row>
    <row r="635" spans="1:15" x14ac:dyDescent="0.35">
      <c r="A635">
        <v>2017</v>
      </c>
      <c r="B635">
        <v>1</v>
      </c>
      <c r="C635">
        <v>20</v>
      </c>
      <c r="D635">
        <v>96</v>
      </c>
      <c r="E635">
        <v>1</v>
      </c>
      <c r="F635" t="s">
        <v>41</v>
      </c>
      <c r="G635" t="s">
        <v>1212</v>
      </c>
      <c r="H635">
        <v>5</v>
      </c>
      <c r="J635" t="s">
        <v>541</v>
      </c>
      <c r="K635" t="s">
        <v>461</v>
      </c>
      <c r="L635">
        <v>128.80000000000001</v>
      </c>
      <c r="M635">
        <v>525</v>
      </c>
      <c r="N635" t="s">
        <v>1208</v>
      </c>
      <c r="O635">
        <v>96</v>
      </c>
    </row>
    <row r="636" spans="1:15" x14ac:dyDescent="0.35">
      <c r="A636">
        <v>2024</v>
      </c>
      <c r="B636">
        <v>4</v>
      </c>
      <c r="C636">
        <v>9</v>
      </c>
      <c r="D636">
        <v>862</v>
      </c>
      <c r="E636">
        <v>2</v>
      </c>
      <c r="F636" t="s">
        <v>225</v>
      </c>
      <c r="G636" t="s">
        <v>1216</v>
      </c>
      <c r="H636">
        <v>2</v>
      </c>
      <c r="J636" t="s">
        <v>234</v>
      </c>
      <c r="K636">
        <v>6</v>
      </c>
      <c r="L636">
        <v>174.1</v>
      </c>
      <c r="M636">
        <v>525</v>
      </c>
      <c r="N636" t="s">
        <v>1209</v>
      </c>
      <c r="O636">
        <v>862</v>
      </c>
    </row>
    <row r="637" spans="1:15" x14ac:dyDescent="0.35">
      <c r="A637">
        <v>2016</v>
      </c>
      <c r="B637">
        <v>11</v>
      </c>
      <c r="C637">
        <v>16</v>
      </c>
      <c r="D637">
        <v>201</v>
      </c>
      <c r="E637">
        <v>4</v>
      </c>
      <c r="F637" t="s">
        <v>41</v>
      </c>
      <c r="G637" t="s">
        <v>1207</v>
      </c>
      <c r="H637">
        <v>3</v>
      </c>
      <c r="J637" t="s">
        <v>42</v>
      </c>
      <c r="K637" t="s">
        <v>318</v>
      </c>
      <c r="L637">
        <v>139.80000000000001</v>
      </c>
      <c r="M637">
        <v>526</v>
      </c>
      <c r="N637" t="s">
        <v>1208</v>
      </c>
      <c r="O637">
        <v>201</v>
      </c>
    </row>
    <row r="638" spans="1:15" x14ac:dyDescent="0.35">
      <c r="A638">
        <v>2024</v>
      </c>
      <c r="B638">
        <v>1</v>
      </c>
      <c r="C638">
        <v>17</v>
      </c>
      <c r="D638">
        <v>607</v>
      </c>
      <c r="E638">
        <v>1</v>
      </c>
      <c r="F638" t="s">
        <v>41</v>
      </c>
      <c r="G638" t="s">
        <v>1207</v>
      </c>
      <c r="H638">
        <v>11</v>
      </c>
      <c r="J638" t="s">
        <v>583</v>
      </c>
      <c r="K638" t="s">
        <v>318</v>
      </c>
      <c r="L638">
        <v>151.19999999999999</v>
      </c>
      <c r="M638">
        <v>527</v>
      </c>
      <c r="N638" t="s">
        <v>1208</v>
      </c>
      <c r="O638">
        <v>607</v>
      </c>
    </row>
    <row r="639" spans="1:15" x14ac:dyDescent="0.35">
      <c r="A639">
        <v>2019</v>
      </c>
      <c r="B639">
        <v>10</v>
      </c>
      <c r="C639">
        <v>29</v>
      </c>
      <c r="D639">
        <v>370</v>
      </c>
      <c r="E639">
        <v>4</v>
      </c>
      <c r="F639" t="s">
        <v>226</v>
      </c>
      <c r="G639" t="s">
        <v>1211</v>
      </c>
      <c r="H639">
        <v>2</v>
      </c>
      <c r="J639" t="s">
        <v>228</v>
      </c>
      <c r="K639">
        <v>7</v>
      </c>
      <c r="L639">
        <v>91.8</v>
      </c>
      <c r="M639">
        <v>528</v>
      </c>
      <c r="N639" t="s">
        <v>1211</v>
      </c>
      <c r="O639">
        <v>370</v>
      </c>
    </row>
    <row r="640" spans="1:15" x14ac:dyDescent="0.35">
      <c r="A640">
        <v>2017</v>
      </c>
      <c r="B640">
        <v>8</v>
      </c>
      <c r="C640">
        <v>14</v>
      </c>
      <c r="D640">
        <v>123</v>
      </c>
      <c r="E640">
        <v>3</v>
      </c>
      <c r="F640" t="s">
        <v>41</v>
      </c>
      <c r="G640" t="s">
        <v>1212</v>
      </c>
      <c r="H640">
        <v>5</v>
      </c>
      <c r="J640" t="s">
        <v>568</v>
      </c>
      <c r="K640" t="s">
        <v>461</v>
      </c>
      <c r="L640">
        <v>154.80000000000001</v>
      </c>
      <c r="M640">
        <v>530</v>
      </c>
      <c r="N640" t="s">
        <v>1208</v>
      </c>
      <c r="O640">
        <v>123</v>
      </c>
    </row>
    <row r="641" spans="1:16" x14ac:dyDescent="0.35">
      <c r="A641">
        <v>2018</v>
      </c>
      <c r="B641">
        <v>8</v>
      </c>
      <c r="C641">
        <v>15</v>
      </c>
      <c r="D641">
        <v>303</v>
      </c>
      <c r="E641">
        <v>3</v>
      </c>
      <c r="F641" t="s">
        <v>41</v>
      </c>
      <c r="G641" t="s">
        <v>1207</v>
      </c>
      <c r="H641">
        <v>5</v>
      </c>
      <c r="J641" t="s">
        <v>49</v>
      </c>
      <c r="K641" t="s">
        <v>318</v>
      </c>
      <c r="L641">
        <v>151.6</v>
      </c>
      <c r="M641">
        <v>534</v>
      </c>
      <c r="N641" t="s">
        <v>1208</v>
      </c>
      <c r="O641">
        <v>303</v>
      </c>
    </row>
    <row r="642" spans="1:16" x14ac:dyDescent="0.35">
      <c r="A642">
        <v>2023</v>
      </c>
      <c r="B642">
        <v>7</v>
      </c>
      <c r="C642">
        <v>19</v>
      </c>
      <c r="D642">
        <v>356</v>
      </c>
      <c r="E642">
        <v>3</v>
      </c>
      <c r="F642" t="s">
        <v>41</v>
      </c>
      <c r="G642" t="s">
        <v>1207</v>
      </c>
      <c r="H642">
        <v>10</v>
      </c>
      <c r="J642" t="s">
        <v>42</v>
      </c>
      <c r="K642" t="s">
        <v>318</v>
      </c>
      <c r="L642">
        <v>12.1</v>
      </c>
      <c r="M642">
        <v>534</v>
      </c>
      <c r="N642" t="s">
        <v>1208</v>
      </c>
      <c r="O642">
        <v>356</v>
      </c>
    </row>
    <row r="643" spans="1:16" x14ac:dyDescent="0.35">
      <c r="A643">
        <v>2023</v>
      </c>
      <c r="B643">
        <v>7</v>
      </c>
      <c r="C643">
        <v>19</v>
      </c>
      <c r="D643">
        <v>356</v>
      </c>
      <c r="E643">
        <v>3</v>
      </c>
      <c r="F643" t="s">
        <v>41</v>
      </c>
      <c r="G643" t="s">
        <v>1207</v>
      </c>
      <c r="H643">
        <v>10</v>
      </c>
      <c r="J643" t="s">
        <v>42</v>
      </c>
      <c r="K643" t="s">
        <v>318</v>
      </c>
      <c r="L643">
        <v>12.1</v>
      </c>
      <c r="M643">
        <v>534</v>
      </c>
      <c r="N643" t="s">
        <v>1208</v>
      </c>
      <c r="O643">
        <v>356</v>
      </c>
    </row>
    <row r="644" spans="1:16" x14ac:dyDescent="0.35">
      <c r="A644">
        <v>2022</v>
      </c>
      <c r="B644">
        <v>1</v>
      </c>
      <c r="C644" t="s">
        <v>28</v>
      </c>
      <c r="D644">
        <v>61</v>
      </c>
      <c r="E644">
        <v>1</v>
      </c>
      <c r="F644" t="s">
        <v>41</v>
      </c>
      <c r="G644" t="s">
        <v>1212</v>
      </c>
      <c r="H644">
        <v>10</v>
      </c>
      <c r="J644" t="s">
        <v>461</v>
      </c>
      <c r="K644" t="s">
        <v>461</v>
      </c>
      <c r="L644">
        <v>223.2</v>
      </c>
      <c r="M644">
        <v>535</v>
      </c>
      <c r="N644" t="s">
        <v>1208</v>
      </c>
      <c r="O644">
        <v>61</v>
      </c>
    </row>
    <row r="645" spans="1:16" x14ac:dyDescent="0.35">
      <c r="A645">
        <v>2017</v>
      </c>
      <c r="B645">
        <v>11</v>
      </c>
      <c r="C645">
        <v>8</v>
      </c>
      <c r="D645">
        <v>91</v>
      </c>
      <c r="E645">
        <v>4</v>
      </c>
      <c r="F645" t="s">
        <v>45</v>
      </c>
      <c r="G645" t="s">
        <v>1215</v>
      </c>
      <c r="H645">
        <v>8</v>
      </c>
      <c r="J645" t="s">
        <v>488</v>
      </c>
      <c r="K645" t="s">
        <v>488</v>
      </c>
      <c r="L645">
        <v>20</v>
      </c>
      <c r="M645">
        <v>535</v>
      </c>
      <c r="N645" t="s">
        <v>1210</v>
      </c>
      <c r="O645">
        <v>91</v>
      </c>
    </row>
    <row r="646" spans="1:16" x14ac:dyDescent="0.35">
      <c r="A646">
        <v>2016</v>
      </c>
      <c r="B646">
        <v>9</v>
      </c>
      <c r="C646">
        <v>2</v>
      </c>
      <c r="D646">
        <v>292</v>
      </c>
      <c r="E646">
        <v>3</v>
      </c>
      <c r="F646" t="s">
        <v>41</v>
      </c>
      <c r="G646" t="s">
        <v>1207</v>
      </c>
      <c r="H646">
        <v>3</v>
      </c>
      <c r="J646" t="s">
        <v>42</v>
      </c>
      <c r="K646" t="s">
        <v>318</v>
      </c>
      <c r="L646">
        <v>175.5</v>
      </c>
      <c r="M646">
        <v>535</v>
      </c>
      <c r="N646" t="s">
        <v>1208</v>
      </c>
      <c r="O646">
        <v>292</v>
      </c>
    </row>
    <row r="647" spans="1:16" x14ac:dyDescent="0.35">
      <c r="A647">
        <v>2024</v>
      </c>
      <c r="B647">
        <v>8</v>
      </c>
      <c r="C647">
        <v>16</v>
      </c>
      <c r="D647">
        <v>858</v>
      </c>
      <c r="E647">
        <v>3</v>
      </c>
      <c r="F647" t="s">
        <v>225</v>
      </c>
      <c r="G647" t="s">
        <v>1216</v>
      </c>
      <c r="H647">
        <v>2</v>
      </c>
      <c r="J647" t="s">
        <v>235</v>
      </c>
      <c r="K647">
        <v>5</v>
      </c>
      <c r="L647">
        <v>183.7</v>
      </c>
      <c r="M647">
        <v>535</v>
      </c>
      <c r="N647" t="s">
        <v>1209</v>
      </c>
      <c r="O647">
        <v>858</v>
      </c>
    </row>
    <row r="648" spans="1:16" x14ac:dyDescent="0.35">
      <c r="A648">
        <v>2016</v>
      </c>
      <c r="B648">
        <v>9</v>
      </c>
      <c r="C648">
        <v>1</v>
      </c>
      <c r="D648">
        <v>243</v>
      </c>
      <c r="E648">
        <v>3</v>
      </c>
      <c r="F648" t="s">
        <v>45</v>
      </c>
      <c r="G648" t="s">
        <v>1208</v>
      </c>
      <c r="H648">
        <v>5</v>
      </c>
      <c r="J648" t="s">
        <v>647</v>
      </c>
      <c r="K648" t="s">
        <v>317</v>
      </c>
      <c r="L648">
        <v>212.8</v>
      </c>
      <c r="M648">
        <v>537</v>
      </c>
      <c r="N648" t="s">
        <v>1210</v>
      </c>
      <c r="O648">
        <v>243</v>
      </c>
    </row>
    <row r="649" spans="1:16" x14ac:dyDescent="0.35">
      <c r="A649">
        <v>2021</v>
      </c>
      <c r="B649">
        <v>10</v>
      </c>
      <c r="C649">
        <v>11</v>
      </c>
      <c r="D649">
        <v>461</v>
      </c>
      <c r="E649">
        <v>4</v>
      </c>
      <c r="F649" t="s">
        <v>226</v>
      </c>
      <c r="G649" t="s">
        <v>1214</v>
      </c>
      <c r="H649">
        <v>3</v>
      </c>
      <c r="J649" t="s">
        <v>51</v>
      </c>
      <c r="K649" t="s">
        <v>916</v>
      </c>
      <c r="L649">
        <v>135</v>
      </c>
      <c r="M649">
        <v>537</v>
      </c>
      <c r="N649" t="s">
        <v>1211</v>
      </c>
      <c r="O649">
        <v>461</v>
      </c>
    </row>
    <row r="650" spans="1:16" x14ac:dyDescent="0.35">
      <c r="A650">
        <v>2016</v>
      </c>
      <c r="B650">
        <v>9</v>
      </c>
      <c r="C650">
        <v>1</v>
      </c>
      <c r="D650">
        <v>298</v>
      </c>
      <c r="E650">
        <v>3</v>
      </c>
      <c r="F650" t="s">
        <v>45</v>
      </c>
      <c r="G650" t="s">
        <v>1208</v>
      </c>
      <c r="H650">
        <v>5</v>
      </c>
      <c r="J650" t="s">
        <v>632</v>
      </c>
      <c r="K650" t="s">
        <v>317</v>
      </c>
      <c r="L650">
        <v>20.3</v>
      </c>
      <c r="M650">
        <v>540</v>
      </c>
      <c r="N650" t="s">
        <v>1210</v>
      </c>
      <c r="O650">
        <v>298</v>
      </c>
      <c r="P650">
        <v>10.029999999999999</v>
      </c>
    </row>
    <row r="651" spans="1:16" x14ac:dyDescent="0.35">
      <c r="A651">
        <v>2021</v>
      </c>
      <c r="B651">
        <v>10</v>
      </c>
      <c r="C651" t="s">
        <v>28</v>
      </c>
      <c r="D651">
        <v>16</v>
      </c>
      <c r="E651">
        <v>4</v>
      </c>
      <c r="F651" t="s">
        <v>41</v>
      </c>
      <c r="G651" t="s">
        <v>1207</v>
      </c>
      <c r="H651">
        <v>8</v>
      </c>
      <c r="J651" t="s">
        <v>458</v>
      </c>
      <c r="K651" t="s">
        <v>458</v>
      </c>
      <c r="L651">
        <v>160.6</v>
      </c>
      <c r="M651">
        <v>541</v>
      </c>
      <c r="N651" t="s">
        <v>1208</v>
      </c>
      <c r="O651">
        <v>16</v>
      </c>
    </row>
    <row r="652" spans="1:16" x14ac:dyDescent="0.35">
      <c r="A652">
        <v>2024</v>
      </c>
      <c r="B652">
        <v>1</v>
      </c>
      <c r="C652">
        <v>24</v>
      </c>
      <c r="D652">
        <v>606</v>
      </c>
      <c r="E652">
        <v>1</v>
      </c>
      <c r="F652" t="s">
        <v>20</v>
      </c>
      <c r="G652" t="s">
        <v>1214</v>
      </c>
      <c r="H652">
        <v>6</v>
      </c>
      <c r="J652" t="s">
        <v>234</v>
      </c>
      <c r="K652">
        <v>6</v>
      </c>
      <c r="L652">
        <v>212.1</v>
      </c>
      <c r="M652">
        <v>543</v>
      </c>
      <c r="N652" t="s">
        <v>1214</v>
      </c>
      <c r="O652">
        <v>606</v>
      </c>
    </row>
    <row r="653" spans="1:16" x14ac:dyDescent="0.35">
      <c r="A653">
        <v>2024</v>
      </c>
      <c r="B653">
        <v>6</v>
      </c>
      <c r="C653">
        <v>19</v>
      </c>
      <c r="D653">
        <v>805</v>
      </c>
      <c r="E653">
        <v>3</v>
      </c>
      <c r="F653" t="s">
        <v>225</v>
      </c>
      <c r="G653" t="s">
        <v>1209</v>
      </c>
      <c r="H653">
        <v>3</v>
      </c>
      <c r="J653" t="s">
        <v>237</v>
      </c>
      <c r="K653">
        <v>3</v>
      </c>
      <c r="L653">
        <v>176.9</v>
      </c>
      <c r="M653">
        <v>543</v>
      </c>
      <c r="N653" t="s">
        <v>1209</v>
      </c>
      <c r="O653">
        <v>805</v>
      </c>
    </row>
    <row r="654" spans="1:16" x14ac:dyDescent="0.35">
      <c r="A654">
        <v>2024</v>
      </c>
      <c r="B654">
        <v>1</v>
      </c>
      <c r="C654">
        <v>17</v>
      </c>
      <c r="D654">
        <v>565</v>
      </c>
      <c r="E654">
        <v>1</v>
      </c>
      <c r="F654" t="s">
        <v>41</v>
      </c>
      <c r="G654" t="s">
        <v>1207</v>
      </c>
      <c r="H654">
        <v>11</v>
      </c>
      <c r="J654" t="s">
        <v>42</v>
      </c>
      <c r="K654" t="s">
        <v>318</v>
      </c>
      <c r="L654">
        <v>192</v>
      </c>
      <c r="M654">
        <v>544</v>
      </c>
      <c r="N654" t="s">
        <v>1208</v>
      </c>
      <c r="O654">
        <v>565</v>
      </c>
    </row>
    <row r="655" spans="1:16" x14ac:dyDescent="0.35">
      <c r="A655">
        <v>2016</v>
      </c>
      <c r="B655">
        <v>11</v>
      </c>
      <c r="C655">
        <v>7</v>
      </c>
      <c r="D655">
        <v>193</v>
      </c>
      <c r="E655">
        <v>4</v>
      </c>
      <c r="F655" t="s">
        <v>45</v>
      </c>
      <c r="G655" t="s">
        <v>1208</v>
      </c>
      <c r="H655">
        <v>5</v>
      </c>
      <c r="J655" t="s">
        <v>644</v>
      </c>
      <c r="K655" t="s">
        <v>317</v>
      </c>
      <c r="L655">
        <v>16.100000000000001</v>
      </c>
      <c r="M655">
        <v>545</v>
      </c>
      <c r="N655" t="s">
        <v>1210</v>
      </c>
      <c r="O655">
        <v>193</v>
      </c>
    </row>
    <row r="656" spans="1:16" x14ac:dyDescent="0.35">
      <c r="A656">
        <v>2023</v>
      </c>
      <c r="B656">
        <v>2</v>
      </c>
      <c r="C656">
        <v>13</v>
      </c>
      <c r="D656">
        <v>151</v>
      </c>
      <c r="E656">
        <v>1</v>
      </c>
      <c r="F656" t="s">
        <v>41</v>
      </c>
      <c r="G656" t="s">
        <v>1212</v>
      </c>
      <c r="H656">
        <v>11</v>
      </c>
      <c r="J656" t="s">
        <v>461</v>
      </c>
      <c r="K656" t="s">
        <v>461</v>
      </c>
      <c r="L656">
        <v>162.9</v>
      </c>
      <c r="M656">
        <v>548</v>
      </c>
      <c r="N656" t="s">
        <v>1208</v>
      </c>
      <c r="O656">
        <v>151</v>
      </c>
      <c r="P656">
        <v>7.53</v>
      </c>
    </row>
    <row r="657" spans="1:15" x14ac:dyDescent="0.35">
      <c r="A657">
        <v>2016</v>
      </c>
      <c r="B657">
        <v>8</v>
      </c>
      <c r="C657">
        <v>31</v>
      </c>
      <c r="D657">
        <v>284</v>
      </c>
      <c r="E657">
        <v>3</v>
      </c>
      <c r="F657" t="s">
        <v>45</v>
      </c>
      <c r="G657" t="s">
        <v>1208</v>
      </c>
      <c r="H657">
        <v>5</v>
      </c>
      <c r="J657" t="s">
        <v>749</v>
      </c>
      <c r="K657" t="s">
        <v>317</v>
      </c>
      <c r="L657">
        <v>168.7</v>
      </c>
      <c r="M657">
        <v>548</v>
      </c>
      <c r="N657" t="s">
        <v>1210</v>
      </c>
      <c r="O657">
        <v>284</v>
      </c>
    </row>
    <row r="658" spans="1:15" x14ac:dyDescent="0.35">
      <c r="A658">
        <v>2016</v>
      </c>
      <c r="B658">
        <v>9</v>
      </c>
      <c r="C658">
        <v>1</v>
      </c>
      <c r="D658">
        <v>235</v>
      </c>
      <c r="E658">
        <v>3</v>
      </c>
      <c r="F658" t="s">
        <v>45</v>
      </c>
      <c r="G658" t="s">
        <v>1208</v>
      </c>
      <c r="H658">
        <v>5</v>
      </c>
      <c r="J658" t="s">
        <v>647</v>
      </c>
      <c r="K658" t="s">
        <v>317</v>
      </c>
      <c r="L658">
        <v>179.3</v>
      </c>
      <c r="M658">
        <v>549</v>
      </c>
      <c r="N658" t="s">
        <v>1210</v>
      </c>
      <c r="O658">
        <v>235</v>
      </c>
    </row>
    <row r="659" spans="1:15" x14ac:dyDescent="0.35">
      <c r="A659">
        <v>2023</v>
      </c>
      <c r="B659">
        <v>7</v>
      </c>
      <c r="C659">
        <v>19</v>
      </c>
      <c r="D659">
        <v>345</v>
      </c>
      <c r="E659">
        <v>3</v>
      </c>
      <c r="F659" t="s">
        <v>41</v>
      </c>
      <c r="G659" t="s">
        <v>1212</v>
      </c>
      <c r="H659">
        <v>11</v>
      </c>
      <c r="J659" t="s">
        <v>541</v>
      </c>
      <c r="K659" t="s">
        <v>461</v>
      </c>
      <c r="L659">
        <v>143.69999999999999</v>
      </c>
      <c r="M659">
        <v>549</v>
      </c>
      <c r="N659" t="s">
        <v>1208</v>
      </c>
      <c r="O659">
        <v>345</v>
      </c>
    </row>
    <row r="660" spans="1:15" x14ac:dyDescent="0.35">
      <c r="A660">
        <v>2016</v>
      </c>
      <c r="B660">
        <v>11</v>
      </c>
      <c r="C660">
        <v>8</v>
      </c>
      <c r="D660">
        <v>182</v>
      </c>
      <c r="E660">
        <v>4</v>
      </c>
      <c r="F660" t="s">
        <v>45</v>
      </c>
      <c r="G660" t="s">
        <v>1208</v>
      </c>
      <c r="H660">
        <v>5</v>
      </c>
      <c r="J660" t="s">
        <v>632</v>
      </c>
      <c r="K660" t="s">
        <v>317</v>
      </c>
      <c r="L660">
        <v>196.4</v>
      </c>
      <c r="M660">
        <v>550</v>
      </c>
      <c r="N660" t="s">
        <v>1210</v>
      </c>
      <c r="O660">
        <v>182</v>
      </c>
    </row>
    <row r="661" spans="1:15" x14ac:dyDescent="0.35">
      <c r="A661">
        <v>2016</v>
      </c>
      <c r="B661">
        <v>11</v>
      </c>
      <c r="C661">
        <v>8</v>
      </c>
      <c r="D661">
        <v>194</v>
      </c>
      <c r="E661">
        <v>4</v>
      </c>
      <c r="F661" t="s">
        <v>45</v>
      </c>
      <c r="G661" t="s">
        <v>1208</v>
      </c>
      <c r="H661">
        <v>5</v>
      </c>
      <c r="J661" t="s">
        <v>647</v>
      </c>
      <c r="K661" t="s">
        <v>317</v>
      </c>
      <c r="L661">
        <v>16.899999999999999</v>
      </c>
      <c r="M661">
        <v>551</v>
      </c>
      <c r="N661" t="s">
        <v>1210</v>
      </c>
      <c r="O661">
        <v>194</v>
      </c>
    </row>
    <row r="662" spans="1:15" x14ac:dyDescent="0.35">
      <c r="A662">
        <v>2016</v>
      </c>
      <c r="B662">
        <v>11</v>
      </c>
      <c r="C662">
        <v>8</v>
      </c>
      <c r="D662">
        <v>194</v>
      </c>
      <c r="E662">
        <v>4</v>
      </c>
      <c r="F662" t="s">
        <v>45</v>
      </c>
      <c r="G662" t="s">
        <v>1208</v>
      </c>
      <c r="H662">
        <v>5</v>
      </c>
      <c r="J662" t="s">
        <v>647</v>
      </c>
      <c r="K662" t="s">
        <v>317</v>
      </c>
      <c r="L662">
        <v>16.899999999999999</v>
      </c>
      <c r="M662">
        <v>551</v>
      </c>
      <c r="N662" t="s">
        <v>1210</v>
      </c>
      <c r="O662">
        <v>194</v>
      </c>
    </row>
    <row r="663" spans="1:15" x14ac:dyDescent="0.35">
      <c r="A663">
        <v>2016</v>
      </c>
      <c r="B663">
        <v>9</v>
      </c>
      <c r="C663">
        <v>1</v>
      </c>
      <c r="D663">
        <v>300</v>
      </c>
      <c r="E663">
        <v>3</v>
      </c>
      <c r="F663" t="s">
        <v>45</v>
      </c>
      <c r="G663" t="s">
        <v>1208</v>
      </c>
      <c r="H663">
        <v>5</v>
      </c>
      <c r="J663" t="s">
        <v>632</v>
      </c>
      <c r="K663" t="s">
        <v>317</v>
      </c>
      <c r="L663">
        <v>182.3</v>
      </c>
      <c r="M663">
        <v>551</v>
      </c>
      <c r="N663" t="s">
        <v>1210</v>
      </c>
      <c r="O663">
        <v>300</v>
      </c>
    </row>
    <row r="664" spans="1:15" x14ac:dyDescent="0.35">
      <c r="A664">
        <v>2019</v>
      </c>
      <c r="B664">
        <v>2</v>
      </c>
      <c r="C664">
        <v>21</v>
      </c>
      <c r="D664">
        <v>172</v>
      </c>
      <c r="E664">
        <v>1</v>
      </c>
      <c r="F664" t="s">
        <v>45</v>
      </c>
      <c r="G664" t="s">
        <v>1208</v>
      </c>
      <c r="H664">
        <v>8</v>
      </c>
      <c r="J664" t="s">
        <v>615</v>
      </c>
      <c r="K664" t="s">
        <v>317</v>
      </c>
      <c r="L664">
        <v>195.7</v>
      </c>
      <c r="M664">
        <v>552</v>
      </c>
      <c r="N664" t="s">
        <v>1210</v>
      </c>
      <c r="O664">
        <v>172</v>
      </c>
    </row>
    <row r="665" spans="1:15" x14ac:dyDescent="0.35">
      <c r="A665">
        <v>2016</v>
      </c>
      <c r="B665">
        <v>11</v>
      </c>
      <c r="C665">
        <v>16</v>
      </c>
      <c r="D665">
        <v>179</v>
      </c>
      <c r="E665">
        <v>4</v>
      </c>
      <c r="F665" t="s">
        <v>41</v>
      </c>
      <c r="G665" t="s">
        <v>1207</v>
      </c>
      <c r="H665">
        <v>3</v>
      </c>
      <c r="J665" t="s">
        <v>583</v>
      </c>
      <c r="K665" t="s">
        <v>318</v>
      </c>
      <c r="L665">
        <v>180.1</v>
      </c>
      <c r="M665">
        <v>553</v>
      </c>
      <c r="N665" t="s">
        <v>1208</v>
      </c>
      <c r="O665">
        <v>179</v>
      </c>
    </row>
    <row r="666" spans="1:15" x14ac:dyDescent="0.35">
      <c r="A666">
        <v>2021</v>
      </c>
      <c r="B666">
        <v>10</v>
      </c>
      <c r="C666">
        <v>11</v>
      </c>
      <c r="D666">
        <v>463</v>
      </c>
      <c r="E666">
        <v>4</v>
      </c>
      <c r="F666" t="s">
        <v>226</v>
      </c>
      <c r="G666" t="s">
        <v>1214</v>
      </c>
      <c r="H666">
        <v>3</v>
      </c>
      <c r="J666" t="s">
        <v>51</v>
      </c>
      <c r="K666" t="s">
        <v>920</v>
      </c>
      <c r="L666">
        <v>160</v>
      </c>
      <c r="M666">
        <v>553</v>
      </c>
      <c r="N666" t="s">
        <v>1211</v>
      </c>
      <c r="O666">
        <v>463</v>
      </c>
    </row>
    <row r="667" spans="1:15" x14ac:dyDescent="0.35">
      <c r="A667">
        <v>2024</v>
      </c>
      <c r="B667">
        <v>8</v>
      </c>
      <c r="C667">
        <v>9</v>
      </c>
      <c r="D667">
        <v>767</v>
      </c>
      <c r="E667">
        <v>3</v>
      </c>
      <c r="F667" t="s">
        <v>41</v>
      </c>
      <c r="G667" t="s">
        <v>1207</v>
      </c>
      <c r="H667">
        <v>11</v>
      </c>
      <c r="J667" t="s">
        <v>509</v>
      </c>
      <c r="K667" t="s">
        <v>458</v>
      </c>
      <c r="L667">
        <v>148.5</v>
      </c>
      <c r="M667">
        <v>553</v>
      </c>
      <c r="N667" t="s">
        <v>1208</v>
      </c>
      <c r="O667">
        <v>767</v>
      </c>
    </row>
    <row r="668" spans="1:15" x14ac:dyDescent="0.35">
      <c r="A668">
        <v>2021</v>
      </c>
      <c r="B668">
        <v>10</v>
      </c>
      <c r="C668" t="s">
        <v>28</v>
      </c>
      <c r="D668">
        <v>36</v>
      </c>
      <c r="E668">
        <v>4</v>
      </c>
      <c r="F668" t="s">
        <v>41</v>
      </c>
      <c r="G668" t="s">
        <v>1212</v>
      </c>
      <c r="H668">
        <v>9</v>
      </c>
      <c r="J668" t="s">
        <v>461</v>
      </c>
      <c r="K668" t="s">
        <v>461</v>
      </c>
      <c r="L668">
        <v>161.80000000000001</v>
      </c>
      <c r="M668">
        <v>554</v>
      </c>
      <c r="N668" t="s">
        <v>1208</v>
      </c>
      <c r="O668">
        <v>36</v>
      </c>
    </row>
    <row r="669" spans="1:15" x14ac:dyDescent="0.35">
      <c r="A669">
        <v>2023</v>
      </c>
      <c r="B669">
        <v>7</v>
      </c>
      <c r="C669">
        <v>21</v>
      </c>
      <c r="D669">
        <v>447</v>
      </c>
      <c r="E669">
        <v>3</v>
      </c>
      <c r="F669" t="s">
        <v>20</v>
      </c>
      <c r="G669" t="s">
        <v>1213</v>
      </c>
      <c r="H669">
        <v>3</v>
      </c>
      <c r="J669" t="s">
        <v>73</v>
      </c>
      <c r="K669">
        <v>37</v>
      </c>
      <c r="L669">
        <v>168.8</v>
      </c>
      <c r="M669">
        <v>555</v>
      </c>
      <c r="N669" t="s">
        <v>1214</v>
      </c>
      <c r="O669">
        <v>447</v>
      </c>
    </row>
    <row r="670" spans="1:15" x14ac:dyDescent="0.35">
      <c r="A670">
        <v>2021</v>
      </c>
      <c r="B670">
        <v>10</v>
      </c>
      <c r="C670">
        <v>11</v>
      </c>
      <c r="D670">
        <v>470</v>
      </c>
      <c r="E670">
        <v>4</v>
      </c>
      <c r="F670" t="s">
        <v>226</v>
      </c>
      <c r="G670" t="s">
        <v>1214</v>
      </c>
      <c r="H670">
        <v>3</v>
      </c>
      <c r="J670" t="s">
        <v>51</v>
      </c>
      <c r="K670" t="s">
        <v>920</v>
      </c>
      <c r="L670">
        <v>165</v>
      </c>
      <c r="M670">
        <v>555</v>
      </c>
      <c r="N670" t="s">
        <v>1211</v>
      </c>
      <c r="O670">
        <v>470</v>
      </c>
    </row>
    <row r="671" spans="1:15" x14ac:dyDescent="0.35">
      <c r="A671">
        <v>2024</v>
      </c>
      <c r="B671">
        <v>2</v>
      </c>
      <c r="C671">
        <v>28</v>
      </c>
      <c r="D671">
        <v>669</v>
      </c>
      <c r="E671">
        <v>2</v>
      </c>
      <c r="F671" t="s">
        <v>225</v>
      </c>
      <c r="G671" t="s">
        <v>1218</v>
      </c>
      <c r="H671">
        <v>1</v>
      </c>
      <c r="J671" t="s">
        <v>1090</v>
      </c>
      <c r="K671">
        <v>9</v>
      </c>
      <c r="L671">
        <v>208.7</v>
      </c>
      <c r="M671">
        <v>555</v>
      </c>
      <c r="N671" t="s">
        <v>1209</v>
      </c>
      <c r="O671">
        <v>669</v>
      </c>
    </row>
    <row r="672" spans="1:15" x14ac:dyDescent="0.35">
      <c r="A672">
        <v>2022</v>
      </c>
      <c r="B672">
        <v>1</v>
      </c>
      <c r="C672" t="s">
        <v>28</v>
      </c>
      <c r="D672">
        <v>18</v>
      </c>
      <c r="E672">
        <v>1</v>
      </c>
      <c r="F672" t="s">
        <v>41</v>
      </c>
      <c r="G672" t="s">
        <v>1212</v>
      </c>
      <c r="H672">
        <v>10</v>
      </c>
      <c r="J672" t="s">
        <v>461</v>
      </c>
      <c r="K672" t="s">
        <v>461</v>
      </c>
      <c r="L672">
        <v>163.5</v>
      </c>
      <c r="M672">
        <v>556</v>
      </c>
      <c r="N672" t="s">
        <v>1208</v>
      </c>
      <c r="O672">
        <v>18</v>
      </c>
    </row>
    <row r="673" spans="1:15" x14ac:dyDescent="0.35">
      <c r="A673">
        <v>2024</v>
      </c>
      <c r="B673">
        <v>8</v>
      </c>
      <c r="C673">
        <v>19</v>
      </c>
      <c r="D673">
        <v>751</v>
      </c>
      <c r="E673">
        <v>3</v>
      </c>
      <c r="F673" t="s">
        <v>225</v>
      </c>
      <c r="G673" t="s">
        <v>1209</v>
      </c>
      <c r="H673">
        <v>3</v>
      </c>
      <c r="J673">
        <v>3</v>
      </c>
      <c r="K673">
        <v>3</v>
      </c>
      <c r="L673">
        <v>182.8</v>
      </c>
      <c r="M673">
        <v>558</v>
      </c>
      <c r="N673" t="s">
        <v>1209</v>
      </c>
      <c r="O673">
        <v>751</v>
      </c>
    </row>
    <row r="674" spans="1:15" x14ac:dyDescent="0.35">
      <c r="A674">
        <v>2019</v>
      </c>
      <c r="B674">
        <v>2</v>
      </c>
      <c r="C674">
        <v>18</v>
      </c>
      <c r="D674">
        <v>155</v>
      </c>
      <c r="E674">
        <v>1</v>
      </c>
      <c r="F674" t="s">
        <v>41</v>
      </c>
      <c r="G674" t="s">
        <v>1207</v>
      </c>
      <c r="H674">
        <v>6</v>
      </c>
      <c r="J674" t="s">
        <v>91</v>
      </c>
      <c r="K674" t="s">
        <v>318</v>
      </c>
      <c r="L674">
        <v>189.6</v>
      </c>
      <c r="M674">
        <v>559</v>
      </c>
      <c r="N674" t="s">
        <v>1208</v>
      </c>
      <c r="O674">
        <v>155</v>
      </c>
    </row>
    <row r="675" spans="1:15" x14ac:dyDescent="0.35">
      <c r="A675">
        <v>2019</v>
      </c>
      <c r="B675">
        <v>11</v>
      </c>
      <c r="C675">
        <v>27</v>
      </c>
      <c r="D675">
        <v>43</v>
      </c>
      <c r="E675">
        <v>4</v>
      </c>
      <c r="F675" t="s">
        <v>45</v>
      </c>
      <c r="G675" t="s">
        <v>1208</v>
      </c>
      <c r="H675">
        <v>8</v>
      </c>
      <c r="J675" t="s">
        <v>317</v>
      </c>
      <c r="K675" t="s">
        <v>317</v>
      </c>
      <c r="L675">
        <v>188.8</v>
      </c>
      <c r="M675">
        <v>560</v>
      </c>
      <c r="N675" t="s">
        <v>1210</v>
      </c>
      <c r="O675">
        <v>43</v>
      </c>
    </row>
    <row r="676" spans="1:15" x14ac:dyDescent="0.35">
      <c r="A676">
        <v>2024</v>
      </c>
      <c r="B676">
        <v>1</v>
      </c>
      <c r="C676">
        <v>17</v>
      </c>
      <c r="D676">
        <v>563</v>
      </c>
      <c r="E676">
        <v>1</v>
      </c>
      <c r="F676" t="s">
        <v>41</v>
      </c>
      <c r="G676" t="s">
        <v>1207</v>
      </c>
      <c r="H676">
        <v>11</v>
      </c>
      <c r="J676" t="s">
        <v>42</v>
      </c>
      <c r="K676" t="s">
        <v>318</v>
      </c>
      <c r="L676">
        <v>180.6</v>
      </c>
      <c r="M676">
        <v>561</v>
      </c>
      <c r="N676" t="s">
        <v>1208</v>
      </c>
      <c r="O676">
        <v>563</v>
      </c>
    </row>
    <row r="677" spans="1:15" x14ac:dyDescent="0.35">
      <c r="A677">
        <v>2024</v>
      </c>
      <c r="B677">
        <v>2</v>
      </c>
      <c r="C677">
        <v>23</v>
      </c>
      <c r="D677">
        <v>640</v>
      </c>
      <c r="E677">
        <v>1</v>
      </c>
      <c r="F677" t="s">
        <v>225</v>
      </c>
      <c r="G677" t="s">
        <v>1216</v>
      </c>
      <c r="H677">
        <v>2</v>
      </c>
      <c r="J677" t="s">
        <v>21</v>
      </c>
      <c r="K677">
        <v>2</v>
      </c>
      <c r="L677">
        <v>210.6</v>
      </c>
      <c r="M677">
        <v>561</v>
      </c>
      <c r="N677" t="s">
        <v>1209</v>
      </c>
      <c r="O677">
        <v>640</v>
      </c>
    </row>
    <row r="678" spans="1:15" x14ac:dyDescent="0.35">
      <c r="A678">
        <v>2024</v>
      </c>
      <c r="B678">
        <v>4</v>
      </c>
      <c r="C678">
        <v>5</v>
      </c>
      <c r="D678">
        <v>652</v>
      </c>
      <c r="E678">
        <v>2</v>
      </c>
      <c r="F678" t="s">
        <v>225</v>
      </c>
      <c r="G678" t="s">
        <v>1209</v>
      </c>
      <c r="H678">
        <v>3</v>
      </c>
      <c r="J678" t="s">
        <v>76</v>
      </c>
      <c r="K678">
        <v>1</v>
      </c>
      <c r="L678">
        <v>16.02</v>
      </c>
      <c r="M678">
        <v>561</v>
      </c>
      <c r="N678" t="s">
        <v>1209</v>
      </c>
      <c r="O678">
        <v>652</v>
      </c>
    </row>
    <row r="679" spans="1:15" x14ac:dyDescent="0.35">
      <c r="A679">
        <v>2024</v>
      </c>
      <c r="B679">
        <v>8</v>
      </c>
      <c r="C679">
        <v>9</v>
      </c>
      <c r="D679">
        <v>769</v>
      </c>
      <c r="E679">
        <v>3</v>
      </c>
      <c r="F679" t="s">
        <v>41</v>
      </c>
      <c r="G679" t="s">
        <v>1207</v>
      </c>
      <c r="H679">
        <v>11</v>
      </c>
      <c r="J679" t="s">
        <v>509</v>
      </c>
      <c r="K679" t="s">
        <v>458</v>
      </c>
      <c r="L679">
        <v>176.8</v>
      </c>
      <c r="M679">
        <v>561</v>
      </c>
      <c r="N679" t="s">
        <v>1208</v>
      </c>
      <c r="O679">
        <v>769</v>
      </c>
    </row>
    <row r="680" spans="1:15" x14ac:dyDescent="0.35">
      <c r="A680">
        <v>2024</v>
      </c>
      <c r="B680">
        <v>3</v>
      </c>
      <c r="C680">
        <v>12</v>
      </c>
      <c r="D680">
        <v>685</v>
      </c>
      <c r="E680">
        <v>2</v>
      </c>
      <c r="F680" t="s">
        <v>45</v>
      </c>
      <c r="G680" t="s">
        <v>1208</v>
      </c>
      <c r="H680">
        <v>13</v>
      </c>
      <c r="J680" t="s">
        <v>1105</v>
      </c>
      <c r="K680" t="s">
        <v>317</v>
      </c>
      <c r="L680">
        <v>215.5</v>
      </c>
      <c r="M680">
        <v>562</v>
      </c>
      <c r="N680" t="s">
        <v>1210</v>
      </c>
      <c r="O680">
        <v>685</v>
      </c>
    </row>
    <row r="681" spans="1:15" x14ac:dyDescent="0.35">
      <c r="A681">
        <v>2024</v>
      </c>
      <c r="B681">
        <v>8</v>
      </c>
      <c r="C681">
        <v>20</v>
      </c>
      <c r="D681">
        <v>763</v>
      </c>
      <c r="E681">
        <v>3</v>
      </c>
      <c r="F681" t="s">
        <v>226</v>
      </c>
      <c r="G681" t="s">
        <v>1211</v>
      </c>
      <c r="H681">
        <v>7</v>
      </c>
      <c r="J681" t="s">
        <v>228</v>
      </c>
      <c r="K681">
        <v>7</v>
      </c>
      <c r="L681">
        <v>177.2</v>
      </c>
      <c r="M681">
        <v>562</v>
      </c>
      <c r="N681" t="s">
        <v>1211</v>
      </c>
      <c r="O681">
        <v>763</v>
      </c>
    </row>
    <row r="682" spans="1:15" x14ac:dyDescent="0.35">
      <c r="A682">
        <v>2019</v>
      </c>
      <c r="B682">
        <v>2</v>
      </c>
      <c r="C682">
        <v>21</v>
      </c>
      <c r="D682">
        <v>171</v>
      </c>
      <c r="E682">
        <v>1</v>
      </c>
      <c r="F682" t="s">
        <v>45</v>
      </c>
      <c r="G682" t="s">
        <v>1208</v>
      </c>
      <c r="H682">
        <v>8</v>
      </c>
      <c r="J682" t="s">
        <v>615</v>
      </c>
      <c r="K682" t="s">
        <v>317</v>
      </c>
      <c r="L682">
        <v>16.600000000000001</v>
      </c>
      <c r="M682">
        <v>563</v>
      </c>
      <c r="N682" t="s">
        <v>1210</v>
      </c>
      <c r="O682">
        <v>171</v>
      </c>
    </row>
    <row r="683" spans="1:15" x14ac:dyDescent="0.35">
      <c r="A683">
        <v>2021</v>
      </c>
      <c r="B683">
        <v>10</v>
      </c>
      <c r="C683">
        <v>11</v>
      </c>
      <c r="D683">
        <v>485</v>
      </c>
      <c r="E683">
        <v>4</v>
      </c>
      <c r="F683" t="s">
        <v>226</v>
      </c>
      <c r="G683" t="s">
        <v>1214</v>
      </c>
      <c r="H683">
        <v>3</v>
      </c>
      <c r="J683" t="s">
        <v>51</v>
      </c>
      <c r="K683" t="s">
        <v>939</v>
      </c>
      <c r="L683">
        <v>210</v>
      </c>
      <c r="M683">
        <v>563</v>
      </c>
      <c r="N683" t="s">
        <v>1211</v>
      </c>
      <c r="O683">
        <v>485</v>
      </c>
    </row>
    <row r="684" spans="1:15" x14ac:dyDescent="0.35">
      <c r="A684">
        <v>2023</v>
      </c>
      <c r="B684">
        <v>7</v>
      </c>
      <c r="C684">
        <v>31</v>
      </c>
      <c r="D684">
        <v>418</v>
      </c>
      <c r="E684">
        <v>3</v>
      </c>
      <c r="F684" t="s">
        <v>225</v>
      </c>
      <c r="G684" t="s">
        <v>1216</v>
      </c>
      <c r="H684">
        <v>1</v>
      </c>
      <c r="J684" t="s">
        <v>58</v>
      </c>
      <c r="K684">
        <v>2</v>
      </c>
      <c r="L684">
        <v>212.9</v>
      </c>
      <c r="M684">
        <v>563.80000000000007</v>
      </c>
      <c r="N684" t="s">
        <v>1209</v>
      </c>
      <c r="O684">
        <v>418</v>
      </c>
    </row>
    <row r="685" spans="1:15" x14ac:dyDescent="0.35">
      <c r="A685">
        <v>2022</v>
      </c>
      <c r="B685">
        <v>1</v>
      </c>
      <c r="C685" t="s">
        <v>28</v>
      </c>
      <c r="D685">
        <v>10</v>
      </c>
      <c r="E685">
        <v>1</v>
      </c>
      <c r="F685" t="s">
        <v>41</v>
      </c>
      <c r="G685" t="s">
        <v>1207</v>
      </c>
      <c r="H685">
        <v>9</v>
      </c>
      <c r="J685" t="s">
        <v>318</v>
      </c>
      <c r="K685" t="s">
        <v>318</v>
      </c>
      <c r="L685">
        <v>174.7</v>
      </c>
      <c r="M685">
        <v>566</v>
      </c>
      <c r="N685" t="s">
        <v>1208</v>
      </c>
      <c r="O685">
        <v>10</v>
      </c>
    </row>
    <row r="686" spans="1:15" x14ac:dyDescent="0.35">
      <c r="A686">
        <v>2016</v>
      </c>
      <c r="B686">
        <v>9</v>
      </c>
      <c r="C686">
        <v>2</v>
      </c>
      <c r="D686">
        <v>296</v>
      </c>
      <c r="E686">
        <v>3</v>
      </c>
      <c r="F686" t="s">
        <v>41</v>
      </c>
      <c r="G686" t="s">
        <v>1207</v>
      </c>
      <c r="H686">
        <v>3</v>
      </c>
      <c r="J686" t="s">
        <v>583</v>
      </c>
      <c r="K686" t="s">
        <v>318</v>
      </c>
      <c r="L686">
        <v>168.6</v>
      </c>
      <c r="M686">
        <v>566</v>
      </c>
      <c r="N686" t="s">
        <v>1208</v>
      </c>
      <c r="O686">
        <v>296</v>
      </c>
    </row>
    <row r="687" spans="1:15" x14ac:dyDescent="0.35">
      <c r="A687">
        <v>2024</v>
      </c>
      <c r="B687">
        <v>8</v>
      </c>
      <c r="C687">
        <v>13</v>
      </c>
      <c r="D687">
        <v>758</v>
      </c>
      <c r="E687">
        <v>3</v>
      </c>
      <c r="F687" t="s">
        <v>225</v>
      </c>
      <c r="G687" t="s">
        <v>1209</v>
      </c>
      <c r="H687">
        <v>3</v>
      </c>
      <c r="J687" t="s">
        <v>1076</v>
      </c>
      <c r="K687">
        <v>3</v>
      </c>
      <c r="L687">
        <v>205.8</v>
      </c>
      <c r="M687">
        <v>566</v>
      </c>
      <c r="N687" t="s">
        <v>1209</v>
      </c>
      <c r="O687">
        <v>758</v>
      </c>
    </row>
    <row r="688" spans="1:15" x14ac:dyDescent="0.35">
      <c r="A688">
        <v>2019</v>
      </c>
      <c r="B688">
        <v>11</v>
      </c>
      <c r="C688">
        <v>27</v>
      </c>
      <c r="D688">
        <v>38</v>
      </c>
      <c r="E688">
        <v>4</v>
      </c>
      <c r="F688" t="s">
        <v>45</v>
      </c>
      <c r="G688" t="s">
        <v>1208</v>
      </c>
      <c r="H688">
        <v>8</v>
      </c>
      <c r="J688" t="s">
        <v>317</v>
      </c>
      <c r="K688" t="s">
        <v>317</v>
      </c>
      <c r="L688">
        <v>187.2</v>
      </c>
      <c r="M688">
        <v>568</v>
      </c>
      <c r="N688" t="s">
        <v>1210</v>
      </c>
      <c r="O688">
        <v>38</v>
      </c>
    </row>
    <row r="689" spans="1:16" x14ac:dyDescent="0.35">
      <c r="A689">
        <v>2016</v>
      </c>
      <c r="B689">
        <v>11</v>
      </c>
      <c r="C689">
        <v>7</v>
      </c>
      <c r="D689">
        <v>205</v>
      </c>
      <c r="E689">
        <v>4</v>
      </c>
      <c r="F689" t="s">
        <v>45</v>
      </c>
      <c r="G689" t="s">
        <v>1215</v>
      </c>
      <c r="H689">
        <v>7</v>
      </c>
      <c r="J689" t="s">
        <v>657</v>
      </c>
      <c r="K689" t="s">
        <v>488</v>
      </c>
      <c r="L689">
        <v>197.1</v>
      </c>
      <c r="M689">
        <v>568</v>
      </c>
      <c r="N689" t="s">
        <v>1210</v>
      </c>
      <c r="O689">
        <v>205</v>
      </c>
    </row>
    <row r="690" spans="1:16" x14ac:dyDescent="0.35">
      <c r="A690">
        <v>2017</v>
      </c>
      <c r="B690">
        <v>7</v>
      </c>
      <c r="C690">
        <v>8</v>
      </c>
      <c r="D690">
        <v>92</v>
      </c>
      <c r="E690">
        <v>3</v>
      </c>
      <c r="F690" t="s">
        <v>41</v>
      </c>
      <c r="G690" t="s">
        <v>1207</v>
      </c>
      <c r="H690">
        <v>4</v>
      </c>
      <c r="J690" t="s">
        <v>318</v>
      </c>
      <c r="K690" t="s">
        <v>318</v>
      </c>
      <c r="L690">
        <v>168.6</v>
      </c>
      <c r="M690">
        <v>570</v>
      </c>
      <c r="N690" t="s">
        <v>1208</v>
      </c>
      <c r="O690">
        <v>92</v>
      </c>
    </row>
    <row r="691" spans="1:16" x14ac:dyDescent="0.35">
      <c r="A691">
        <v>2016</v>
      </c>
      <c r="B691">
        <v>11</v>
      </c>
      <c r="C691">
        <v>8</v>
      </c>
      <c r="D691">
        <v>195</v>
      </c>
      <c r="E691">
        <v>4</v>
      </c>
      <c r="F691" t="s">
        <v>45</v>
      </c>
      <c r="G691" t="s">
        <v>1208</v>
      </c>
      <c r="H691">
        <v>5</v>
      </c>
      <c r="J691" t="s">
        <v>647</v>
      </c>
      <c r="K691" t="s">
        <v>317</v>
      </c>
      <c r="L691">
        <v>199.7</v>
      </c>
      <c r="M691">
        <v>570</v>
      </c>
      <c r="N691" t="s">
        <v>1210</v>
      </c>
      <c r="O691">
        <v>195</v>
      </c>
    </row>
    <row r="692" spans="1:16" x14ac:dyDescent="0.35">
      <c r="A692">
        <v>2023</v>
      </c>
      <c r="B692">
        <v>7</v>
      </c>
      <c r="C692">
        <v>31</v>
      </c>
      <c r="D692">
        <v>417</v>
      </c>
      <c r="E692">
        <v>3</v>
      </c>
      <c r="F692" t="s">
        <v>225</v>
      </c>
      <c r="G692" t="s">
        <v>1216</v>
      </c>
      <c r="H692">
        <v>1</v>
      </c>
      <c r="J692" t="s">
        <v>58</v>
      </c>
      <c r="K692">
        <v>2</v>
      </c>
      <c r="L692">
        <v>20.6</v>
      </c>
      <c r="M692">
        <v>571.5</v>
      </c>
      <c r="N692" t="s">
        <v>1209</v>
      </c>
      <c r="O692">
        <v>417</v>
      </c>
    </row>
    <row r="693" spans="1:16" x14ac:dyDescent="0.35">
      <c r="A693">
        <v>2022</v>
      </c>
      <c r="B693">
        <v>1</v>
      </c>
      <c r="C693" t="s">
        <v>28</v>
      </c>
      <c r="D693">
        <v>9</v>
      </c>
      <c r="E693">
        <v>1</v>
      </c>
      <c r="F693" t="s">
        <v>41</v>
      </c>
      <c r="G693" t="s">
        <v>1207</v>
      </c>
      <c r="H693">
        <v>9</v>
      </c>
      <c r="J693" t="s">
        <v>318</v>
      </c>
      <c r="K693" t="s">
        <v>318</v>
      </c>
      <c r="L693">
        <v>25</v>
      </c>
      <c r="M693">
        <v>572</v>
      </c>
      <c r="N693" t="s">
        <v>1208</v>
      </c>
      <c r="O693">
        <v>9</v>
      </c>
    </row>
    <row r="694" spans="1:16" x14ac:dyDescent="0.35">
      <c r="A694">
        <v>2016</v>
      </c>
      <c r="B694">
        <v>11</v>
      </c>
      <c r="C694">
        <v>8</v>
      </c>
      <c r="D694">
        <v>189</v>
      </c>
      <c r="E694">
        <v>4</v>
      </c>
      <c r="F694" t="s">
        <v>45</v>
      </c>
      <c r="G694" t="s">
        <v>1208</v>
      </c>
      <c r="H694">
        <v>5</v>
      </c>
      <c r="J694" t="s">
        <v>46</v>
      </c>
      <c r="K694" t="s">
        <v>317</v>
      </c>
      <c r="L694">
        <v>188.3</v>
      </c>
      <c r="M694">
        <v>572</v>
      </c>
      <c r="N694" t="s">
        <v>1210</v>
      </c>
      <c r="O694">
        <v>189</v>
      </c>
    </row>
    <row r="695" spans="1:16" x14ac:dyDescent="0.35">
      <c r="A695">
        <v>2021</v>
      </c>
      <c r="B695">
        <v>10</v>
      </c>
      <c r="C695">
        <v>11</v>
      </c>
      <c r="D695">
        <v>476</v>
      </c>
      <c r="E695">
        <v>4</v>
      </c>
      <c r="F695" t="s">
        <v>226</v>
      </c>
      <c r="G695" t="s">
        <v>1214</v>
      </c>
      <c r="H695">
        <v>3</v>
      </c>
      <c r="J695" t="s">
        <v>51</v>
      </c>
      <c r="K695" t="s">
        <v>929</v>
      </c>
      <c r="L695">
        <v>185</v>
      </c>
      <c r="M695">
        <v>572</v>
      </c>
      <c r="N695" t="s">
        <v>1211</v>
      </c>
      <c r="O695">
        <v>476</v>
      </c>
    </row>
    <row r="696" spans="1:16" x14ac:dyDescent="0.35">
      <c r="A696">
        <v>2024</v>
      </c>
      <c r="B696">
        <v>3</v>
      </c>
      <c r="C696">
        <v>29</v>
      </c>
      <c r="D696">
        <v>663</v>
      </c>
      <c r="E696">
        <v>2</v>
      </c>
      <c r="F696" t="s">
        <v>41</v>
      </c>
      <c r="G696" t="s">
        <v>1212</v>
      </c>
      <c r="H696">
        <v>12</v>
      </c>
      <c r="J696" t="s">
        <v>551</v>
      </c>
      <c r="K696" t="s">
        <v>461</v>
      </c>
      <c r="L696">
        <v>208.4</v>
      </c>
      <c r="M696">
        <v>573</v>
      </c>
      <c r="N696" t="s">
        <v>1208</v>
      </c>
      <c r="O696">
        <v>663</v>
      </c>
    </row>
    <row r="697" spans="1:16" x14ac:dyDescent="0.35">
      <c r="A697">
        <v>2019</v>
      </c>
      <c r="B697">
        <v>10</v>
      </c>
      <c r="C697">
        <v>29</v>
      </c>
      <c r="D697">
        <v>405</v>
      </c>
      <c r="E697">
        <v>4</v>
      </c>
      <c r="F697" t="s">
        <v>226</v>
      </c>
      <c r="G697" t="s">
        <v>1211</v>
      </c>
      <c r="H697">
        <v>2</v>
      </c>
      <c r="J697">
        <v>7</v>
      </c>
      <c r="K697">
        <v>7</v>
      </c>
      <c r="L697">
        <v>164.8</v>
      </c>
      <c r="M697">
        <v>574</v>
      </c>
      <c r="N697" t="s">
        <v>1211</v>
      </c>
      <c r="O697">
        <v>405</v>
      </c>
    </row>
    <row r="698" spans="1:16" x14ac:dyDescent="0.35">
      <c r="A698">
        <v>2024</v>
      </c>
      <c r="B698">
        <v>8</v>
      </c>
      <c r="C698">
        <v>9</v>
      </c>
      <c r="D698">
        <v>856</v>
      </c>
      <c r="E698">
        <v>3</v>
      </c>
      <c r="F698" t="s">
        <v>41</v>
      </c>
      <c r="G698" t="s">
        <v>1207</v>
      </c>
      <c r="H698">
        <v>11</v>
      </c>
      <c r="J698" t="s">
        <v>42</v>
      </c>
      <c r="K698" t="s">
        <v>318</v>
      </c>
      <c r="L698">
        <v>210.7</v>
      </c>
      <c r="M698">
        <v>574</v>
      </c>
      <c r="N698" t="s">
        <v>1208</v>
      </c>
      <c r="O698">
        <v>856</v>
      </c>
    </row>
    <row r="699" spans="1:16" x14ac:dyDescent="0.35">
      <c r="A699">
        <v>2016</v>
      </c>
      <c r="B699">
        <v>8</v>
      </c>
      <c r="C699">
        <v>30</v>
      </c>
      <c r="D699">
        <v>269</v>
      </c>
      <c r="E699">
        <v>3</v>
      </c>
      <c r="F699" t="s">
        <v>45</v>
      </c>
      <c r="G699" t="s">
        <v>1215</v>
      </c>
      <c r="H699">
        <v>7</v>
      </c>
      <c r="J699" t="s">
        <v>731</v>
      </c>
      <c r="K699" t="s">
        <v>512</v>
      </c>
      <c r="L699">
        <v>202.3</v>
      </c>
      <c r="M699">
        <v>575</v>
      </c>
      <c r="N699" t="s">
        <v>1210</v>
      </c>
      <c r="O699">
        <v>269</v>
      </c>
    </row>
    <row r="700" spans="1:16" x14ac:dyDescent="0.35">
      <c r="A700">
        <v>2024</v>
      </c>
      <c r="B700">
        <v>8</v>
      </c>
      <c r="C700">
        <v>19</v>
      </c>
      <c r="D700">
        <v>824</v>
      </c>
      <c r="E700">
        <v>3</v>
      </c>
      <c r="F700" t="s">
        <v>225</v>
      </c>
      <c r="G700" t="s">
        <v>1209</v>
      </c>
      <c r="H700">
        <v>3</v>
      </c>
      <c r="J700">
        <v>3</v>
      </c>
      <c r="K700">
        <v>3</v>
      </c>
      <c r="L700">
        <v>217.5</v>
      </c>
      <c r="M700">
        <v>575</v>
      </c>
      <c r="N700" t="s">
        <v>1209</v>
      </c>
      <c r="O700">
        <v>824</v>
      </c>
    </row>
    <row r="701" spans="1:16" x14ac:dyDescent="0.35">
      <c r="A701">
        <v>2024</v>
      </c>
      <c r="B701">
        <v>8</v>
      </c>
      <c r="C701">
        <v>16</v>
      </c>
      <c r="D701">
        <v>859</v>
      </c>
      <c r="E701">
        <v>3</v>
      </c>
      <c r="F701" t="s">
        <v>225</v>
      </c>
      <c r="G701" t="s">
        <v>1216</v>
      </c>
      <c r="H701">
        <v>2</v>
      </c>
      <c r="J701" t="s">
        <v>896</v>
      </c>
      <c r="K701">
        <v>5</v>
      </c>
      <c r="L701">
        <v>196</v>
      </c>
      <c r="M701">
        <v>575</v>
      </c>
      <c r="N701" t="s">
        <v>1209</v>
      </c>
      <c r="O701">
        <v>859</v>
      </c>
    </row>
    <row r="702" spans="1:16" x14ac:dyDescent="0.35">
      <c r="A702">
        <v>2018</v>
      </c>
      <c r="B702">
        <v>8</v>
      </c>
      <c r="C702">
        <v>16</v>
      </c>
      <c r="D702">
        <v>326</v>
      </c>
      <c r="E702">
        <v>3</v>
      </c>
      <c r="F702" t="s">
        <v>45</v>
      </c>
      <c r="G702" t="s">
        <v>1208</v>
      </c>
      <c r="H702">
        <v>7</v>
      </c>
      <c r="J702" t="s">
        <v>647</v>
      </c>
      <c r="K702" t="s">
        <v>317</v>
      </c>
      <c r="L702">
        <v>157.69999999999999</v>
      </c>
      <c r="M702">
        <v>576</v>
      </c>
      <c r="N702" t="s">
        <v>1210</v>
      </c>
      <c r="O702">
        <v>326</v>
      </c>
    </row>
    <row r="703" spans="1:16" x14ac:dyDescent="0.35">
      <c r="A703">
        <v>2023</v>
      </c>
      <c r="B703">
        <v>2</v>
      </c>
      <c r="C703">
        <v>8</v>
      </c>
      <c r="D703">
        <v>160</v>
      </c>
      <c r="E703">
        <v>1</v>
      </c>
      <c r="F703" t="s">
        <v>225</v>
      </c>
      <c r="G703" t="s">
        <v>1216</v>
      </c>
      <c r="H703">
        <v>1</v>
      </c>
      <c r="J703">
        <v>5</v>
      </c>
      <c r="K703">
        <v>5</v>
      </c>
      <c r="L703">
        <v>221.8</v>
      </c>
      <c r="M703">
        <v>577</v>
      </c>
      <c r="N703" t="s">
        <v>1209</v>
      </c>
      <c r="O703">
        <v>160</v>
      </c>
    </row>
    <row r="704" spans="1:16" x14ac:dyDescent="0.35">
      <c r="A704">
        <v>2016</v>
      </c>
      <c r="B704">
        <v>8</v>
      </c>
      <c r="C704">
        <v>31</v>
      </c>
      <c r="D704">
        <v>275</v>
      </c>
      <c r="E704">
        <v>3</v>
      </c>
      <c r="F704" t="s">
        <v>45</v>
      </c>
      <c r="G704" t="s">
        <v>1215</v>
      </c>
      <c r="H704">
        <v>7</v>
      </c>
      <c r="J704" t="s">
        <v>644</v>
      </c>
      <c r="K704" t="s">
        <v>488</v>
      </c>
      <c r="L704">
        <v>188.6</v>
      </c>
      <c r="M704">
        <v>580</v>
      </c>
      <c r="N704" t="s">
        <v>1210</v>
      </c>
      <c r="O704">
        <v>275</v>
      </c>
      <c r="P704">
        <v>6.99</v>
      </c>
    </row>
    <row r="705" spans="1:16" x14ac:dyDescent="0.35">
      <c r="A705">
        <v>2017</v>
      </c>
      <c r="B705">
        <v>11</v>
      </c>
      <c r="C705">
        <v>13</v>
      </c>
      <c r="D705">
        <v>69</v>
      </c>
      <c r="E705">
        <v>4</v>
      </c>
      <c r="F705" t="s">
        <v>41</v>
      </c>
      <c r="G705" t="s">
        <v>1207</v>
      </c>
      <c r="H705">
        <v>4</v>
      </c>
      <c r="J705" t="s">
        <v>42</v>
      </c>
      <c r="K705" t="s">
        <v>318</v>
      </c>
      <c r="L705">
        <v>189.4</v>
      </c>
      <c r="M705">
        <v>580</v>
      </c>
      <c r="N705" t="s">
        <v>1208</v>
      </c>
      <c r="O705">
        <v>69</v>
      </c>
      <c r="P705">
        <v>3.86</v>
      </c>
    </row>
    <row r="706" spans="1:16" x14ac:dyDescent="0.35">
      <c r="A706">
        <v>2018</v>
      </c>
      <c r="B706">
        <v>8</v>
      </c>
      <c r="C706">
        <v>15</v>
      </c>
      <c r="D706">
        <v>307</v>
      </c>
      <c r="E706">
        <v>3</v>
      </c>
      <c r="F706" t="s">
        <v>41</v>
      </c>
      <c r="G706" t="s">
        <v>1207</v>
      </c>
      <c r="H706">
        <v>5</v>
      </c>
      <c r="J706" t="s">
        <v>49</v>
      </c>
      <c r="K706" t="s">
        <v>318</v>
      </c>
      <c r="L706">
        <v>199.3</v>
      </c>
      <c r="M706">
        <v>584</v>
      </c>
      <c r="N706" t="s">
        <v>1208</v>
      </c>
      <c r="O706">
        <v>307</v>
      </c>
    </row>
    <row r="707" spans="1:16" x14ac:dyDescent="0.35">
      <c r="A707">
        <v>2021</v>
      </c>
      <c r="B707">
        <v>10</v>
      </c>
      <c r="C707" t="s">
        <v>28</v>
      </c>
      <c r="D707">
        <v>27</v>
      </c>
      <c r="E707">
        <v>4</v>
      </c>
      <c r="F707" t="s">
        <v>41</v>
      </c>
      <c r="G707" t="s">
        <v>1212</v>
      </c>
      <c r="H707">
        <v>9</v>
      </c>
      <c r="J707" t="s">
        <v>461</v>
      </c>
      <c r="K707" t="s">
        <v>461</v>
      </c>
      <c r="L707">
        <v>205.7</v>
      </c>
      <c r="M707">
        <v>587</v>
      </c>
      <c r="N707" t="s">
        <v>1208</v>
      </c>
      <c r="O707">
        <v>27</v>
      </c>
    </row>
    <row r="708" spans="1:16" x14ac:dyDescent="0.35">
      <c r="A708">
        <v>2024</v>
      </c>
      <c r="B708">
        <v>8</v>
      </c>
      <c r="C708">
        <v>19</v>
      </c>
      <c r="D708">
        <v>821</v>
      </c>
      <c r="E708">
        <v>3</v>
      </c>
      <c r="F708" t="s">
        <v>225</v>
      </c>
      <c r="G708" t="s">
        <v>1209</v>
      </c>
      <c r="H708">
        <v>3</v>
      </c>
      <c r="J708">
        <v>3</v>
      </c>
      <c r="K708">
        <v>3</v>
      </c>
      <c r="L708">
        <v>243.9</v>
      </c>
      <c r="M708">
        <v>587</v>
      </c>
      <c r="N708" t="s">
        <v>1209</v>
      </c>
      <c r="O708">
        <v>821</v>
      </c>
    </row>
    <row r="709" spans="1:16" x14ac:dyDescent="0.35">
      <c r="A709">
        <v>2021</v>
      </c>
      <c r="B709" t="s">
        <v>28</v>
      </c>
      <c r="C709" t="s">
        <v>28</v>
      </c>
      <c r="D709">
        <v>475</v>
      </c>
      <c r="E709" t="s">
        <v>28</v>
      </c>
      <c r="F709" t="s">
        <v>226</v>
      </c>
      <c r="G709" t="s">
        <v>1214</v>
      </c>
      <c r="H709">
        <v>3</v>
      </c>
      <c r="J709" t="s">
        <v>51</v>
      </c>
      <c r="K709" t="s">
        <v>916</v>
      </c>
      <c r="L709">
        <v>235</v>
      </c>
      <c r="M709">
        <v>588</v>
      </c>
      <c r="N709" t="s">
        <v>1211</v>
      </c>
      <c r="O709">
        <v>475</v>
      </c>
    </row>
    <row r="710" spans="1:16" x14ac:dyDescent="0.35">
      <c r="A710">
        <v>2024</v>
      </c>
      <c r="B710">
        <v>8</v>
      </c>
      <c r="C710">
        <v>14</v>
      </c>
      <c r="D710">
        <v>696</v>
      </c>
      <c r="E710">
        <v>3</v>
      </c>
      <c r="F710" t="s">
        <v>225</v>
      </c>
      <c r="G710" t="s">
        <v>1209</v>
      </c>
      <c r="H710">
        <v>3</v>
      </c>
      <c r="J710" t="s">
        <v>1018</v>
      </c>
      <c r="K710">
        <v>1</v>
      </c>
      <c r="L710">
        <v>179.2</v>
      </c>
      <c r="M710">
        <v>588</v>
      </c>
      <c r="N710" t="s">
        <v>1209</v>
      </c>
      <c r="O710">
        <v>696</v>
      </c>
    </row>
    <row r="711" spans="1:16" x14ac:dyDescent="0.35">
      <c r="A711">
        <v>2019</v>
      </c>
      <c r="B711">
        <v>11</v>
      </c>
      <c r="C711">
        <v>27</v>
      </c>
      <c r="D711">
        <v>41</v>
      </c>
      <c r="E711">
        <v>4</v>
      </c>
      <c r="F711" t="s">
        <v>45</v>
      </c>
      <c r="G711" t="s">
        <v>1208</v>
      </c>
      <c r="H711">
        <v>8</v>
      </c>
      <c r="J711" t="s">
        <v>317</v>
      </c>
      <c r="K711" t="s">
        <v>317</v>
      </c>
      <c r="L711">
        <v>229.6</v>
      </c>
      <c r="M711">
        <v>591</v>
      </c>
      <c r="N711" t="s">
        <v>1210</v>
      </c>
      <c r="O711">
        <v>41</v>
      </c>
    </row>
    <row r="712" spans="1:16" x14ac:dyDescent="0.35">
      <c r="A712">
        <v>2023</v>
      </c>
      <c r="B712">
        <v>7</v>
      </c>
      <c r="C712">
        <v>31</v>
      </c>
      <c r="D712">
        <v>416</v>
      </c>
      <c r="E712">
        <v>3</v>
      </c>
      <c r="F712" t="s">
        <v>225</v>
      </c>
      <c r="G712" t="s">
        <v>1216</v>
      </c>
      <c r="H712">
        <v>1</v>
      </c>
      <c r="J712" t="s">
        <v>58</v>
      </c>
      <c r="K712">
        <v>2</v>
      </c>
      <c r="L712">
        <v>24.9</v>
      </c>
      <c r="M712">
        <v>591</v>
      </c>
      <c r="N712" t="s">
        <v>1209</v>
      </c>
      <c r="O712">
        <v>416</v>
      </c>
    </row>
    <row r="713" spans="1:16" x14ac:dyDescent="0.35">
      <c r="A713">
        <v>2022</v>
      </c>
      <c r="B713">
        <v>3</v>
      </c>
      <c r="C713" t="s">
        <v>28</v>
      </c>
      <c r="D713">
        <v>37</v>
      </c>
      <c r="E713">
        <v>2</v>
      </c>
      <c r="F713" t="s">
        <v>20</v>
      </c>
      <c r="G713" t="s">
        <v>1214</v>
      </c>
      <c r="H713">
        <v>4</v>
      </c>
      <c r="J713">
        <v>6</v>
      </c>
      <c r="K713">
        <v>6</v>
      </c>
      <c r="L713">
        <v>297.3</v>
      </c>
      <c r="M713">
        <v>592</v>
      </c>
      <c r="N713" t="s">
        <v>1214</v>
      </c>
      <c r="O713">
        <v>37</v>
      </c>
    </row>
    <row r="714" spans="1:16" x14ac:dyDescent="0.35">
      <c r="A714">
        <v>2019</v>
      </c>
      <c r="B714">
        <v>8</v>
      </c>
      <c r="C714">
        <v>6</v>
      </c>
      <c r="D714">
        <v>317</v>
      </c>
      <c r="E714">
        <v>3</v>
      </c>
      <c r="F714" t="s">
        <v>226</v>
      </c>
      <c r="G714" t="s">
        <v>1211</v>
      </c>
      <c r="H714">
        <v>2</v>
      </c>
      <c r="J714" t="s">
        <v>783</v>
      </c>
      <c r="K714">
        <v>7</v>
      </c>
      <c r="L714">
        <v>173.3</v>
      </c>
      <c r="M714">
        <v>593</v>
      </c>
      <c r="N714" t="s">
        <v>1211</v>
      </c>
      <c r="O714">
        <v>317</v>
      </c>
    </row>
    <row r="715" spans="1:16" x14ac:dyDescent="0.35">
      <c r="A715">
        <v>2024</v>
      </c>
      <c r="B715">
        <v>3</v>
      </c>
      <c r="C715">
        <v>28</v>
      </c>
      <c r="D715">
        <v>682</v>
      </c>
      <c r="E715">
        <v>2</v>
      </c>
      <c r="F715" t="s">
        <v>41</v>
      </c>
      <c r="G715" t="s">
        <v>1207</v>
      </c>
      <c r="H715">
        <v>11</v>
      </c>
      <c r="J715" t="s">
        <v>583</v>
      </c>
      <c r="K715" t="s">
        <v>318</v>
      </c>
      <c r="L715">
        <v>201.4</v>
      </c>
      <c r="M715">
        <v>595</v>
      </c>
      <c r="N715" t="s">
        <v>1208</v>
      </c>
      <c r="O715">
        <v>682</v>
      </c>
    </row>
    <row r="716" spans="1:16" x14ac:dyDescent="0.35">
      <c r="A716">
        <v>2022</v>
      </c>
      <c r="B716">
        <v>1</v>
      </c>
      <c r="C716" t="s">
        <v>28</v>
      </c>
      <c r="D716">
        <v>21</v>
      </c>
      <c r="E716">
        <v>1</v>
      </c>
      <c r="F716" t="s">
        <v>20</v>
      </c>
      <c r="G716" t="s">
        <v>1213</v>
      </c>
      <c r="H716">
        <v>2</v>
      </c>
      <c r="J716">
        <v>8</v>
      </c>
      <c r="K716">
        <v>8</v>
      </c>
      <c r="L716">
        <v>244.1</v>
      </c>
      <c r="M716">
        <v>596</v>
      </c>
      <c r="N716" t="s">
        <v>1214</v>
      </c>
      <c r="O716">
        <v>21</v>
      </c>
    </row>
    <row r="717" spans="1:16" x14ac:dyDescent="0.35">
      <c r="A717">
        <v>2016</v>
      </c>
      <c r="B717">
        <v>11</v>
      </c>
      <c r="C717">
        <v>7</v>
      </c>
      <c r="D717">
        <v>226</v>
      </c>
      <c r="E717">
        <v>4</v>
      </c>
      <c r="F717" t="s">
        <v>45</v>
      </c>
      <c r="G717" t="s">
        <v>1215</v>
      </c>
      <c r="H717">
        <v>7</v>
      </c>
      <c r="J717" t="s">
        <v>671</v>
      </c>
      <c r="K717" t="s">
        <v>512</v>
      </c>
      <c r="L717">
        <v>211.2</v>
      </c>
      <c r="M717">
        <v>597</v>
      </c>
      <c r="N717" t="s">
        <v>1210</v>
      </c>
      <c r="O717">
        <v>226</v>
      </c>
    </row>
    <row r="718" spans="1:16" x14ac:dyDescent="0.35">
      <c r="A718">
        <v>2023</v>
      </c>
      <c r="B718">
        <v>6</v>
      </c>
      <c r="C718">
        <v>18</v>
      </c>
      <c r="D718">
        <v>338</v>
      </c>
      <c r="E718">
        <v>3</v>
      </c>
      <c r="F718" t="s">
        <v>41</v>
      </c>
      <c r="G718" t="s">
        <v>1207</v>
      </c>
      <c r="H718">
        <v>10</v>
      </c>
      <c r="J718" t="s">
        <v>755</v>
      </c>
      <c r="K718" t="s">
        <v>458</v>
      </c>
      <c r="L718">
        <v>199.4</v>
      </c>
      <c r="M718">
        <v>597</v>
      </c>
      <c r="N718" t="s">
        <v>1208</v>
      </c>
      <c r="O718">
        <v>338</v>
      </c>
    </row>
    <row r="719" spans="1:16" x14ac:dyDescent="0.35">
      <c r="A719">
        <v>2023</v>
      </c>
      <c r="B719">
        <v>6</v>
      </c>
      <c r="C719">
        <v>18</v>
      </c>
      <c r="D719">
        <v>338</v>
      </c>
      <c r="E719">
        <v>3</v>
      </c>
      <c r="F719" t="s">
        <v>41</v>
      </c>
      <c r="G719" t="s">
        <v>1207</v>
      </c>
      <c r="H719">
        <v>10</v>
      </c>
      <c r="J719" t="s">
        <v>755</v>
      </c>
      <c r="K719" t="s">
        <v>458</v>
      </c>
      <c r="L719">
        <v>199.4</v>
      </c>
      <c r="M719">
        <v>597</v>
      </c>
      <c r="N719" t="s">
        <v>1208</v>
      </c>
      <c r="O719">
        <v>338</v>
      </c>
    </row>
    <row r="720" spans="1:16" x14ac:dyDescent="0.35">
      <c r="A720">
        <v>2023</v>
      </c>
      <c r="B720">
        <v>6</v>
      </c>
      <c r="C720">
        <v>18</v>
      </c>
      <c r="D720">
        <v>338</v>
      </c>
      <c r="E720">
        <v>3</v>
      </c>
      <c r="F720" t="s">
        <v>41</v>
      </c>
      <c r="G720" t="s">
        <v>1207</v>
      </c>
      <c r="H720">
        <v>10</v>
      </c>
      <c r="J720" t="s">
        <v>755</v>
      </c>
      <c r="K720" t="s">
        <v>458</v>
      </c>
      <c r="L720">
        <v>199.4</v>
      </c>
      <c r="M720">
        <v>597</v>
      </c>
      <c r="N720" t="s">
        <v>1208</v>
      </c>
      <c r="O720">
        <v>338</v>
      </c>
    </row>
    <row r="721" spans="1:15" x14ac:dyDescent="0.35">
      <c r="A721">
        <v>2023</v>
      </c>
      <c r="B721">
        <v>6</v>
      </c>
      <c r="C721">
        <v>18</v>
      </c>
      <c r="D721">
        <v>338</v>
      </c>
      <c r="E721">
        <v>3</v>
      </c>
      <c r="F721" t="s">
        <v>41</v>
      </c>
      <c r="G721" t="s">
        <v>1207</v>
      </c>
      <c r="H721">
        <v>10</v>
      </c>
      <c r="J721" t="s">
        <v>755</v>
      </c>
      <c r="K721" t="s">
        <v>458</v>
      </c>
      <c r="L721">
        <v>199.4</v>
      </c>
      <c r="M721">
        <v>597</v>
      </c>
      <c r="N721" t="s">
        <v>1208</v>
      </c>
      <c r="O721">
        <v>338</v>
      </c>
    </row>
    <row r="722" spans="1:15" x14ac:dyDescent="0.35">
      <c r="A722">
        <v>2023</v>
      </c>
      <c r="B722">
        <v>6</v>
      </c>
      <c r="C722">
        <v>18</v>
      </c>
      <c r="D722">
        <v>338</v>
      </c>
      <c r="E722">
        <v>3</v>
      </c>
      <c r="F722" t="s">
        <v>41</v>
      </c>
      <c r="G722" t="s">
        <v>1207</v>
      </c>
      <c r="H722">
        <v>10</v>
      </c>
      <c r="J722" t="s">
        <v>755</v>
      </c>
      <c r="K722" t="s">
        <v>458</v>
      </c>
      <c r="L722">
        <v>199.4</v>
      </c>
      <c r="M722">
        <v>597</v>
      </c>
      <c r="N722" t="s">
        <v>1208</v>
      </c>
      <c r="O722">
        <v>338</v>
      </c>
    </row>
    <row r="723" spans="1:15" x14ac:dyDescent="0.35">
      <c r="A723">
        <v>2023</v>
      </c>
      <c r="B723">
        <v>10</v>
      </c>
      <c r="C723">
        <v>31</v>
      </c>
      <c r="D723">
        <v>541</v>
      </c>
      <c r="E723">
        <v>4</v>
      </c>
      <c r="F723" t="s">
        <v>225</v>
      </c>
      <c r="G723" t="s">
        <v>1216</v>
      </c>
      <c r="H723">
        <v>1</v>
      </c>
      <c r="J723" t="s">
        <v>67</v>
      </c>
      <c r="K723">
        <v>2</v>
      </c>
      <c r="L723">
        <v>215.3</v>
      </c>
      <c r="M723">
        <v>597</v>
      </c>
      <c r="N723" t="s">
        <v>1209</v>
      </c>
      <c r="O723">
        <v>541</v>
      </c>
    </row>
    <row r="724" spans="1:15" x14ac:dyDescent="0.35">
      <c r="A724">
        <v>2024</v>
      </c>
      <c r="B724">
        <v>8</v>
      </c>
      <c r="C724">
        <v>15</v>
      </c>
      <c r="D724">
        <v>770</v>
      </c>
      <c r="E724">
        <v>3</v>
      </c>
      <c r="F724" t="s">
        <v>225</v>
      </c>
      <c r="G724" t="s">
        <v>1209</v>
      </c>
      <c r="H724">
        <v>3</v>
      </c>
      <c r="J724">
        <v>3</v>
      </c>
      <c r="K724">
        <v>3</v>
      </c>
      <c r="L724">
        <v>275.89999999999998</v>
      </c>
      <c r="M724">
        <v>597</v>
      </c>
      <c r="N724" t="s">
        <v>1209</v>
      </c>
      <c r="O724">
        <v>770</v>
      </c>
    </row>
    <row r="725" spans="1:15" x14ac:dyDescent="0.35">
      <c r="A725">
        <v>2016</v>
      </c>
      <c r="B725">
        <v>9</v>
      </c>
      <c r="C725">
        <v>1</v>
      </c>
      <c r="D725">
        <v>256</v>
      </c>
      <c r="E725">
        <v>3</v>
      </c>
      <c r="F725" t="s">
        <v>45</v>
      </c>
      <c r="G725" t="s">
        <v>1215</v>
      </c>
      <c r="H725">
        <v>7</v>
      </c>
      <c r="J725" t="s">
        <v>716</v>
      </c>
      <c r="K725" t="s">
        <v>512</v>
      </c>
      <c r="L725">
        <v>203.8</v>
      </c>
      <c r="M725">
        <v>598</v>
      </c>
      <c r="N725" t="s">
        <v>1210</v>
      </c>
      <c r="O725">
        <v>256</v>
      </c>
    </row>
    <row r="726" spans="1:15" x14ac:dyDescent="0.35">
      <c r="A726">
        <v>2016</v>
      </c>
      <c r="B726">
        <v>9</v>
      </c>
      <c r="C726">
        <v>1</v>
      </c>
      <c r="D726">
        <v>257</v>
      </c>
      <c r="E726">
        <v>3</v>
      </c>
      <c r="F726" t="s">
        <v>45</v>
      </c>
      <c r="G726" t="s">
        <v>1208</v>
      </c>
      <c r="H726">
        <v>5</v>
      </c>
      <c r="J726" t="s">
        <v>718</v>
      </c>
      <c r="K726" t="s">
        <v>317</v>
      </c>
      <c r="L726">
        <v>207.5</v>
      </c>
      <c r="M726">
        <v>598</v>
      </c>
      <c r="N726" t="s">
        <v>1210</v>
      </c>
      <c r="O726">
        <v>257</v>
      </c>
    </row>
    <row r="727" spans="1:15" x14ac:dyDescent="0.35">
      <c r="A727">
        <v>2023</v>
      </c>
      <c r="B727">
        <v>10</v>
      </c>
      <c r="C727">
        <v>31</v>
      </c>
      <c r="D727">
        <v>540</v>
      </c>
      <c r="E727">
        <v>4</v>
      </c>
      <c r="F727" t="s">
        <v>225</v>
      </c>
      <c r="G727" t="s">
        <v>1216</v>
      </c>
      <c r="H727">
        <v>1</v>
      </c>
      <c r="J727" t="s">
        <v>67</v>
      </c>
      <c r="K727">
        <v>2</v>
      </c>
      <c r="L727">
        <v>230.2</v>
      </c>
      <c r="M727">
        <v>600</v>
      </c>
      <c r="N727" t="s">
        <v>1209</v>
      </c>
      <c r="O727">
        <v>540</v>
      </c>
    </row>
    <row r="728" spans="1:15" x14ac:dyDescent="0.35">
      <c r="A728">
        <v>2024</v>
      </c>
      <c r="B728">
        <v>4</v>
      </c>
      <c r="C728">
        <v>5</v>
      </c>
      <c r="D728">
        <v>656</v>
      </c>
      <c r="E728">
        <v>2</v>
      </c>
      <c r="F728" t="s">
        <v>225</v>
      </c>
      <c r="G728" t="s">
        <v>1209</v>
      </c>
      <c r="H728">
        <v>3</v>
      </c>
      <c r="J728" t="s">
        <v>227</v>
      </c>
      <c r="K728">
        <v>4</v>
      </c>
      <c r="L728">
        <v>208.9</v>
      </c>
      <c r="M728">
        <v>600</v>
      </c>
      <c r="N728" t="s">
        <v>1209</v>
      </c>
      <c r="O728">
        <v>656</v>
      </c>
    </row>
    <row r="729" spans="1:15" x14ac:dyDescent="0.35">
      <c r="A729">
        <v>2024</v>
      </c>
      <c r="B729">
        <v>4</v>
      </c>
      <c r="C729">
        <v>5</v>
      </c>
      <c r="D729">
        <v>656</v>
      </c>
      <c r="E729">
        <v>2</v>
      </c>
      <c r="F729" t="s">
        <v>225</v>
      </c>
      <c r="G729" t="s">
        <v>1209</v>
      </c>
      <c r="H729">
        <v>3</v>
      </c>
      <c r="J729" t="s">
        <v>227</v>
      </c>
      <c r="K729">
        <v>4</v>
      </c>
      <c r="L729">
        <v>208.9</v>
      </c>
      <c r="M729">
        <v>600</v>
      </c>
      <c r="N729" t="s">
        <v>1209</v>
      </c>
      <c r="O729">
        <v>656</v>
      </c>
    </row>
    <row r="730" spans="1:15" x14ac:dyDescent="0.35">
      <c r="A730">
        <v>2024</v>
      </c>
      <c r="B730">
        <v>8</v>
      </c>
      <c r="C730">
        <v>19</v>
      </c>
      <c r="D730">
        <v>739</v>
      </c>
      <c r="E730">
        <v>3</v>
      </c>
      <c r="F730" t="s">
        <v>225</v>
      </c>
      <c r="G730" t="s">
        <v>1209</v>
      </c>
      <c r="H730">
        <v>3</v>
      </c>
      <c r="J730">
        <v>3</v>
      </c>
      <c r="K730">
        <v>3</v>
      </c>
      <c r="L730">
        <v>224.2</v>
      </c>
      <c r="M730">
        <v>600</v>
      </c>
      <c r="N730" t="s">
        <v>1209</v>
      </c>
      <c r="O730">
        <v>739</v>
      </c>
    </row>
    <row r="731" spans="1:15" x14ac:dyDescent="0.35">
      <c r="A731">
        <v>2016</v>
      </c>
      <c r="B731">
        <v>11</v>
      </c>
      <c r="C731">
        <v>7</v>
      </c>
      <c r="D731">
        <v>209</v>
      </c>
      <c r="E731">
        <v>4</v>
      </c>
      <c r="F731" t="s">
        <v>45</v>
      </c>
      <c r="G731" t="s">
        <v>1215</v>
      </c>
      <c r="H731">
        <v>7</v>
      </c>
      <c r="J731" t="s">
        <v>662</v>
      </c>
      <c r="K731" t="s">
        <v>488</v>
      </c>
      <c r="L731">
        <v>197.4</v>
      </c>
      <c r="M731">
        <v>601</v>
      </c>
      <c r="N731" t="s">
        <v>1210</v>
      </c>
      <c r="O731">
        <v>209</v>
      </c>
    </row>
    <row r="732" spans="1:15" x14ac:dyDescent="0.35">
      <c r="A732">
        <v>2023</v>
      </c>
      <c r="B732">
        <v>7</v>
      </c>
      <c r="C732">
        <v>19</v>
      </c>
      <c r="D732">
        <v>353</v>
      </c>
      <c r="E732">
        <v>3</v>
      </c>
      <c r="F732" t="s">
        <v>41</v>
      </c>
      <c r="G732" t="s">
        <v>1207</v>
      </c>
      <c r="H732">
        <v>10</v>
      </c>
      <c r="J732" t="s">
        <v>583</v>
      </c>
      <c r="K732" t="s">
        <v>318</v>
      </c>
      <c r="L732">
        <v>215.5</v>
      </c>
      <c r="M732">
        <v>602</v>
      </c>
      <c r="N732" t="s">
        <v>1208</v>
      </c>
      <c r="O732">
        <v>353</v>
      </c>
    </row>
    <row r="733" spans="1:15" x14ac:dyDescent="0.35">
      <c r="A733">
        <v>2016</v>
      </c>
      <c r="B733">
        <v>9</v>
      </c>
      <c r="C733">
        <v>1</v>
      </c>
      <c r="D733">
        <v>233</v>
      </c>
      <c r="E733">
        <v>3</v>
      </c>
      <c r="F733" t="s">
        <v>45</v>
      </c>
      <c r="G733" t="s">
        <v>1208</v>
      </c>
      <c r="H733">
        <v>5</v>
      </c>
      <c r="J733" t="s">
        <v>647</v>
      </c>
      <c r="K733" t="s">
        <v>317</v>
      </c>
      <c r="L733">
        <v>187.9</v>
      </c>
      <c r="M733">
        <v>603</v>
      </c>
      <c r="N733" t="s">
        <v>1210</v>
      </c>
      <c r="O733">
        <v>233</v>
      </c>
    </row>
    <row r="734" spans="1:15" x14ac:dyDescent="0.35">
      <c r="A734">
        <v>2021</v>
      </c>
      <c r="B734" t="s">
        <v>28</v>
      </c>
      <c r="C734" t="s">
        <v>28</v>
      </c>
      <c r="D734">
        <v>483</v>
      </c>
      <c r="E734" t="s">
        <v>28</v>
      </c>
      <c r="F734" t="s">
        <v>226</v>
      </c>
      <c r="G734" t="s">
        <v>1214</v>
      </c>
      <c r="H734">
        <v>3</v>
      </c>
      <c r="J734" t="s">
        <v>51</v>
      </c>
      <c r="K734" t="s">
        <v>929</v>
      </c>
      <c r="L734">
        <v>190</v>
      </c>
      <c r="M734">
        <v>603</v>
      </c>
      <c r="N734" t="s">
        <v>1211</v>
      </c>
      <c r="O734">
        <v>483</v>
      </c>
    </row>
    <row r="735" spans="1:15" x14ac:dyDescent="0.35">
      <c r="A735">
        <v>2021</v>
      </c>
      <c r="B735">
        <v>4</v>
      </c>
      <c r="C735">
        <v>13</v>
      </c>
      <c r="D735">
        <v>490</v>
      </c>
      <c r="E735">
        <v>2</v>
      </c>
      <c r="F735" t="s">
        <v>226</v>
      </c>
      <c r="G735" t="s">
        <v>1214</v>
      </c>
      <c r="H735">
        <v>3</v>
      </c>
      <c r="J735" t="s">
        <v>51</v>
      </c>
      <c r="K735" t="s">
        <v>944</v>
      </c>
      <c r="L735">
        <v>195</v>
      </c>
      <c r="M735">
        <v>603</v>
      </c>
      <c r="N735" t="s">
        <v>1211</v>
      </c>
      <c r="O735">
        <v>490</v>
      </c>
    </row>
    <row r="736" spans="1:15" x14ac:dyDescent="0.35">
      <c r="A736">
        <v>2016</v>
      </c>
      <c r="B736">
        <v>11</v>
      </c>
      <c r="C736">
        <v>8</v>
      </c>
      <c r="D736">
        <v>187</v>
      </c>
      <c r="E736">
        <v>4</v>
      </c>
      <c r="F736" t="s">
        <v>45</v>
      </c>
      <c r="G736" t="s">
        <v>1208</v>
      </c>
      <c r="H736">
        <v>5</v>
      </c>
      <c r="J736" t="s">
        <v>46</v>
      </c>
      <c r="K736" t="s">
        <v>317</v>
      </c>
      <c r="L736">
        <v>195.5</v>
      </c>
      <c r="M736">
        <v>606</v>
      </c>
      <c r="N736" t="s">
        <v>1210</v>
      </c>
      <c r="O736">
        <v>187</v>
      </c>
    </row>
    <row r="737" spans="1:15" x14ac:dyDescent="0.35">
      <c r="A737">
        <v>2019</v>
      </c>
      <c r="B737">
        <v>11</v>
      </c>
      <c r="C737">
        <v>27</v>
      </c>
      <c r="D737">
        <v>45</v>
      </c>
      <c r="E737">
        <v>4</v>
      </c>
      <c r="F737" t="s">
        <v>45</v>
      </c>
      <c r="G737" t="s">
        <v>1215</v>
      </c>
      <c r="H737">
        <v>10</v>
      </c>
      <c r="J737" t="s">
        <v>488</v>
      </c>
      <c r="K737" t="s">
        <v>488</v>
      </c>
      <c r="L737">
        <v>219.6</v>
      </c>
      <c r="M737">
        <v>608</v>
      </c>
      <c r="N737" t="s">
        <v>1210</v>
      </c>
      <c r="O737">
        <v>45</v>
      </c>
    </row>
    <row r="738" spans="1:15" x14ac:dyDescent="0.35">
      <c r="A738">
        <v>2023</v>
      </c>
      <c r="B738">
        <v>11</v>
      </c>
      <c r="C738">
        <v>7</v>
      </c>
      <c r="D738">
        <v>546</v>
      </c>
      <c r="E738">
        <v>4</v>
      </c>
      <c r="F738" t="s">
        <v>41</v>
      </c>
      <c r="G738" t="s">
        <v>1207</v>
      </c>
      <c r="H738">
        <v>10</v>
      </c>
      <c r="J738" t="s">
        <v>42</v>
      </c>
      <c r="K738" t="s">
        <v>318</v>
      </c>
      <c r="L738">
        <v>197.7</v>
      </c>
      <c r="M738">
        <v>608</v>
      </c>
      <c r="N738" t="s">
        <v>1208</v>
      </c>
      <c r="O738">
        <v>546</v>
      </c>
    </row>
    <row r="739" spans="1:15" x14ac:dyDescent="0.35">
      <c r="A739">
        <v>2016</v>
      </c>
      <c r="B739">
        <v>11</v>
      </c>
      <c r="C739">
        <v>7</v>
      </c>
      <c r="D739">
        <v>225</v>
      </c>
      <c r="E739">
        <v>4</v>
      </c>
      <c r="F739" t="s">
        <v>45</v>
      </c>
      <c r="G739" t="s">
        <v>1215</v>
      </c>
      <c r="H739">
        <v>7</v>
      </c>
      <c r="J739" t="s">
        <v>671</v>
      </c>
      <c r="K739" t="s">
        <v>512</v>
      </c>
      <c r="L739">
        <v>234.5</v>
      </c>
      <c r="M739">
        <v>610</v>
      </c>
      <c r="N739" t="s">
        <v>1210</v>
      </c>
      <c r="O739">
        <v>225</v>
      </c>
    </row>
    <row r="740" spans="1:15" x14ac:dyDescent="0.35">
      <c r="A740">
        <v>2016</v>
      </c>
      <c r="B740">
        <v>9</v>
      </c>
      <c r="C740">
        <v>1</v>
      </c>
      <c r="D740">
        <v>242</v>
      </c>
      <c r="E740">
        <v>3</v>
      </c>
      <c r="F740" t="s">
        <v>45</v>
      </c>
      <c r="G740" t="s">
        <v>1208</v>
      </c>
      <c r="H740">
        <v>5</v>
      </c>
      <c r="J740" t="s">
        <v>647</v>
      </c>
      <c r="K740" t="s">
        <v>317</v>
      </c>
      <c r="L740">
        <v>23</v>
      </c>
      <c r="M740">
        <v>610</v>
      </c>
      <c r="N740" t="s">
        <v>1210</v>
      </c>
      <c r="O740">
        <v>242</v>
      </c>
    </row>
    <row r="741" spans="1:15" x14ac:dyDescent="0.35">
      <c r="A741">
        <v>2023</v>
      </c>
      <c r="B741">
        <v>7</v>
      </c>
      <c r="C741">
        <v>21</v>
      </c>
      <c r="D741">
        <v>410</v>
      </c>
      <c r="E741">
        <v>3</v>
      </c>
      <c r="F741" t="s">
        <v>20</v>
      </c>
      <c r="G741" t="s">
        <v>1213</v>
      </c>
      <c r="H741">
        <v>3</v>
      </c>
      <c r="J741" t="s">
        <v>55</v>
      </c>
      <c r="K741">
        <v>8</v>
      </c>
      <c r="L741">
        <v>18.2</v>
      </c>
      <c r="M741">
        <v>610</v>
      </c>
      <c r="N741" t="s">
        <v>1214</v>
      </c>
      <c r="O741">
        <v>410</v>
      </c>
    </row>
    <row r="742" spans="1:15" x14ac:dyDescent="0.35">
      <c r="A742">
        <v>2024</v>
      </c>
      <c r="B742">
        <v>2</v>
      </c>
      <c r="C742">
        <v>23</v>
      </c>
      <c r="D742">
        <v>647</v>
      </c>
      <c r="E742">
        <v>1</v>
      </c>
      <c r="F742" t="s">
        <v>225</v>
      </c>
      <c r="G742" t="s">
        <v>1216</v>
      </c>
      <c r="H742">
        <v>2</v>
      </c>
      <c r="J742" t="s">
        <v>21</v>
      </c>
      <c r="K742">
        <v>2</v>
      </c>
      <c r="L742">
        <v>258.7</v>
      </c>
      <c r="M742">
        <v>610</v>
      </c>
      <c r="N742" t="s">
        <v>1209</v>
      </c>
      <c r="O742">
        <v>647</v>
      </c>
    </row>
    <row r="743" spans="1:15" x14ac:dyDescent="0.35">
      <c r="A743">
        <v>2024</v>
      </c>
      <c r="B743">
        <v>8</v>
      </c>
      <c r="C743">
        <v>20</v>
      </c>
      <c r="D743">
        <v>725</v>
      </c>
      <c r="E743">
        <v>3</v>
      </c>
      <c r="F743" t="s">
        <v>226</v>
      </c>
      <c r="G743" t="s">
        <v>1211</v>
      </c>
      <c r="H743">
        <v>7</v>
      </c>
      <c r="J743" t="s">
        <v>783</v>
      </c>
      <c r="K743">
        <v>7</v>
      </c>
      <c r="L743">
        <v>226.9</v>
      </c>
      <c r="M743">
        <v>610</v>
      </c>
      <c r="N743" t="s">
        <v>1211</v>
      </c>
      <c r="O743">
        <v>725</v>
      </c>
    </row>
    <row r="744" spans="1:15" x14ac:dyDescent="0.35">
      <c r="A744">
        <v>2023</v>
      </c>
      <c r="B744">
        <v>2</v>
      </c>
      <c r="C744">
        <v>13</v>
      </c>
      <c r="D744">
        <v>152</v>
      </c>
      <c r="E744">
        <v>1</v>
      </c>
      <c r="F744" t="s">
        <v>41</v>
      </c>
      <c r="G744" t="s">
        <v>1212</v>
      </c>
      <c r="H744">
        <v>11</v>
      </c>
      <c r="J744" t="s">
        <v>461</v>
      </c>
      <c r="K744" t="s">
        <v>461</v>
      </c>
      <c r="L744">
        <v>195.5</v>
      </c>
      <c r="M744">
        <v>613</v>
      </c>
      <c r="N744" t="s">
        <v>1208</v>
      </c>
      <c r="O744">
        <v>152</v>
      </c>
    </row>
    <row r="745" spans="1:15" x14ac:dyDescent="0.35">
      <c r="A745">
        <v>2023</v>
      </c>
      <c r="B745">
        <v>7</v>
      </c>
      <c r="C745">
        <v>17</v>
      </c>
      <c r="D745">
        <v>348</v>
      </c>
      <c r="E745">
        <v>3</v>
      </c>
      <c r="F745" t="s">
        <v>45</v>
      </c>
      <c r="G745" t="s">
        <v>1208</v>
      </c>
      <c r="H745">
        <v>12</v>
      </c>
      <c r="J745" t="s">
        <v>236</v>
      </c>
      <c r="K745" t="s">
        <v>317</v>
      </c>
      <c r="L745">
        <v>217.2</v>
      </c>
      <c r="M745">
        <v>613</v>
      </c>
      <c r="N745" t="s">
        <v>1210</v>
      </c>
      <c r="O745">
        <v>348</v>
      </c>
    </row>
    <row r="746" spans="1:15" x14ac:dyDescent="0.35">
      <c r="A746">
        <v>2023</v>
      </c>
      <c r="B746">
        <v>7</v>
      </c>
      <c r="C746">
        <v>19</v>
      </c>
      <c r="D746">
        <v>403</v>
      </c>
      <c r="E746">
        <v>3</v>
      </c>
      <c r="F746" t="s">
        <v>41</v>
      </c>
      <c r="G746" t="s">
        <v>1207</v>
      </c>
      <c r="H746">
        <v>10</v>
      </c>
      <c r="J746" t="s">
        <v>49</v>
      </c>
      <c r="K746" t="s">
        <v>318</v>
      </c>
      <c r="L746">
        <v>185.5</v>
      </c>
      <c r="M746">
        <v>613</v>
      </c>
      <c r="N746" t="s">
        <v>1208</v>
      </c>
      <c r="O746">
        <v>403</v>
      </c>
    </row>
    <row r="747" spans="1:15" x14ac:dyDescent="0.35">
      <c r="A747">
        <v>2024</v>
      </c>
      <c r="B747">
        <v>1</v>
      </c>
      <c r="C747">
        <v>22</v>
      </c>
      <c r="D747">
        <v>589</v>
      </c>
      <c r="E747">
        <v>1</v>
      </c>
      <c r="F747" t="s">
        <v>20</v>
      </c>
      <c r="G747" t="s">
        <v>1213</v>
      </c>
      <c r="H747">
        <v>4</v>
      </c>
      <c r="J747" t="s">
        <v>55</v>
      </c>
      <c r="K747">
        <v>8</v>
      </c>
      <c r="L747">
        <v>484.2</v>
      </c>
      <c r="M747">
        <v>615</v>
      </c>
      <c r="N747" t="s">
        <v>1214</v>
      </c>
      <c r="O747">
        <v>589</v>
      </c>
    </row>
    <row r="748" spans="1:15" x14ac:dyDescent="0.35">
      <c r="A748">
        <v>2024</v>
      </c>
      <c r="B748">
        <v>8</v>
      </c>
      <c r="C748">
        <v>19</v>
      </c>
      <c r="D748">
        <v>812</v>
      </c>
      <c r="E748">
        <v>3</v>
      </c>
      <c r="F748" t="s">
        <v>225</v>
      </c>
      <c r="G748" t="s">
        <v>1209</v>
      </c>
      <c r="H748">
        <v>3</v>
      </c>
      <c r="J748">
        <v>3</v>
      </c>
      <c r="K748">
        <v>3</v>
      </c>
      <c r="L748">
        <v>266.89999999999998</v>
      </c>
      <c r="M748">
        <v>615</v>
      </c>
      <c r="N748" t="s">
        <v>1209</v>
      </c>
      <c r="O748">
        <v>812</v>
      </c>
    </row>
    <row r="749" spans="1:15" x14ac:dyDescent="0.35">
      <c r="A749">
        <v>2024</v>
      </c>
      <c r="B749">
        <v>8</v>
      </c>
      <c r="C749">
        <v>19</v>
      </c>
      <c r="D749">
        <v>822</v>
      </c>
      <c r="E749">
        <v>3</v>
      </c>
      <c r="F749" t="s">
        <v>225</v>
      </c>
      <c r="G749" t="s">
        <v>1209</v>
      </c>
      <c r="H749">
        <v>3</v>
      </c>
      <c r="J749">
        <v>3</v>
      </c>
      <c r="K749">
        <v>3</v>
      </c>
      <c r="L749">
        <v>269.7</v>
      </c>
      <c r="M749">
        <v>615</v>
      </c>
      <c r="N749" t="s">
        <v>1209</v>
      </c>
      <c r="O749">
        <v>822</v>
      </c>
    </row>
    <row r="750" spans="1:15" x14ac:dyDescent="0.35">
      <c r="A750">
        <v>2019</v>
      </c>
      <c r="B750">
        <v>2</v>
      </c>
      <c r="C750">
        <v>21</v>
      </c>
      <c r="D750">
        <v>147</v>
      </c>
      <c r="E750">
        <v>1</v>
      </c>
      <c r="F750" t="s">
        <v>41</v>
      </c>
      <c r="G750" t="s">
        <v>1212</v>
      </c>
      <c r="H750">
        <v>7</v>
      </c>
      <c r="J750" t="s">
        <v>551</v>
      </c>
      <c r="K750" t="s">
        <v>461</v>
      </c>
      <c r="L750">
        <v>247.3</v>
      </c>
      <c r="M750">
        <v>616</v>
      </c>
      <c r="N750" t="s">
        <v>1208</v>
      </c>
      <c r="O750">
        <v>147</v>
      </c>
    </row>
    <row r="751" spans="1:15" x14ac:dyDescent="0.35">
      <c r="A751">
        <v>2019</v>
      </c>
      <c r="B751">
        <v>2</v>
      </c>
      <c r="C751">
        <v>21</v>
      </c>
      <c r="D751">
        <v>147</v>
      </c>
      <c r="E751">
        <v>1</v>
      </c>
      <c r="F751" t="s">
        <v>41</v>
      </c>
      <c r="G751" t="s">
        <v>1212</v>
      </c>
      <c r="H751">
        <v>7</v>
      </c>
      <c r="J751" t="s">
        <v>551</v>
      </c>
      <c r="K751" t="s">
        <v>461</v>
      </c>
      <c r="L751">
        <v>247.3</v>
      </c>
      <c r="M751">
        <v>616</v>
      </c>
      <c r="N751" t="s">
        <v>1208</v>
      </c>
      <c r="O751">
        <v>147</v>
      </c>
    </row>
    <row r="752" spans="1:15" x14ac:dyDescent="0.35">
      <c r="A752">
        <v>2019</v>
      </c>
      <c r="B752">
        <v>2</v>
      </c>
      <c r="C752">
        <v>21</v>
      </c>
      <c r="D752">
        <v>147</v>
      </c>
      <c r="E752">
        <v>1</v>
      </c>
      <c r="F752" t="s">
        <v>41</v>
      </c>
      <c r="G752" t="s">
        <v>1212</v>
      </c>
      <c r="H752">
        <v>7</v>
      </c>
      <c r="J752" t="s">
        <v>551</v>
      </c>
      <c r="K752" t="s">
        <v>461</v>
      </c>
      <c r="L752">
        <v>247.3</v>
      </c>
      <c r="M752">
        <v>616</v>
      </c>
      <c r="N752" t="s">
        <v>1208</v>
      </c>
      <c r="O752">
        <v>147</v>
      </c>
    </row>
    <row r="753" spans="1:15" x14ac:dyDescent="0.35">
      <c r="A753">
        <v>2019</v>
      </c>
      <c r="B753">
        <v>1</v>
      </c>
      <c r="C753" t="s">
        <v>28</v>
      </c>
      <c r="D753">
        <v>62</v>
      </c>
      <c r="E753">
        <v>1</v>
      </c>
      <c r="F753" t="s">
        <v>41</v>
      </c>
      <c r="G753" t="s">
        <v>1212</v>
      </c>
      <c r="H753">
        <v>7</v>
      </c>
      <c r="J753" t="s">
        <v>461</v>
      </c>
      <c r="K753" t="s">
        <v>461</v>
      </c>
      <c r="L753">
        <v>260.8</v>
      </c>
      <c r="M753">
        <v>618</v>
      </c>
      <c r="N753" t="s">
        <v>1208</v>
      </c>
      <c r="O753">
        <v>62</v>
      </c>
    </row>
    <row r="754" spans="1:15" x14ac:dyDescent="0.35">
      <c r="A754">
        <v>2021</v>
      </c>
      <c r="B754">
        <v>10</v>
      </c>
      <c r="C754">
        <v>11</v>
      </c>
      <c r="D754">
        <v>480</v>
      </c>
      <c r="E754">
        <v>4</v>
      </c>
      <c r="F754" t="s">
        <v>226</v>
      </c>
      <c r="G754" t="s">
        <v>1214</v>
      </c>
      <c r="H754">
        <v>3</v>
      </c>
      <c r="J754" t="s">
        <v>51</v>
      </c>
      <c r="K754" t="s">
        <v>929</v>
      </c>
      <c r="L754">
        <v>225</v>
      </c>
      <c r="M754">
        <v>618</v>
      </c>
      <c r="N754" t="s">
        <v>1211</v>
      </c>
      <c r="O754">
        <v>480</v>
      </c>
    </row>
    <row r="755" spans="1:15" x14ac:dyDescent="0.35">
      <c r="A755">
        <v>2024</v>
      </c>
      <c r="B755">
        <v>1</v>
      </c>
      <c r="C755">
        <v>22</v>
      </c>
      <c r="D755">
        <v>604</v>
      </c>
      <c r="E755">
        <v>1</v>
      </c>
      <c r="F755" t="s">
        <v>20</v>
      </c>
      <c r="G755" t="s">
        <v>1213</v>
      </c>
      <c r="H755">
        <v>4</v>
      </c>
      <c r="J755" t="s">
        <v>233</v>
      </c>
      <c r="K755">
        <v>37</v>
      </c>
      <c r="L755">
        <v>286</v>
      </c>
      <c r="M755">
        <v>618</v>
      </c>
      <c r="N755" t="s">
        <v>1214</v>
      </c>
      <c r="O755">
        <v>604</v>
      </c>
    </row>
    <row r="756" spans="1:15" x14ac:dyDescent="0.35">
      <c r="A756">
        <v>2017</v>
      </c>
      <c r="B756">
        <v>8</v>
      </c>
      <c r="C756">
        <v>14</v>
      </c>
      <c r="D756">
        <v>130</v>
      </c>
      <c r="E756">
        <v>3</v>
      </c>
      <c r="F756" t="s">
        <v>45</v>
      </c>
      <c r="G756" t="s">
        <v>1208</v>
      </c>
      <c r="H756">
        <v>6</v>
      </c>
      <c r="J756" t="s">
        <v>317</v>
      </c>
      <c r="K756" t="s">
        <v>317</v>
      </c>
      <c r="L756">
        <v>236.4</v>
      </c>
      <c r="M756">
        <v>620</v>
      </c>
      <c r="N756" t="s">
        <v>1210</v>
      </c>
      <c r="O756">
        <v>130</v>
      </c>
    </row>
    <row r="757" spans="1:15" x14ac:dyDescent="0.35">
      <c r="A757">
        <v>2023</v>
      </c>
      <c r="B757">
        <v>7</v>
      </c>
      <c r="C757">
        <v>19</v>
      </c>
      <c r="D757">
        <v>352</v>
      </c>
      <c r="E757">
        <v>3</v>
      </c>
      <c r="F757" t="s">
        <v>41</v>
      </c>
      <c r="G757" t="s">
        <v>1207</v>
      </c>
      <c r="H757">
        <v>10</v>
      </c>
      <c r="J757" t="s">
        <v>583</v>
      </c>
      <c r="K757" t="s">
        <v>318</v>
      </c>
      <c r="L757">
        <v>223.2</v>
      </c>
      <c r="M757">
        <v>620</v>
      </c>
      <c r="N757" t="s">
        <v>1208</v>
      </c>
      <c r="O757">
        <v>352</v>
      </c>
    </row>
    <row r="758" spans="1:15" x14ac:dyDescent="0.35">
      <c r="A758">
        <v>2017</v>
      </c>
      <c r="B758">
        <v>7</v>
      </c>
      <c r="C758">
        <v>8</v>
      </c>
      <c r="D758">
        <v>93</v>
      </c>
      <c r="E758">
        <v>3</v>
      </c>
      <c r="F758" t="s">
        <v>41</v>
      </c>
      <c r="G758" t="s">
        <v>1207</v>
      </c>
      <c r="H758">
        <v>4</v>
      </c>
      <c r="J758" t="s">
        <v>318</v>
      </c>
      <c r="K758" t="s">
        <v>318</v>
      </c>
      <c r="L758">
        <v>229.8</v>
      </c>
      <c r="M758">
        <v>624</v>
      </c>
      <c r="N758" t="s">
        <v>1208</v>
      </c>
      <c r="O758">
        <v>93</v>
      </c>
    </row>
    <row r="759" spans="1:15" x14ac:dyDescent="0.35">
      <c r="A759">
        <v>2024</v>
      </c>
      <c r="B759">
        <v>8</v>
      </c>
      <c r="C759">
        <v>9</v>
      </c>
      <c r="D759">
        <v>719</v>
      </c>
      <c r="E759">
        <v>3</v>
      </c>
      <c r="F759" t="s">
        <v>41</v>
      </c>
      <c r="G759" t="s">
        <v>1207</v>
      </c>
      <c r="H759">
        <v>11</v>
      </c>
      <c r="J759" t="s">
        <v>755</v>
      </c>
      <c r="K759" t="s">
        <v>458</v>
      </c>
      <c r="L759">
        <v>207.6</v>
      </c>
      <c r="M759">
        <v>625</v>
      </c>
      <c r="N759" t="s">
        <v>1208</v>
      </c>
      <c r="O759">
        <v>719</v>
      </c>
    </row>
    <row r="760" spans="1:15" x14ac:dyDescent="0.35">
      <c r="A760">
        <v>2024</v>
      </c>
      <c r="B760">
        <v>8</v>
      </c>
      <c r="C760">
        <v>19</v>
      </c>
      <c r="D760">
        <v>740</v>
      </c>
      <c r="E760">
        <v>3</v>
      </c>
      <c r="F760" t="s">
        <v>225</v>
      </c>
      <c r="G760" t="s">
        <v>1209</v>
      </c>
      <c r="H760">
        <v>3</v>
      </c>
      <c r="J760">
        <v>3</v>
      </c>
      <c r="K760">
        <v>3</v>
      </c>
      <c r="L760">
        <v>258.10000000000002</v>
      </c>
      <c r="M760">
        <v>625</v>
      </c>
      <c r="N760" t="s">
        <v>1209</v>
      </c>
      <c r="O760">
        <v>740</v>
      </c>
    </row>
    <row r="761" spans="1:15" x14ac:dyDescent="0.35">
      <c r="A761">
        <v>2024</v>
      </c>
      <c r="B761">
        <v>8</v>
      </c>
      <c r="C761">
        <v>9</v>
      </c>
      <c r="D761">
        <v>776</v>
      </c>
      <c r="E761">
        <v>3</v>
      </c>
      <c r="F761" t="s">
        <v>41</v>
      </c>
      <c r="G761" t="s">
        <v>1207</v>
      </c>
      <c r="H761">
        <v>11</v>
      </c>
      <c r="J761" t="s">
        <v>669</v>
      </c>
      <c r="K761" t="s">
        <v>458</v>
      </c>
      <c r="L761">
        <v>293.39999999999998</v>
      </c>
      <c r="M761">
        <v>626</v>
      </c>
      <c r="N761" t="s">
        <v>1208</v>
      </c>
      <c r="O761">
        <v>776</v>
      </c>
    </row>
    <row r="762" spans="1:15" x14ac:dyDescent="0.35">
      <c r="A762">
        <v>2016</v>
      </c>
      <c r="B762">
        <v>11</v>
      </c>
      <c r="C762">
        <v>8</v>
      </c>
      <c r="D762">
        <v>184</v>
      </c>
      <c r="E762">
        <v>4</v>
      </c>
      <c r="F762" t="s">
        <v>45</v>
      </c>
      <c r="G762" t="s">
        <v>1208</v>
      </c>
      <c r="H762">
        <v>5</v>
      </c>
      <c r="J762" t="s">
        <v>632</v>
      </c>
      <c r="K762" t="s">
        <v>317</v>
      </c>
      <c r="L762">
        <v>290.89999999999998</v>
      </c>
      <c r="M762">
        <v>627</v>
      </c>
      <c r="N762" t="s">
        <v>1210</v>
      </c>
      <c r="O762">
        <v>184</v>
      </c>
    </row>
    <row r="763" spans="1:15" x14ac:dyDescent="0.35">
      <c r="A763">
        <v>2024</v>
      </c>
      <c r="B763">
        <v>8</v>
      </c>
      <c r="C763">
        <v>13</v>
      </c>
      <c r="D763">
        <v>777</v>
      </c>
      <c r="E763">
        <v>3</v>
      </c>
      <c r="F763" t="s">
        <v>225</v>
      </c>
      <c r="G763" t="s">
        <v>1209</v>
      </c>
      <c r="H763">
        <v>3</v>
      </c>
      <c r="J763" t="s">
        <v>1162</v>
      </c>
      <c r="K763">
        <v>3</v>
      </c>
      <c r="L763">
        <v>264.60000000000002</v>
      </c>
      <c r="M763">
        <v>627</v>
      </c>
      <c r="N763" t="s">
        <v>1209</v>
      </c>
      <c r="O763">
        <v>777</v>
      </c>
    </row>
    <row r="764" spans="1:15" x14ac:dyDescent="0.35">
      <c r="A764">
        <v>2019</v>
      </c>
      <c r="B764">
        <v>11</v>
      </c>
      <c r="C764">
        <v>27</v>
      </c>
      <c r="D764">
        <v>40</v>
      </c>
      <c r="E764">
        <v>4</v>
      </c>
      <c r="F764" t="s">
        <v>45</v>
      </c>
      <c r="G764" t="s">
        <v>1208</v>
      </c>
      <c r="H764">
        <v>8</v>
      </c>
      <c r="J764" t="s">
        <v>317</v>
      </c>
      <c r="K764" t="s">
        <v>317</v>
      </c>
      <c r="L764">
        <v>226.3</v>
      </c>
      <c r="M764">
        <v>630</v>
      </c>
      <c r="N764" t="s">
        <v>1210</v>
      </c>
      <c r="O764">
        <v>40</v>
      </c>
    </row>
    <row r="765" spans="1:15" x14ac:dyDescent="0.35">
      <c r="A765">
        <v>2017</v>
      </c>
      <c r="B765">
        <v>8</v>
      </c>
      <c r="C765">
        <v>8</v>
      </c>
      <c r="D765">
        <v>124</v>
      </c>
      <c r="E765">
        <v>3</v>
      </c>
      <c r="F765" t="s">
        <v>45</v>
      </c>
      <c r="G765" t="s">
        <v>1215</v>
      </c>
      <c r="H765">
        <v>8</v>
      </c>
      <c r="J765" t="s">
        <v>512</v>
      </c>
      <c r="K765" t="s">
        <v>512</v>
      </c>
      <c r="L765">
        <v>249.7</v>
      </c>
      <c r="M765">
        <v>630</v>
      </c>
      <c r="N765" t="s">
        <v>1210</v>
      </c>
      <c r="O765">
        <v>124</v>
      </c>
    </row>
    <row r="766" spans="1:15" x14ac:dyDescent="0.35">
      <c r="A766">
        <v>2024</v>
      </c>
      <c r="B766">
        <v>4</v>
      </c>
      <c r="C766">
        <v>5</v>
      </c>
      <c r="D766">
        <v>662</v>
      </c>
      <c r="E766">
        <v>2</v>
      </c>
      <c r="F766" t="s">
        <v>225</v>
      </c>
      <c r="G766" t="s">
        <v>1209</v>
      </c>
      <c r="H766">
        <v>3</v>
      </c>
      <c r="J766" t="s">
        <v>94</v>
      </c>
      <c r="K766">
        <v>1</v>
      </c>
      <c r="L766">
        <v>281.7</v>
      </c>
      <c r="M766">
        <v>630</v>
      </c>
      <c r="N766" t="s">
        <v>1209</v>
      </c>
      <c r="O766">
        <v>662</v>
      </c>
    </row>
    <row r="767" spans="1:15" x14ac:dyDescent="0.35">
      <c r="A767">
        <v>2021</v>
      </c>
      <c r="B767">
        <v>10</v>
      </c>
      <c r="C767" t="s">
        <v>28</v>
      </c>
      <c r="D767">
        <v>34</v>
      </c>
      <c r="E767">
        <v>4</v>
      </c>
      <c r="F767" t="s">
        <v>41</v>
      </c>
      <c r="G767" t="s">
        <v>1212</v>
      </c>
      <c r="H767">
        <v>9</v>
      </c>
      <c r="J767" t="s">
        <v>461</v>
      </c>
      <c r="K767" t="s">
        <v>461</v>
      </c>
      <c r="L767">
        <v>216.4</v>
      </c>
      <c r="M767">
        <v>631</v>
      </c>
      <c r="N767" t="s">
        <v>1208</v>
      </c>
      <c r="O767">
        <v>34</v>
      </c>
    </row>
    <row r="768" spans="1:15" x14ac:dyDescent="0.35">
      <c r="A768">
        <v>2017</v>
      </c>
      <c r="B768">
        <v>1</v>
      </c>
      <c r="C768">
        <v>20</v>
      </c>
      <c r="D768">
        <v>97</v>
      </c>
      <c r="E768">
        <v>1</v>
      </c>
      <c r="F768" t="s">
        <v>41</v>
      </c>
      <c r="G768" t="s">
        <v>1212</v>
      </c>
      <c r="H768">
        <v>5</v>
      </c>
      <c r="J768" t="s">
        <v>544</v>
      </c>
      <c r="K768" t="s">
        <v>461</v>
      </c>
      <c r="L768">
        <v>243.1</v>
      </c>
      <c r="M768">
        <v>631</v>
      </c>
      <c r="N768" t="s">
        <v>1208</v>
      </c>
      <c r="O768">
        <v>97</v>
      </c>
    </row>
    <row r="769" spans="1:15" x14ac:dyDescent="0.35">
      <c r="A769">
        <v>2019</v>
      </c>
      <c r="B769">
        <v>2</v>
      </c>
      <c r="C769">
        <v>21</v>
      </c>
      <c r="D769">
        <v>168</v>
      </c>
      <c r="E769">
        <v>1</v>
      </c>
      <c r="F769" t="s">
        <v>45</v>
      </c>
      <c r="G769" t="s">
        <v>1208</v>
      </c>
      <c r="H769">
        <v>8</v>
      </c>
      <c r="J769" t="s">
        <v>615</v>
      </c>
      <c r="K769" t="s">
        <v>317</v>
      </c>
      <c r="L769">
        <v>282.2</v>
      </c>
      <c r="M769">
        <v>632</v>
      </c>
      <c r="N769" t="s">
        <v>1210</v>
      </c>
      <c r="O769">
        <v>168</v>
      </c>
    </row>
    <row r="770" spans="1:15" x14ac:dyDescent="0.35">
      <c r="A770">
        <v>2019</v>
      </c>
      <c r="B770">
        <v>2</v>
      </c>
      <c r="C770">
        <v>21</v>
      </c>
      <c r="D770">
        <v>168</v>
      </c>
      <c r="E770">
        <v>1</v>
      </c>
      <c r="F770" t="s">
        <v>45</v>
      </c>
      <c r="G770" t="s">
        <v>1208</v>
      </c>
      <c r="H770">
        <v>8</v>
      </c>
      <c r="J770" t="s">
        <v>615</v>
      </c>
      <c r="K770" t="s">
        <v>317</v>
      </c>
      <c r="L770">
        <v>282.2</v>
      </c>
      <c r="M770">
        <v>632</v>
      </c>
      <c r="N770" t="s">
        <v>1210</v>
      </c>
      <c r="O770">
        <v>168</v>
      </c>
    </row>
    <row r="771" spans="1:15" x14ac:dyDescent="0.35">
      <c r="A771">
        <v>2018</v>
      </c>
      <c r="B771">
        <v>8</v>
      </c>
      <c r="C771">
        <v>16</v>
      </c>
      <c r="D771">
        <v>330</v>
      </c>
      <c r="E771">
        <v>3</v>
      </c>
      <c r="F771" t="s">
        <v>45</v>
      </c>
      <c r="G771" t="s">
        <v>1208</v>
      </c>
      <c r="H771">
        <v>7</v>
      </c>
      <c r="J771" t="s">
        <v>632</v>
      </c>
      <c r="K771" t="s">
        <v>317</v>
      </c>
      <c r="L771">
        <v>211.2</v>
      </c>
      <c r="M771">
        <v>633</v>
      </c>
      <c r="N771" t="s">
        <v>1210</v>
      </c>
      <c r="O771">
        <v>330</v>
      </c>
    </row>
    <row r="772" spans="1:15" x14ac:dyDescent="0.35">
      <c r="A772">
        <v>2021</v>
      </c>
      <c r="B772" t="s">
        <v>28</v>
      </c>
      <c r="C772" t="s">
        <v>28</v>
      </c>
      <c r="D772">
        <v>486</v>
      </c>
      <c r="E772" t="s">
        <v>28</v>
      </c>
      <c r="F772" t="s">
        <v>226</v>
      </c>
      <c r="G772" t="s">
        <v>1214</v>
      </c>
      <c r="H772">
        <v>3</v>
      </c>
      <c r="J772" t="s">
        <v>51</v>
      </c>
      <c r="K772" t="s">
        <v>939</v>
      </c>
      <c r="L772">
        <v>210</v>
      </c>
      <c r="M772">
        <v>633</v>
      </c>
      <c r="N772" t="s">
        <v>1211</v>
      </c>
      <c r="O772">
        <v>486</v>
      </c>
    </row>
    <row r="773" spans="1:15" x14ac:dyDescent="0.35">
      <c r="A773">
        <v>2023</v>
      </c>
      <c r="B773">
        <v>11</v>
      </c>
      <c r="C773">
        <v>17</v>
      </c>
      <c r="D773">
        <v>511</v>
      </c>
      <c r="E773">
        <v>4</v>
      </c>
      <c r="F773" t="s">
        <v>225</v>
      </c>
      <c r="G773" t="s">
        <v>1216</v>
      </c>
      <c r="H773">
        <v>1</v>
      </c>
      <c r="J773" t="s">
        <v>896</v>
      </c>
      <c r="K773">
        <v>5</v>
      </c>
      <c r="L773">
        <v>316.10000000000002</v>
      </c>
      <c r="M773">
        <v>633</v>
      </c>
      <c r="N773" t="s">
        <v>1209</v>
      </c>
      <c r="O773">
        <v>511</v>
      </c>
    </row>
    <row r="774" spans="1:15" x14ac:dyDescent="0.35">
      <c r="A774">
        <v>2011</v>
      </c>
      <c r="B774">
        <v>11</v>
      </c>
      <c r="C774">
        <v>14</v>
      </c>
      <c r="D774">
        <v>616</v>
      </c>
      <c r="E774">
        <v>4</v>
      </c>
      <c r="F774" t="s">
        <v>45</v>
      </c>
      <c r="G774" t="s">
        <v>1215</v>
      </c>
      <c r="H774">
        <v>2</v>
      </c>
      <c r="J774" t="s">
        <v>671</v>
      </c>
      <c r="K774" t="s">
        <v>512</v>
      </c>
      <c r="L774">
        <v>225.4</v>
      </c>
      <c r="M774">
        <v>633</v>
      </c>
      <c r="N774" t="s">
        <v>1210</v>
      </c>
      <c r="O774">
        <v>616</v>
      </c>
    </row>
    <row r="775" spans="1:15" x14ac:dyDescent="0.35">
      <c r="A775">
        <v>2024</v>
      </c>
      <c r="B775">
        <v>8</v>
      </c>
      <c r="C775">
        <v>19</v>
      </c>
      <c r="D775">
        <v>729</v>
      </c>
      <c r="E775">
        <v>3</v>
      </c>
      <c r="F775" t="s">
        <v>225</v>
      </c>
      <c r="G775" t="s">
        <v>1209</v>
      </c>
      <c r="H775">
        <v>3</v>
      </c>
      <c r="J775">
        <v>3</v>
      </c>
      <c r="K775">
        <v>3</v>
      </c>
      <c r="L775">
        <v>291.89999999999998</v>
      </c>
      <c r="M775">
        <v>634</v>
      </c>
      <c r="N775" t="s">
        <v>1209</v>
      </c>
      <c r="O775">
        <v>729</v>
      </c>
    </row>
    <row r="776" spans="1:15" x14ac:dyDescent="0.35">
      <c r="A776">
        <v>2022</v>
      </c>
      <c r="B776">
        <v>1</v>
      </c>
      <c r="C776" t="s">
        <v>28</v>
      </c>
      <c r="D776">
        <v>11</v>
      </c>
      <c r="E776">
        <v>1</v>
      </c>
      <c r="F776" t="s">
        <v>20</v>
      </c>
      <c r="G776" t="s">
        <v>1213</v>
      </c>
      <c r="H776">
        <v>2</v>
      </c>
      <c r="J776">
        <v>8</v>
      </c>
      <c r="K776">
        <v>8</v>
      </c>
      <c r="L776">
        <v>370.8</v>
      </c>
      <c r="M776">
        <v>637</v>
      </c>
      <c r="N776" t="s">
        <v>1214</v>
      </c>
      <c r="O776">
        <v>11</v>
      </c>
    </row>
    <row r="777" spans="1:15" x14ac:dyDescent="0.35">
      <c r="A777">
        <v>2023</v>
      </c>
      <c r="B777">
        <v>11</v>
      </c>
      <c r="C777">
        <v>20</v>
      </c>
      <c r="D777">
        <v>538</v>
      </c>
      <c r="E777">
        <v>4</v>
      </c>
      <c r="F777" t="s">
        <v>225</v>
      </c>
      <c r="G777" t="s">
        <v>1218</v>
      </c>
      <c r="H777">
        <v>0</v>
      </c>
      <c r="J777" t="s">
        <v>229</v>
      </c>
      <c r="K777">
        <v>10</v>
      </c>
      <c r="L777">
        <v>313.2</v>
      </c>
      <c r="M777">
        <v>638</v>
      </c>
      <c r="N777" t="s">
        <v>1209</v>
      </c>
      <c r="O777">
        <v>538</v>
      </c>
    </row>
    <row r="778" spans="1:15" x14ac:dyDescent="0.35">
      <c r="A778">
        <v>2024</v>
      </c>
      <c r="B778">
        <v>8</v>
      </c>
      <c r="C778">
        <v>15</v>
      </c>
      <c r="D778">
        <v>827</v>
      </c>
      <c r="E778">
        <v>3</v>
      </c>
      <c r="F778" t="s">
        <v>225</v>
      </c>
      <c r="G778" t="s">
        <v>1209</v>
      </c>
      <c r="H778">
        <v>3</v>
      </c>
      <c r="J778" t="s">
        <v>237</v>
      </c>
      <c r="K778">
        <v>3</v>
      </c>
      <c r="L778">
        <v>309</v>
      </c>
      <c r="M778">
        <v>638</v>
      </c>
      <c r="N778" t="s">
        <v>1209</v>
      </c>
      <c r="O778">
        <v>827</v>
      </c>
    </row>
    <row r="779" spans="1:15" x14ac:dyDescent="0.35">
      <c r="A779">
        <v>2024</v>
      </c>
      <c r="B779">
        <v>2</v>
      </c>
      <c r="C779">
        <v>23</v>
      </c>
      <c r="D779">
        <v>646</v>
      </c>
      <c r="E779">
        <v>1</v>
      </c>
      <c r="F779" t="s">
        <v>225</v>
      </c>
      <c r="G779" t="s">
        <v>1216</v>
      </c>
      <c r="H779">
        <v>2</v>
      </c>
      <c r="J779" t="s">
        <v>21</v>
      </c>
      <c r="K779">
        <v>2</v>
      </c>
      <c r="L779">
        <v>249.8</v>
      </c>
      <c r="M779">
        <v>639</v>
      </c>
      <c r="N779" t="s">
        <v>1209</v>
      </c>
      <c r="O779">
        <v>646</v>
      </c>
    </row>
    <row r="780" spans="1:15" x14ac:dyDescent="0.35">
      <c r="A780">
        <v>2022</v>
      </c>
      <c r="B780">
        <v>11</v>
      </c>
      <c r="C780">
        <v>18</v>
      </c>
      <c r="D780">
        <v>109</v>
      </c>
      <c r="E780">
        <v>4</v>
      </c>
      <c r="F780" t="s">
        <v>225</v>
      </c>
      <c r="G780" t="s">
        <v>1209</v>
      </c>
      <c r="H780">
        <v>1</v>
      </c>
      <c r="J780">
        <v>4</v>
      </c>
      <c r="K780">
        <v>4</v>
      </c>
      <c r="L780">
        <v>262.7</v>
      </c>
      <c r="M780">
        <v>640</v>
      </c>
      <c r="N780" t="s">
        <v>1209</v>
      </c>
      <c r="O780">
        <v>109</v>
      </c>
    </row>
    <row r="781" spans="1:15" x14ac:dyDescent="0.35">
      <c r="A781">
        <v>2024</v>
      </c>
      <c r="B781">
        <v>8</v>
      </c>
      <c r="C781">
        <v>15</v>
      </c>
      <c r="D781">
        <v>737</v>
      </c>
      <c r="E781">
        <v>3</v>
      </c>
      <c r="F781" t="s">
        <v>225</v>
      </c>
      <c r="G781" t="s">
        <v>1209</v>
      </c>
      <c r="H781">
        <v>3</v>
      </c>
      <c r="J781">
        <v>3</v>
      </c>
      <c r="K781">
        <v>3</v>
      </c>
      <c r="L781">
        <v>330.4</v>
      </c>
      <c r="M781">
        <v>641</v>
      </c>
      <c r="N781" t="s">
        <v>1209</v>
      </c>
      <c r="O781">
        <v>737</v>
      </c>
    </row>
    <row r="782" spans="1:15" x14ac:dyDescent="0.35">
      <c r="A782">
        <v>2023</v>
      </c>
      <c r="B782">
        <v>8</v>
      </c>
      <c r="C782">
        <v>2</v>
      </c>
      <c r="D782">
        <v>425</v>
      </c>
      <c r="E782">
        <v>3</v>
      </c>
      <c r="F782" t="s">
        <v>225</v>
      </c>
      <c r="G782" t="s">
        <v>1216</v>
      </c>
      <c r="H782">
        <v>1</v>
      </c>
      <c r="J782" t="s">
        <v>67</v>
      </c>
      <c r="K782">
        <v>2</v>
      </c>
      <c r="L782">
        <v>271.8</v>
      </c>
      <c r="M782">
        <v>641.35</v>
      </c>
      <c r="N782" t="s">
        <v>1209</v>
      </c>
      <c r="O782">
        <v>425</v>
      </c>
    </row>
    <row r="783" spans="1:15" x14ac:dyDescent="0.35">
      <c r="A783">
        <v>2017</v>
      </c>
      <c r="B783">
        <v>3</v>
      </c>
      <c r="C783">
        <v>7</v>
      </c>
      <c r="D783">
        <v>133</v>
      </c>
      <c r="E783">
        <v>2</v>
      </c>
      <c r="F783" t="s">
        <v>41</v>
      </c>
      <c r="G783" t="s">
        <v>1212</v>
      </c>
      <c r="H783">
        <v>5</v>
      </c>
      <c r="J783" t="s">
        <v>461</v>
      </c>
      <c r="K783" t="s">
        <v>461</v>
      </c>
      <c r="L783">
        <v>274.8</v>
      </c>
      <c r="M783">
        <v>643</v>
      </c>
      <c r="N783" t="s">
        <v>1208</v>
      </c>
      <c r="O783">
        <v>133</v>
      </c>
    </row>
    <row r="784" spans="1:15" x14ac:dyDescent="0.35">
      <c r="A784">
        <v>2016</v>
      </c>
      <c r="B784">
        <v>11</v>
      </c>
      <c r="C784">
        <v>8</v>
      </c>
      <c r="D784">
        <v>185</v>
      </c>
      <c r="E784">
        <v>4</v>
      </c>
      <c r="F784" t="s">
        <v>45</v>
      </c>
      <c r="G784" t="s">
        <v>1208</v>
      </c>
      <c r="H784">
        <v>5</v>
      </c>
      <c r="J784" t="s">
        <v>632</v>
      </c>
      <c r="K784" t="s">
        <v>317</v>
      </c>
      <c r="L784">
        <v>369.7</v>
      </c>
      <c r="M784">
        <v>643</v>
      </c>
      <c r="N784" t="s">
        <v>1210</v>
      </c>
      <c r="O784">
        <v>185</v>
      </c>
    </row>
    <row r="785" spans="1:15" x14ac:dyDescent="0.35">
      <c r="A785">
        <v>2024</v>
      </c>
      <c r="B785">
        <v>8</v>
      </c>
      <c r="C785">
        <v>14</v>
      </c>
      <c r="D785">
        <v>723</v>
      </c>
      <c r="E785">
        <v>3</v>
      </c>
      <c r="F785" t="s">
        <v>225</v>
      </c>
      <c r="G785" t="s">
        <v>1209</v>
      </c>
      <c r="H785">
        <v>3</v>
      </c>
      <c r="J785" t="s">
        <v>94</v>
      </c>
      <c r="K785">
        <v>1</v>
      </c>
      <c r="L785">
        <v>283.60000000000002</v>
      </c>
      <c r="M785">
        <v>643</v>
      </c>
      <c r="N785" t="s">
        <v>1209</v>
      </c>
      <c r="O785">
        <v>723</v>
      </c>
    </row>
    <row r="786" spans="1:15" x14ac:dyDescent="0.35">
      <c r="A786">
        <v>2018</v>
      </c>
      <c r="B786">
        <v>8</v>
      </c>
      <c r="C786">
        <v>16</v>
      </c>
      <c r="D786">
        <v>324</v>
      </c>
      <c r="E786">
        <v>3</v>
      </c>
      <c r="F786" t="s">
        <v>45</v>
      </c>
      <c r="G786" t="s">
        <v>1208</v>
      </c>
      <c r="H786">
        <v>7</v>
      </c>
      <c r="J786" t="s">
        <v>647</v>
      </c>
      <c r="K786" t="s">
        <v>317</v>
      </c>
      <c r="L786">
        <v>249.9</v>
      </c>
      <c r="M786">
        <v>646</v>
      </c>
      <c r="N786" t="s">
        <v>1210</v>
      </c>
      <c r="O786">
        <v>324</v>
      </c>
    </row>
    <row r="787" spans="1:15" x14ac:dyDescent="0.35">
      <c r="A787">
        <v>2019</v>
      </c>
      <c r="B787">
        <v>2</v>
      </c>
      <c r="C787">
        <v>21</v>
      </c>
      <c r="D787">
        <v>167</v>
      </c>
      <c r="E787">
        <v>1</v>
      </c>
      <c r="F787" t="s">
        <v>45</v>
      </c>
      <c r="G787" t="s">
        <v>1208</v>
      </c>
      <c r="H787">
        <v>8</v>
      </c>
      <c r="J787" t="s">
        <v>615</v>
      </c>
      <c r="K787" t="s">
        <v>317</v>
      </c>
      <c r="L787">
        <v>263.39999999999998</v>
      </c>
      <c r="M787">
        <v>648</v>
      </c>
      <c r="N787" t="s">
        <v>1210</v>
      </c>
      <c r="O787">
        <v>167</v>
      </c>
    </row>
    <row r="788" spans="1:15" x14ac:dyDescent="0.35">
      <c r="A788">
        <v>2019</v>
      </c>
      <c r="B788">
        <v>2</v>
      </c>
      <c r="C788">
        <v>21</v>
      </c>
      <c r="D788">
        <v>167</v>
      </c>
      <c r="E788">
        <v>1</v>
      </c>
      <c r="F788" t="s">
        <v>45</v>
      </c>
      <c r="G788" t="s">
        <v>1208</v>
      </c>
      <c r="H788">
        <v>8</v>
      </c>
      <c r="J788" t="s">
        <v>615</v>
      </c>
      <c r="K788" t="s">
        <v>317</v>
      </c>
      <c r="L788">
        <v>263.39999999999998</v>
      </c>
      <c r="M788">
        <v>648</v>
      </c>
      <c r="N788" t="s">
        <v>1210</v>
      </c>
      <c r="O788">
        <v>167</v>
      </c>
    </row>
    <row r="789" spans="1:15" x14ac:dyDescent="0.35">
      <c r="A789">
        <v>2019</v>
      </c>
      <c r="B789">
        <v>2</v>
      </c>
      <c r="C789">
        <v>21</v>
      </c>
      <c r="D789">
        <v>167</v>
      </c>
      <c r="E789">
        <v>1</v>
      </c>
      <c r="F789" t="s">
        <v>45</v>
      </c>
      <c r="G789" t="s">
        <v>1208</v>
      </c>
      <c r="H789">
        <v>8</v>
      </c>
      <c r="J789" t="s">
        <v>615</v>
      </c>
      <c r="K789" t="s">
        <v>317</v>
      </c>
      <c r="L789">
        <v>263.39999999999998</v>
      </c>
      <c r="M789">
        <v>648</v>
      </c>
      <c r="N789" t="s">
        <v>1210</v>
      </c>
      <c r="O789">
        <v>167</v>
      </c>
    </row>
    <row r="790" spans="1:15" x14ac:dyDescent="0.35">
      <c r="A790">
        <v>2019</v>
      </c>
      <c r="B790">
        <v>2</v>
      </c>
      <c r="C790">
        <v>21</v>
      </c>
      <c r="D790">
        <v>167</v>
      </c>
      <c r="E790">
        <v>1</v>
      </c>
      <c r="F790" t="s">
        <v>45</v>
      </c>
      <c r="G790" t="s">
        <v>1208</v>
      </c>
      <c r="H790">
        <v>8</v>
      </c>
      <c r="J790" t="s">
        <v>615</v>
      </c>
      <c r="K790" t="s">
        <v>317</v>
      </c>
      <c r="L790">
        <v>263.39999999999998</v>
      </c>
      <c r="M790">
        <v>648</v>
      </c>
      <c r="N790" t="s">
        <v>1210</v>
      </c>
      <c r="O790">
        <v>167</v>
      </c>
    </row>
    <row r="791" spans="1:15" x14ac:dyDescent="0.35">
      <c r="A791">
        <v>2019</v>
      </c>
      <c r="B791">
        <v>2</v>
      </c>
      <c r="C791">
        <v>21</v>
      </c>
      <c r="D791">
        <v>167</v>
      </c>
      <c r="E791">
        <v>1</v>
      </c>
      <c r="F791" t="s">
        <v>45</v>
      </c>
      <c r="G791" t="s">
        <v>1208</v>
      </c>
      <c r="H791">
        <v>8</v>
      </c>
      <c r="J791" t="s">
        <v>615</v>
      </c>
      <c r="K791" t="s">
        <v>317</v>
      </c>
      <c r="L791">
        <v>263.39999999999998</v>
      </c>
      <c r="M791">
        <v>648</v>
      </c>
      <c r="N791" t="s">
        <v>1210</v>
      </c>
      <c r="O791">
        <v>167</v>
      </c>
    </row>
    <row r="792" spans="1:15" x14ac:dyDescent="0.35">
      <c r="A792">
        <v>2024</v>
      </c>
      <c r="B792">
        <v>1</v>
      </c>
      <c r="C792">
        <v>19</v>
      </c>
      <c r="D792">
        <v>584</v>
      </c>
      <c r="E792">
        <v>1</v>
      </c>
      <c r="F792" t="s">
        <v>41</v>
      </c>
      <c r="G792" t="s">
        <v>1207</v>
      </c>
      <c r="H792">
        <v>11</v>
      </c>
      <c r="J792" t="s">
        <v>42</v>
      </c>
      <c r="K792" t="s">
        <v>318</v>
      </c>
      <c r="L792">
        <v>280.8</v>
      </c>
      <c r="M792">
        <v>649</v>
      </c>
      <c r="N792" t="s">
        <v>1208</v>
      </c>
      <c r="O792">
        <v>584</v>
      </c>
    </row>
    <row r="793" spans="1:15" x14ac:dyDescent="0.35">
      <c r="A793">
        <v>2023</v>
      </c>
      <c r="B793">
        <v>7</v>
      </c>
      <c r="C793">
        <v>17</v>
      </c>
      <c r="D793">
        <v>347</v>
      </c>
      <c r="E793">
        <v>3</v>
      </c>
      <c r="F793" t="s">
        <v>45</v>
      </c>
      <c r="G793" t="s">
        <v>1208</v>
      </c>
      <c r="H793">
        <v>12</v>
      </c>
      <c r="J793" t="s">
        <v>236</v>
      </c>
      <c r="K793" t="s">
        <v>317</v>
      </c>
      <c r="L793">
        <v>245.9</v>
      </c>
      <c r="M793">
        <v>650</v>
      </c>
      <c r="N793" t="s">
        <v>1210</v>
      </c>
      <c r="O793">
        <v>347</v>
      </c>
    </row>
    <row r="794" spans="1:15" x14ac:dyDescent="0.35">
      <c r="A794">
        <v>2024</v>
      </c>
      <c r="B794">
        <v>8</v>
      </c>
      <c r="C794">
        <v>19</v>
      </c>
      <c r="D794">
        <v>820</v>
      </c>
      <c r="E794">
        <v>3</v>
      </c>
      <c r="F794" t="s">
        <v>225</v>
      </c>
      <c r="G794" t="s">
        <v>1209</v>
      </c>
      <c r="H794">
        <v>3</v>
      </c>
      <c r="J794">
        <v>3</v>
      </c>
      <c r="K794">
        <v>3</v>
      </c>
      <c r="L794">
        <v>304.10000000000002</v>
      </c>
      <c r="M794">
        <v>650</v>
      </c>
      <c r="N794" t="s">
        <v>1209</v>
      </c>
      <c r="O794">
        <v>820</v>
      </c>
    </row>
    <row r="795" spans="1:15" x14ac:dyDescent="0.35">
      <c r="A795">
        <v>2021</v>
      </c>
      <c r="B795">
        <v>10</v>
      </c>
      <c r="C795" t="s">
        <v>28</v>
      </c>
      <c r="D795">
        <v>28</v>
      </c>
      <c r="E795">
        <v>4</v>
      </c>
      <c r="F795" t="s">
        <v>41</v>
      </c>
      <c r="G795" t="s">
        <v>1212</v>
      </c>
      <c r="H795">
        <v>9</v>
      </c>
      <c r="J795" t="s">
        <v>461</v>
      </c>
      <c r="K795" t="s">
        <v>461</v>
      </c>
      <c r="L795">
        <v>283.2</v>
      </c>
      <c r="M795">
        <v>651</v>
      </c>
      <c r="N795" t="s">
        <v>1208</v>
      </c>
      <c r="O795">
        <v>28</v>
      </c>
    </row>
    <row r="796" spans="1:15" x14ac:dyDescent="0.35">
      <c r="A796">
        <v>2017</v>
      </c>
      <c r="B796">
        <v>8</v>
      </c>
      <c r="C796">
        <v>14</v>
      </c>
      <c r="D796">
        <v>129</v>
      </c>
      <c r="E796">
        <v>3</v>
      </c>
      <c r="F796" t="s">
        <v>45</v>
      </c>
      <c r="G796" t="s">
        <v>1208</v>
      </c>
      <c r="H796">
        <v>6</v>
      </c>
      <c r="J796" t="s">
        <v>317</v>
      </c>
      <c r="K796" t="s">
        <v>317</v>
      </c>
      <c r="L796">
        <v>229.6</v>
      </c>
      <c r="M796">
        <v>652</v>
      </c>
      <c r="N796" t="s">
        <v>1210</v>
      </c>
      <c r="O796">
        <v>129</v>
      </c>
    </row>
    <row r="797" spans="1:15" x14ac:dyDescent="0.35">
      <c r="A797">
        <v>2024</v>
      </c>
      <c r="B797">
        <v>8</v>
      </c>
      <c r="C797">
        <v>9</v>
      </c>
      <c r="D797">
        <v>718</v>
      </c>
      <c r="E797">
        <v>3</v>
      </c>
      <c r="F797" t="s">
        <v>41</v>
      </c>
      <c r="G797" t="s">
        <v>1207</v>
      </c>
      <c r="H797">
        <v>11</v>
      </c>
      <c r="J797" t="s">
        <v>755</v>
      </c>
      <c r="K797" t="s">
        <v>458</v>
      </c>
      <c r="L797">
        <v>305</v>
      </c>
      <c r="M797">
        <v>653</v>
      </c>
      <c r="N797" t="s">
        <v>1208</v>
      </c>
      <c r="O797">
        <v>718</v>
      </c>
    </row>
    <row r="798" spans="1:15" x14ac:dyDescent="0.35">
      <c r="A798">
        <v>2021</v>
      </c>
      <c r="B798">
        <v>10</v>
      </c>
      <c r="C798" t="s">
        <v>28</v>
      </c>
      <c r="D798">
        <v>5</v>
      </c>
      <c r="E798">
        <v>4</v>
      </c>
      <c r="F798" t="s">
        <v>41</v>
      </c>
      <c r="G798" t="s">
        <v>1207</v>
      </c>
      <c r="H798">
        <v>8</v>
      </c>
      <c r="J798" t="s">
        <v>318</v>
      </c>
      <c r="K798" t="s">
        <v>318</v>
      </c>
      <c r="L798">
        <v>291.5</v>
      </c>
      <c r="M798">
        <v>655</v>
      </c>
      <c r="N798" t="s">
        <v>1208</v>
      </c>
      <c r="O798">
        <v>5</v>
      </c>
    </row>
    <row r="799" spans="1:15" x14ac:dyDescent="0.35">
      <c r="A799">
        <v>2016</v>
      </c>
      <c r="B799">
        <v>11</v>
      </c>
      <c r="C799">
        <v>7</v>
      </c>
      <c r="D799">
        <v>203</v>
      </c>
      <c r="E799">
        <v>4</v>
      </c>
      <c r="F799" t="s">
        <v>45</v>
      </c>
      <c r="G799" t="s">
        <v>1215</v>
      </c>
      <c r="H799">
        <v>7</v>
      </c>
      <c r="J799" t="s">
        <v>657</v>
      </c>
      <c r="K799" t="s">
        <v>488</v>
      </c>
      <c r="L799">
        <v>350.6</v>
      </c>
      <c r="M799">
        <v>655</v>
      </c>
      <c r="N799" t="s">
        <v>1210</v>
      </c>
      <c r="O799">
        <v>203</v>
      </c>
    </row>
    <row r="800" spans="1:15" x14ac:dyDescent="0.35">
      <c r="A800">
        <v>2024</v>
      </c>
      <c r="B800">
        <v>8</v>
      </c>
      <c r="C800">
        <v>19</v>
      </c>
      <c r="D800">
        <v>799</v>
      </c>
      <c r="E800">
        <v>3</v>
      </c>
      <c r="F800" t="s">
        <v>225</v>
      </c>
      <c r="G800" t="s">
        <v>1209</v>
      </c>
      <c r="H800">
        <v>3</v>
      </c>
      <c r="J800">
        <v>3</v>
      </c>
      <c r="K800">
        <v>3</v>
      </c>
      <c r="L800">
        <v>319.3</v>
      </c>
      <c r="M800">
        <v>655</v>
      </c>
      <c r="N800" t="s">
        <v>1209</v>
      </c>
      <c r="O800">
        <v>799</v>
      </c>
    </row>
    <row r="801" spans="1:16" x14ac:dyDescent="0.35">
      <c r="A801">
        <v>2022</v>
      </c>
      <c r="B801">
        <v>1</v>
      </c>
      <c r="C801" t="s">
        <v>28</v>
      </c>
      <c r="D801">
        <v>25</v>
      </c>
      <c r="E801">
        <v>1</v>
      </c>
      <c r="F801" t="s">
        <v>20</v>
      </c>
      <c r="G801" t="s">
        <v>1217</v>
      </c>
      <c r="H801">
        <v>3</v>
      </c>
      <c r="J801">
        <v>23</v>
      </c>
      <c r="K801">
        <v>23</v>
      </c>
      <c r="L801">
        <v>345.8</v>
      </c>
      <c r="M801">
        <v>656</v>
      </c>
      <c r="N801" t="s">
        <v>1214</v>
      </c>
      <c r="O801">
        <v>25</v>
      </c>
    </row>
    <row r="802" spans="1:16" x14ac:dyDescent="0.35">
      <c r="A802">
        <v>2017</v>
      </c>
      <c r="B802">
        <v>8</v>
      </c>
      <c r="C802">
        <v>14</v>
      </c>
      <c r="D802">
        <v>88</v>
      </c>
      <c r="E802">
        <v>3</v>
      </c>
      <c r="F802" t="s">
        <v>45</v>
      </c>
      <c r="G802" t="s">
        <v>1208</v>
      </c>
      <c r="H802">
        <v>6</v>
      </c>
      <c r="J802" t="s">
        <v>317</v>
      </c>
      <c r="K802" t="s">
        <v>317</v>
      </c>
      <c r="L802">
        <v>310.7</v>
      </c>
      <c r="M802">
        <v>656</v>
      </c>
      <c r="N802" t="s">
        <v>1210</v>
      </c>
      <c r="O802">
        <v>88</v>
      </c>
    </row>
    <row r="803" spans="1:16" x14ac:dyDescent="0.35">
      <c r="A803">
        <v>2016</v>
      </c>
      <c r="B803">
        <v>9</v>
      </c>
      <c r="C803">
        <v>1</v>
      </c>
      <c r="D803">
        <v>301</v>
      </c>
      <c r="E803">
        <v>3</v>
      </c>
      <c r="F803" t="s">
        <v>45</v>
      </c>
      <c r="G803" t="s">
        <v>1208</v>
      </c>
      <c r="H803">
        <v>5</v>
      </c>
      <c r="J803" t="s">
        <v>632</v>
      </c>
      <c r="K803" t="s">
        <v>317</v>
      </c>
      <c r="L803">
        <v>285.7</v>
      </c>
      <c r="M803">
        <v>657</v>
      </c>
      <c r="N803" t="s">
        <v>1210</v>
      </c>
      <c r="O803">
        <v>301</v>
      </c>
    </row>
    <row r="804" spans="1:16" x14ac:dyDescent="0.35">
      <c r="A804">
        <v>2016</v>
      </c>
      <c r="B804">
        <v>11</v>
      </c>
      <c r="C804">
        <v>8</v>
      </c>
      <c r="D804">
        <v>197</v>
      </c>
      <c r="E804">
        <v>4</v>
      </c>
      <c r="F804" t="s">
        <v>45</v>
      </c>
      <c r="G804" t="s">
        <v>1208</v>
      </c>
      <c r="H804">
        <v>5</v>
      </c>
      <c r="J804" t="s">
        <v>647</v>
      </c>
      <c r="K804" t="s">
        <v>317</v>
      </c>
      <c r="L804">
        <v>314.3</v>
      </c>
      <c r="M804">
        <v>662</v>
      </c>
      <c r="N804" t="s">
        <v>1210</v>
      </c>
      <c r="O804">
        <v>197</v>
      </c>
    </row>
    <row r="805" spans="1:16" x14ac:dyDescent="0.35">
      <c r="A805">
        <v>2023</v>
      </c>
      <c r="B805">
        <v>11</v>
      </c>
      <c r="C805">
        <v>6</v>
      </c>
      <c r="D805">
        <v>510</v>
      </c>
      <c r="E805">
        <v>4</v>
      </c>
      <c r="F805" t="s">
        <v>41</v>
      </c>
      <c r="G805" t="s">
        <v>1207</v>
      </c>
      <c r="H805">
        <v>10</v>
      </c>
      <c r="J805" t="s">
        <v>509</v>
      </c>
      <c r="K805" t="s">
        <v>458</v>
      </c>
      <c r="L805">
        <v>310.10000000000002</v>
      </c>
      <c r="M805">
        <v>664</v>
      </c>
      <c r="N805" t="s">
        <v>1208</v>
      </c>
      <c r="O805">
        <v>510</v>
      </c>
    </row>
    <row r="806" spans="1:16" x14ac:dyDescent="0.35">
      <c r="A806">
        <v>2016</v>
      </c>
      <c r="B806">
        <v>11</v>
      </c>
      <c r="C806">
        <v>8</v>
      </c>
      <c r="D806">
        <v>183</v>
      </c>
      <c r="E806">
        <v>4</v>
      </c>
      <c r="F806" t="s">
        <v>45</v>
      </c>
      <c r="G806" t="s">
        <v>1208</v>
      </c>
      <c r="H806">
        <v>5</v>
      </c>
      <c r="J806" t="s">
        <v>632</v>
      </c>
      <c r="K806" t="s">
        <v>317</v>
      </c>
      <c r="L806">
        <v>450.4</v>
      </c>
      <c r="M806">
        <v>665</v>
      </c>
      <c r="N806" t="s">
        <v>1210</v>
      </c>
      <c r="O806">
        <v>183</v>
      </c>
    </row>
    <row r="807" spans="1:16" x14ac:dyDescent="0.35">
      <c r="A807">
        <v>2016</v>
      </c>
      <c r="B807">
        <v>9</v>
      </c>
      <c r="C807">
        <v>1</v>
      </c>
      <c r="D807">
        <v>245</v>
      </c>
      <c r="E807">
        <v>3</v>
      </c>
      <c r="F807" t="s">
        <v>41</v>
      </c>
      <c r="G807" t="s">
        <v>1212</v>
      </c>
      <c r="H807">
        <v>4</v>
      </c>
      <c r="J807" t="s">
        <v>544</v>
      </c>
      <c r="K807" t="s">
        <v>461</v>
      </c>
      <c r="L807">
        <v>277.60000000000002</v>
      </c>
      <c r="M807">
        <v>666</v>
      </c>
      <c r="N807" t="s">
        <v>1208</v>
      </c>
      <c r="O807">
        <v>245</v>
      </c>
    </row>
    <row r="808" spans="1:16" x14ac:dyDescent="0.35">
      <c r="A808">
        <v>2021</v>
      </c>
      <c r="B808">
        <v>10</v>
      </c>
      <c r="C808">
        <v>11</v>
      </c>
      <c r="D808">
        <v>482</v>
      </c>
      <c r="E808">
        <v>4</v>
      </c>
      <c r="F808" t="s">
        <v>226</v>
      </c>
      <c r="G808" t="s">
        <v>1214</v>
      </c>
      <c r="H808">
        <v>3</v>
      </c>
      <c r="J808" t="s">
        <v>51</v>
      </c>
      <c r="K808" t="s">
        <v>929</v>
      </c>
      <c r="L808">
        <v>290</v>
      </c>
      <c r="M808">
        <v>666</v>
      </c>
      <c r="N808" t="s">
        <v>1211</v>
      </c>
      <c r="O808">
        <v>482</v>
      </c>
    </row>
    <row r="809" spans="1:16" x14ac:dyDescent="0.35">
      <c r="A809">
        <v>2024</v>
      </c>
      <c r="B809">
        <v>3</v>
      </c>
      <c r="C809">
        <v>1</v>
      </c>
      <c r="D809">
        <v>666</v>
      </c>
      <c r="E809">
        <v>2</v>
      </c>
      <c r="F809" t="s">
        <v>20</v>
      </c>
      <c r="G809" t="s">
        <v>1213</v>
      </c>
      <c r="H809">
        <v>4</v>
      </c>
      <c r="J809" t="s">
        <v>70</v>
      </c>
      <c r="K809">
        <v>37</v>
      </c>
      <c r="L809">
        <v>357.7</v>
      </c>
      <c r="M809">
        <v>667</v>
      </c>
      <c r="N809" t="s">
        <v>1214</v>
      </c>
      <c r="O809">
        <v>666</v>
      </c>
    </row>
    <row r="810" spans="1:16" x14ac:dyDescent="0.35">
      <c r="A810">
        <v>2024</v>
      </c>
      <c r="B810">
        <v>8</v>
      </c>
      <c r="C810">
        <v>9</v>
      </c>
      <c r="D810">
        <v>766</v>
      </c>
      <c r="E810">
        <v>3</v>
      </c>
      <c r="F810" t="s">
        <v>41</v>
      </c>
      <c r="G810" t="s">
        <v>1207</v>
      </c>
      <c r="H810">
        <v>11</v>
      </c>
      <c r="J810" t="s">
        <v>49</v>
      </c>
      <c r="K810" t="s">
        <v>318</v>
      </c>
      <c r="L810">
        <v>295.39999999999998</v>
      </c>
      <c r="M810">
        <v>667</v>
      </c>
      <c r="N810" t="s">
        <v>1208</v>
      </c>
      <c r="O810">
        <v>766</v>
      </c>
    </row>
    <row r="811" spans="1:16" x14ac:dyDescent="0.35">
      <c r="A811">
        <v>2017</v>
      </c>
      <c r="B811">
        <v>8</v>
      </c>
      <c r="C811">
        <v>14</v>
      </c>
      <c r="D811">
        <v>134</v>
      </c>
      <c r="E811">
        <v>3</v>
      </c>
      <c r="F811" t="s">
        <v>45</v>
      </c>
      <c r="G811" t="s">
        <v>1208</v>
      </c>
      <c r="H811">
        <v>6</v>
      </c>
      <c r="J811" t="s">
        <v>317</v>
      </c>
      <c r="K811" t="s">
        <v>317</v>
      </c>
      <c r="L811">
        <v>272.10000000000002</v>
      </c>
      <c r="M811">
        <v>668</v>
      </c>
      <c r="N811" t="s">
        <v>1210</v>
      </c>
      <c r="O811">
        <v>134</v>
      </c>
    </row>
    <row r="812" spans="1:16" x14ac:dyDescent="0.35">
      <c r="A812">
        <v>2024</v>
      </c>
      <c r="B812">
        <v>8</v>
      </c>
      <c r="C812">
        <v>19</v>
      </c>
      <c r="D812">
        <v>792</v>
      </c>
      <c r="E812">
        <v>3</v>
      </c>
      <c r="F812" t="s">
        <v>225</v>
      </c>
      <c r="G812" t="s">
        <v>1209</v>
      </c>
      <c r="H812">
        <v>3</v>
      </c>
      <c r="J812">
        <v>3</v>
      </c>
      <c r="K812">
        <v>3</v>
      </c>
      <c r="L812">
        <v>350.4</v>
      </c>
      <c r="M812">
        <v>669</v>
      </c>
      <c r="N812" t="s">
        <v>1209</v>
      </c>
      <c r="O812">
        <v>792</v>
      </c>
    </row>
    <row r="813" spans="1:16" x14ac:dyDescent="0.35">
      <c r="A813">
        <v>2016</v>
      </c>
      <c r="B813">
        <v>11</v>
      </c>
      <c r="C813">
        <v>7</v>
      </c>
      <c r="D813">
        <v>252</v>
      </c>
      <c r="E813">
        <v>4</v>
      </c>
      <c r="F813" t="s">
        <v>45</v>
      </c>
      <c r="G813" t="s">
        <v>1215</v>
      </c>
      <c r="H813">
        <v>7</v>
      </c>
      <c r="J813" t="s">
        <v>711</v>
      </c>
      <c r="K813" t="s">
        <v>512</v>
      </c>
      <c r="L813">
        <v>337.5</v>
      </c>
      <c r="M813">
        <v>670</v>
      </c>
      <c r="N813" t="s">
        <v>1210</v>
      </c>
      <c r="O813">
        <v>252</v>
      </c>
    </row>
    <row r="814" spans="1:16" x14ac:dyDescent="0.35">
      <c r="A814">
        <v>2022</v>
      </c>
      <c r="B814">
        <v>1</v>
      </c>
      <c r="C814" t="s">
        <v>28</v>
      </c>
      <c r="D814">
        <v>4</v>
      </c>
      <c r="E814">
        <v>1</v>
      </c>
      <c r="F814" t="s">
        <v>41</v>
      </c>
      <c r="G814" t="s">
        <v>1207</v>
      </c>
      <c r="H814">
        <v>9</v>
      </c>
      <c r="J814" t="s">
        <v>318</v>
      </c>
      <c r="K814" t="s">
        <v>318</v>
      </c>
      <c r="L814">
        <v>369.6</v>
      </c>
      <c r="M814">
        <v>672</v>
      </c>
      <c r="N814" t="s">
        <v>1208</v>
      </c>
      <c r="O814">
        <v>4</v>
      </c>
      <c r="P814">
        <v>4.41</v>
      </c>
    </row>
    <row r="815" spans="1:16" x14ac:dyDescent="0.35">
      <c r="A815">
        <v>2016</v>
      </c>
      <c r="B815">
        <v>11</v>
      </c>
      <c r="C815">
        <v>8</v>
      </c>
      <c r="D815">
        <v>196</v>
      </c>
      <c r="E815">
        <v>4</v>
      </c>
      <c r="F815" t="s">
        <v>45</v>
      </c>
      <c r="G815" t="s">
        <v>1208</v>
      </c>
      <c r="H815">
        <v>5</v>
      </c>
      <c r="J815" t="s">
        <v>647</v>
      </c>
      <c r="K815" t="s">
        <v>317</v>
      </c>
      <c r="L815">
        <v>483.8</v>
      </c>
      <c r="M815">
        <v>673</v>
      </c>
      <c r="N815" t="s">
        <v>1210</v>
      </c>
      <c r="O815">
        <v>196</v>
      </c>
    </row>
    <row r="816" spans="1:16" x14ac:dyDescent="0.35">
      <c r="A816">
        <v>2016</v>
      </c>
      <c r="B816">
        <v>11</v>
      </c>
      <c r="C816">
        <v>8</v>
      </c>
      <c r="D816">
        <v>198</v>
      </c>
      <c r="E816">
        <v>4</v>
      </c>
      <c r="F816" t="s">
        <v>41</v>
      </c>
      <c r="G816" t="s">
        <v>1212</v>
      </c>
      <c r="H816">
        <v>4</v>
      </c>
      <c r="J816" t="s">
        <v>551</v>
      </c>
      <c r="K816" t="s">
        <v>461</v>
      </c>
      <c r="L816">
        <v>425.6</v>
      </c>
      <c r="M816">
        <v>673</v>
      </c>
      <c r="N816" t="s">
        <v>1208</v>
      </c>
      <c r="O816">
        <v>198</v>
      </c>
    </row>
    <row r="817" spans="1:16" x14ac:dyDescent="0.35">
      <c r="A817">
        <v>2016</v>
      </c>
      <c r="B817">
        <v>11</v>
      </c>
      <c r="C817">
        <v>7</v>
      </c>
      <c r="D817">
        <v>208</v>
      </c>
      <c r="E817">
        <v>4</v>
      </c>
      <c r="F817" t="s">
        <v>45</v>
      </c>
      <c r="G817" t="s">
        <v>1215</v>
      </c>
      <c r="H817">
        <v>7</v>
      </c>
      <c r="J817" t="s">
        <v>662</v>
      </c>
      <c r="K817" t="s">
        <v>488</v>
      </c>
      <c r="L817">
        <v>294.3</v>
      </c>
      <c r="M817">
        <v>674</v>
      </c>
      <c r="N817" t="s">
        <v>1210</v>
      </c>
      <c r="O817">
        <v>208</v>
      </c>
    </row>
    <row r="818" spans="1:16" x14ac:dyDescent="0.35">
      <c r="A818">
        <v>2019</v>
      </c>
      <c r="B818">
        <v>2</v>
      </c>
      <c r="C818">
        <v>18</v>
      </c>
      <c r="D818">
        <v>174</v>
      </c>
      <c r="E818">
        <v>1</v>
      </c>
      <c r="F818" t="s">
        <v>41</v>
      </c>
      <c r="G818" t="s">
        <v>1207</v>
      </c>
      <c r="H818">
        <v>6</v>
      </c>
      <c r="J818" t="s">
        <v>42</v>
      </c>
      <c r="K818" t="s">
        <v>318</v>
      </c>
      <c r="L818">
        <v>290.89999999999998</v>
      </c>
      <c r="M818">
        <v>676</v>
      </c>
      <c r="N818" t="s">
        <v>1208</v>
      </c>
      <c r="O818">
        <v>174</v>
      </c>
    </row>
    <row r="819" spans="1:16" x14ac:dyDescent="0.35">
      <c r="A819">
        <v>2019</v>
      </c>
      <c r="B819">
        <v>2</v>
      </c>
      <c r="C819">
        <v>18</v>
      </c>
      <c r="D819">
        <v>174</v>
      </c>
      <c r="E819">
        <v>1</v>
      </c>
      <c r="F819" t="s">
        <v>41</v>
      </c>
      <c r="G819" t="s">
        <v>1207</v>
      </c>
      <c r="H819">
        <v>6</v>
      </c>
      <c r="J819" t="s">
        <v>42</v>
      </c>
      <c r="K819" t="s">
        <v>318</v>
      </c>
      <c r="L819">
        <v>290.89999999999998</v>
      </c>
      <c r="M819">
        <v>676</v>
      </c>
      <c r="N819" t="s">
        <v>1208</v>
      </c>
      <c r="O819">
        <v>174</v>
      </c>
    </row>
    <row r="820" spans="1:16" x14ac:dyDescent="0.35">
      <c r="A820">
        <v>2019</v>
      </c>
      <c r="B820">
        <v>2</v>
      </c>
      <c r="C820">
        <v>18</v>
      </c>
      <c r="D820">
        <v>174</v>
      </c>
      <c r="E820">
        <v>1</v>
      </c>
      <c r="F820" t="s">
        <v>41</v>
      </c>
      <c r="G820" t="s">
        <v>1207</v>
      </c>
      <c r="H820">
        <v>6</v>
      </c>
      <c r="J820" t="s">
        <v>42</v>
      </c>
      <c r="K820" t="s">
        <v>318</v>
      </c>
      <c r="L820">
        <v>290.89999999999998</v>
      </c>
      <c r="M820">
        <v>676</v>
      </c>
      <c r="N820" t="s">
        <v>1208</v>
      </c>
      <c r="O820">
        <v>174</v>
      </c>
    </row>
    <row r="821" spans="1:16" x14ac:dyDescent="0.35">
      <c r="A821">
        <v>2023</v>
      </c>
      <c r="B821">
        <v>2</v>
      </c>
      <c r="C821">
        <v>10</v>
      </c>
      <c r="D821">
        <v>148</v>
      </c>
      <c r="E821">
        <v>1</v>
      </c>
      <c r="F821" t="s">
        <v>41</v>
      </c>
      <c r="G821" t="s">
        <v>1207</v>
      </c>
      <c r="H821">
        <v>10</v>
      </c>
      <c r="J821" t="s">
        <v>91</v>
      </c>
      <c r="K821" t="s">
        <v>318</v>
      </c>
      <c r="L821">
        <v>616.70000000000005</v>
      </c>
      <c r="M821">
        <v>678</v>
      </c>
      <c r="N821" t="s">
        <v>1208</v>
      </c>
      <c r="O821">
        <v>148</v>
      </c>
    </row>
    <row r="822" spans="1:16" x14ac:dyDescent="0.35">
      <c r="A822">
        <v>2023</v>
      </c>
      <c r="B822">
        <v>11</v>
      </c>
      <c r="C822">
        <v>14</v>
      </c>
      <c r="D822">
        <v>515</v>
      </c>
      <c r="E822">
        <v>4</v>
      </c>
      <c r="F822" t="s">
        <v>225</v>
      </c>
      <c r="G822" t="s">
        <v>1209</v>
      </c>
      <c r="H822">
        <v>2</v>
      </c>
      <c r="J822" t="s">
        <v>227</v>
      </c>
      <c r="K822">
        <v>4</v>
      </c>
      <c r="L822">
        <v>370</v>
      </c>
      <c r="M822">
        <v>679</v>
      </c>
      <c r="N822" t="s">
        <v>1209</v>
      </c>
      <c r="O822">
        <v>515</v>
      </c>
    </row>
    <row r="823" spans="1:16" x14ac:dyDescent="0.35">
      <c r="A823">
        <v>2016</v>
      </c>
      <c r="B823">
        <v>9</v>
      </c>
      <c r="C823">
        <v>1</v>
      </c>
      <c r="D823">
        <v>232</v>
      </c>
      <c r="E823">
        <v>3</v>
      </c>
      <c r="F823" t="s">
        <v>45</v>
      </c>
      <c r="G823" t="s">
        <v>1208</v>
      </c>
      <c r="H823">
        <v>5</v>
      </c>
      <c r="J823" t="s">
        <v>647</v>
      </c>
      <c r="K823" t="s">
        <v>317</v>
      </c>
      <c r="L823">
        <v>33.200000000000003</v>
      </c>
      <c r="M823">
        <v>680</v>
      </c>
      <c r="N823" t="s">
        <v>1210</v>
      </c>
      <c r="O823">
        <v>232</v>
      </c>
      <c r="P823">
        <v>6.59</v>
      </c>
    </row>
    <row r="824" spans="1:16" x14ac:dyDescent="0.35">
      <c r="A824">
        <v>2017</v>
      </c>
      <c r="B824">
        <v>11</v>
      </c>
      <c r="C824">
        <v>9</v>
      </c>
      <c r="D824">
        <v>77</v>
      </c>
      <c r="E824">
        <v>4</v>
      </c>
      <c r="F824" t="s">
        <v>45</v>
      </c>
      <c r="G824" t="s">
        <v>1208</v>
      </c>
      <c r="H824">
        <v>6</v>
      </c>
      <c r="J824" t="s">
        <v>317</v>
      </c>
      <c r="K824" t="s">
        <v>317</v>
      </c>
      <c r="L824">
        <v>37.5</v>
      </c>
      <c r="M824">
        <v>687</v>
      </c>
      <c r="N824" t="s">
        <v>1210</v>
      </c>
      <c r="O824">
        <v>77</v>
      </c>
    </row>
    <row r="825" spans="1:16" x14ac:dyDescent="0.35">
      <c r="A825">
        <v>2022</v>
      </c>
      <c r="B825">
        <v>1</v>
      </c>
      <c r="C825" t="s">
        <v>28</v>
      </c>
      <c r="D825">
        <v>17</v>
      </c>
      <c r="E825">
        <v>1</v>
      </c>
      <c r="F825" t="s">
        <v>41</v>
      </c>
      <c r="G825" t="s">
        <v>1212</v>
      </c>
      <c r="H825">
        <v>10</v>
      </c>
      <c r="J825" t="s">
        <v>461</v>
      </c>
      <c r="K825" t="s">
        <v>461</v>
      </c>
      <c r="L825">
        <v>360.6</v>
      </c>
      <c r="M825">
        <v>690</v>
      </c>
      <c r="N825" t="s">
        <v>1208</v>
      </c>
      <c r="O825">
        <v>17</v>
      </c>
      <c r="P825">
        <v>4.87</v>
      </c>
    </row>
    <row r="826" spans="1:16" x14ac:dyDescent="0.35">
      <c r="A826">
        <v>2024</v>
      </c>
      <c r="B826">
        <v>4</v>
      </c>
      <c r="C826">
        <v>1</v>
      </c>
      <c r="D826">
        <v>688</v>
      </c>
      <c r="E826">
        <v>2</v>
      </c>
      <c r="F826" t="s">
        <v>20</v>
      </c>
      <c r="G826" t="s">
        <v>1213</v>
      </c>
      <c r="H826">
        <v>4</v>
      </c>
      <c r="J826" t="s">
        <v>73</v>
      </c>
      <c r="K826">
        <v>37</v>
      </c>
      <c r="L826">
        <v>352.3</v>
      </c>
      <c r="M826">
        <v>690</v>
      </c>
      <c r="N826" t="s">
        <v>1214</v>
      </c>
      <c r="O826">
        <v>688</v>
      </c>
    </row>
    <row r="827" spans="1:16" x14ac:dyDescent="0.35">
      <c r="A827">
        <v>2016</v>
      </c>
      <c r="B827">
        <v>11</v>
      </c>
      <c r="C827">
        <v>7</v>
      </c>
      <c r="D827">
        <v>254</v>
      </c>
      <c r="E827">
        <v>4</v>
      </c>
      <c r="F827" t="s">
        <v>45</v>
      </c>
      <c r="G827" t="s">
        <v>1215</v>
      </c>
      <c r="H827">
        <v>7</v>
      </c>
      <c r="J827" t="s">
        <v>711</v>
      </c>
      <c r="K827" t="s">
        <v>512</v>
      </c>
      <c r="L827">
        <v>345.1</v>
      </c>
      <c r="M827">
        <v>693</v>
      </c>
      <c r="N827" t="s">
        <v>1210</v>
      </c>
      <c r="O827">
        <v>254</v>
      </c>
    </row>
    <row r="828" spans="1:16" x14ac:dyDescent="0.35">
      <c r="A828">
        <v>2022</v>
      </c>
      <c r="B828">
        <v>1</v>
      </c>
      <c r="C828" t="s">
        <v>28</v>
      </c>
      <c r="D828">
        <v>22</v>
      </c>
      <c r="E828">
        <v>1</v>
      </c>
      <c r="F828" t="s">
        <v>20</v>
      </c>
      <c r="G828" t="s">
        <v>1213</v>
      </c>
      <c r="H828">
        <v>2</v>
      </c>
      <c r="J828">
        <v>37</v>
      </c>
      <c r="K828">
        <v>37</v>
      </c>
      <c r="L828">
        <v>39.5</v>
      </c>
      <c r="M828">
        <v>694</v>
      </c>
      <c r="N828" t="s">
        <v>1214</v>
      </c>
      <c r="O828">
        <v>22</v>
      </c>
    </row>
    <row r="829" spans="1:16" x14ac:dyDescent="0.35">
      <c r="A829">
        <v>2023</v>
      </c>
      <c r="B829">
        <v>11</v>
      </c>
      <c r="C829">
        <v>2</v>
      </c>
      <c r="D829">
        <v>545</v>
      </c>
      <c r="E829">
        <v>4</v>
      </c>
      <c r="F829" t="s">
        <v>45</v>
      </c>
      <c r="G829" t="s">
        <v>1208</v>
      </c>
      <c r="H829">
        <v>12</v>
      </c>
      <c r="J829" t="s">
        <v>236</v>
      </c>
      <c r="K829" t="s">
        <v>317</v>
      </c>
      <c r="L829">
        <v>368.9</v>
      </c>
      <c r="M829">
        <v>696</v>
      </c>
      <c r="N829" t="s">
        <v>1210</v>
      </c>
      <c r="O829">
        <v>545</v>
      </c>
    </row>
    <row r="830" spans="1:16" x14ac:dyDescent="0.35">
      <c r="A830">
        <v>2016</v>
      </c>
      <c r="B830">
        <v>11</v>
      </c>
      <c r="C830">
        <v>7</v>
      </c>
      <c r="D830">
        <v>229</v>
      </c>
      <c r="E830">
        <v>4</v>
      </c>
      <c r="F830" t="s">
        <v>45</v>
      </c>
      <c r="G830" t="s">
        <v>1215</v>
      </c>
      <c r="H830">
        <v>7</v>
      </c>
      <c r="J830" t="s">
        <v>671</v>
      </c>
      <c r="K830" t="s">
        <v>512</v>
      </c>
      <c r="L830">
        <v>345.3</v>
      </c>
      <c r="M830">
        <v>699</v>
      </c>
      <c r="N830" t="s">
        <v>1210</v>
      </c>
      <c r="O830">
        <v>229</v>
      </c>
    </row>
    <row r="831" spans="1:16" x14ac:dyDescent="0.35">
      <c r="A831">
        <v>2024</v>
      </c>
      <c r="B831">
        <v>1</v>
      </c>
      <c r="C831">
        <v>17</v>
      </c>
      <c r="D831">
        <v>555</v>
      </c>
      <c r="E831">
        <v>1</v>
      </c>
      <c r="F831" t="s">
        <v>41</v>
      </c>
      <c r="G831" t="s">
        <v>1207</v>
      </c>
      <c r="H831">
        <v>11</v>
      </c>
      <c r="J831" t="s">
        <v>49</v>
      </c>
      <c r="K831" t="s">
        <v>318</v>
      </c>
      <c r="L831">
        <v>351.5</v>
      </c>
      <c r="M831">
        <v>700</v>
      </c>
      <c r="N831" t="s">
        <v>1208</v>
      </c>
      <c r="O831">
        <v>555</v>
      </c>
    </row>
    <row r="832" spans="1:16" x14ac:dyDescent="0.35">
      <c r="A832">
        <v>2017</v>
      </c>
      <c r="B832">
        <v>1</v>
      </c>
      <c r="C832">
        <v>20</v>
      </c>
      <c r="D832">
        <v>95</v>
      </c>
      <c r="E832">
        <v>1</v>
      </c>
      <c r="F832" t="s">
        <v>41</v>
      </c>
      <c r="G832" t="s">
        <v>1212</v>
      </c>
      <c r="H832">
        <v>5</v>
      </c>
      <c r="J832" t="s">
        <v>541</v>
      </c>
      <c r="K832" t="s">
        <v>461</v>
      </c>
      <c r="L832">
        <v>342.4</v>
      </c>
      <c r="M832">
        <v>703</v>
      </c>
      <c r="N832" t="s">
        <v>1208</v>
      </c>
      <c r="O832">
        <v>95</v>
      </c>
    </row>
    <row r="833" spans="1:16" x14ac:dyDescent="0.35">
      <c r="A833">
        <v>2017</v>
      </c>
      <c r="B833">
        <v>1</v>
      </c>
      <c r="C833">
        <v>20</v>
      </c>
      <c r="D833">
        <v>95</v>
      </c>
      <c r="E833">
        <v>1</v>
      </c>
      <c r="F833" t="s">
        <v>41</v>
      </c>
      <c r="G833" t="s">
        <v>1212</v>
      </c>
      <c r="H833">
        <v>5</v>
      </c>
      <c r="J833" t="s">
        <v>541</v>
      </c>
      <c r="K833" t="s">
        <v>461</v>
      </c>
      <c r="L833">
        <v>342.4</v>
      </c>
      <c r="M833">
        <v>703</v>
      </c>
      <c r="N833" t="s">
        <v>1208</v>
      </c>
      <c r="O833">
        <v>95</v>
      </c>
    </row>
    <row r="834" spans="1:16" x14ac:dyDescent="0.35">
      <c r="A834">
        <v>2024</v>
      </c>
      <c r="B834">
        <v>8</v>
      </c>
      <c r="C834">
        <v>5</v>
      </c>
      <c r="D834">
        <v>761</v>
      </c>
      <c r="E834">
        <v>3</v>
      </c>
      <c r="F834" t="s">
        <v>20</v>
      </c>
      <c r="G834" t="s">
        <v>1213</v>
      </c>
      <c r="H834">
        <v>4</v>
      </c>
      <c r="J834" t="s">
        <v>783</v>
      </c>
      <c r="K834">
        <v>7</v>
      </c>
      <c r="L834">
        <v>446.9</v>
      </c>
      <c r="M834">
        <v>704</v>
      </c>
      <c r="N834" t="s">
        <v>1214</v>
      </c>
      <c r="O834">
        <v>761</v>
      </c>
    </row>
    <row r="835" spans="1:16" x14ac:dyDescent="0.35">
      <c r="A835">
        <v>2023</v>
      </c>
      <c r="B835">
        <v>2</v>
      </c>
      <c r="C835">
        <v>1</v>
      </c>
      <c r="D835">
        <v>122</v>
      </c>
      <c r="E835">
        <v>1</v>
      </c>
      <c r="F835" t="s">
        <v>20</v>
      </c>
      <c r="G835" t="s">
        <v>1213</v>
      </c>
      <c r="H835">
        <v>3</v>
      </c>
      <c r="J835">
        <v>7</v>
      </c>
      <c r="K835">
        <v>7</v>
      </c>
      <c r="L835">
        <v>69.099999999999994</v>
      </c>
      <c r="M835">
        <v>707</v>
      </c>
      <c r="N835" t="s">
        <v>1214</v>
      </c>
      <c r="O835">
        <v>122</v>
      </c>
    </row>
    <row r="836" spans="1:16" x14ac:dyDescent="0.35">
      <c r="A836">
        <v>2022</v>
      </c>
      <c r="B836">
        <v>1</v>
      </c>
      <c r="C836" t="s">
        <v>28</v>
      </c>
      <c r="D836">
        <v>58</v>
      </c>
      <c r="E836">
        <v>1</v>
      </c>
      <c r="F836" t="s">
        <v>41</v>
      </c>
      <c r="G836" t="s">
        <v>1212</v>
      </c>
      <c r="H836">
        <v>10</v>
      </c>
      <c r="J836" t="s">
        <v>461</v>
      </c>
      <c r="K836" t="s">
        <v>461</v>
      </c>
      <c r="L836">
        <v>361.3</v>
      </c>
      <c r="M836">
        <v>711</v>
      </c>
      <c r="N836" t="s">
        <v>1208</v>
      </c>
      <c r="O836">
        <v>58</v>
      </c>
      <c r="P836">
        <v>2.39</v>
      </c>
    </row>
    <row r="837" spans="1:16" x14ac:dyDescent="0.35">
      <c r="A837">
        <v>2024</v>
      </c>
      <c r="B837">
        <v>1</v>
      </c>
      <c r="C837">
        <v>30</v>
      </c>
      <c r="D837">
        <v>649</v>
      </c>
      <c r="E837">
        <v>1</v>
      </c>
      <c r="F837" t="s">
        <v>225</v>
      </c>
      <c r="G837" t="s">
        <v>1216</v>
      </c>
      <c r="H837">
        <v>2</v>
      </c>
      <c r="J837" t="s">
        <v>58</v>
      </c>
      <c r="K837">
        <v>2</v>
      </c>
      <c r="L837">
        <v>415.8</v>
      </c>
      <c r="M837">
        <v>711</v>
      </c>
      <c r="N837" t="s">
        <v>1209</v>
      </c>
      <c r="O837">
        <v>649</v>
      </c>
    </row>
    <row r="838" spans="1:16" x14ac:dyDescent="0.35">
      <c r="A838">
        <v>2017</v>
      </c>
      <c r="B838">
        <v>11</v>
      </c>
      <c r="C838">
        <v>9</v>
      </c>
      <c r="D838">
        <v>79</v>
      </c>
      <c r="E838">
        <v>4</v>
      </c>
      <c r="F838" t="s">
        <v>45</v>
      </c>
      <c r="G838" t="s">
        <v>1208</v>
      </c>
      <c r="H838">
        <v>6</v>
      </c>
      <c r="J838" t="s">
        <v>317</v>
      </c>
      <c r="K838" t="s">
        <v>317</v>
      </c>
      <c r="L838">
        <v>435.2</v>
      </c>
      <c r="M838">
        <v>712</v>
      </c>
      <c r="N838" t="s">
        <v>1210</v>
      </c>
      <c r="O838">
        <v>79</v>
      </c>
    </row>
    <row r="839" spans="1:16" x14ac:dyDescent="0.35">
      <c r="A839">
        <v>2023</v>
      </c>
      <c r="B839">
        <v>7</v>
      </c>
      <c r="C839">
        <v>19</v>
      </c>
      <c r="D839">
        <v>402</v>
      </c>
      <c r="E839">
        <v>3</v>
      </c>
      <c r="F839" t="s">
        <v>41</v>
      </c>
      <c r="G839" t="s">
        <v>1207</v>
      </c>
      <c r="H839">
        <v>10</v>
      </c>
      <c r="J839" t="s">
        <v>49</v>
      </c>
      <c r="K839" t="s">
        <v>318</v>
      </c>
      <c r="L839">
        <v>310.5</v>
      </c>
      <c r="M839">
        <v>714</v>
      </c>
      <c r="N839" t="s">
        <v>1208</v>
      </c>
      <c r="O839">
        <v>402</v>
      </c>
    </row>
    <row r="840" spans="1:16" x14ac:dyDescent="0.35">
      <c r="A840">
        <v>2024</v>
      </c>
      <c r="B840">
        <v>8</v>
      </c>
      <c r="C840">
        <v>9</v>
      </c>
      <c r="D840">
        <v>857</v>
      </c>
      <c r="E840">
        <v>3</v>
      </c>
      <c r="F840" t="s">
        <v>41</v>
      </c>
      <c r="G840" t="s">
        <v>1207</v>
      </c>
      <c r="H840">
        <v>11</v>
      </c>
      <c r="J840" t="s">
        <v>42</v>
      </c>
      <c r="K840" t="s">
        <v>318</v>
      </c>
      <c r="L840">
        <v>465.3</v>
      </c>
      <c r="M840">
        <v>718</v>
      </c>
      <c r="N840" t="s">
        <v>1208</v>
      </c>
      <c r="O840">
        <v>857</v>
      </c>
    </row>
    <row r="841" spans="1:16" x14ac:dyDescent="0.35">
      <c r="A841">
        <v>2016</v>
      </c>
      <c r="B841">
        <v>9</v>
      </c>
      <c r="C841">
        <v>1</v>
      </c>
      <c r="D841">
        <v>299</v>
      </c>
      <c r="E841">
        <v>3</v>
      </c>
      <c r="F841" t="s">
        <v>45</v>
      </c>
      <c r="G841" t="s">
        <v>1208</v>
      </c>
      <c r="H841">
        <v>5</v>
      </c>
      <c r="J841" t="s">
        <v>632</v>
      </c>
      <c r="K841" t="s">
        <v>317</v>
      </c>
      <c r="L841">
        <v>492.5</v>
      </c>
      <c r="M841">
        <v>719</v>
      </c>
      <c r="N841" t="s">
        <v>1210</v>
      </c>
      <c r="O841">
        <v>299</v>
      </c>
    </row>
    <row r="842" spans="1:16" x14ac:dyDescent="0.35">
      <c r="A842">
        <v>2022</v>
      </c>
      <c r="B842">
        <v>1</v>
      </c>
      <c r="C842" t="s">
        <v>28</v>
      </c>
      <c r="D842">
        <v>3</v>
      </c>
      <c r="E842">
        <v>1</v>
      </c>
      <c r="F842" t="s">
        <v>41</v>
      </c>
      <c r="G842" t="s">
        <v>1207</v>
      </c>
      <c r="H842">
        <v>9</v>
      </c>
      <c r="J842" t="s">
        <v>318</v>
      </c>
      <c r="K842" t="s">
        <v>318</v>
      </c>
      <c r="L842">
        <v>464.6</v>
      </c>
      <c r="M842">
        <v>722</v>
      </c>
      <c r="N842" t="s">
        <v>1208</v>
      </c>
      <c r="O842">
        <v>3</v>
      </c>
      <c r="P842">
        <v>5.51</v>
      </c>
    </row>
    <row r="843" spans="1:16" x14ac:dyDescent="0.35">
      <c r="A843">
        <v>2022</v>
      </c>
      <c r="B843">
        <v>1</v>
      </c>
      <c r="C843" t="s">
        <v>28</v>
      </c>
      <c r="D843">
        <v>3</v>
      </c>
      <c r="E843">
        <v>1</v>
      </c>
      <c r="F843" t="s">
        <v>41</v>
      </c>
      <c r="G843" t="s">
        <v>1207</v>
      </c>
      <c r="H843">
        <v>9</v>
      </c>
      <c r="J843" t="s">
        <v>318</v>
      </c>
      <c r="K843" t="s">
        <v>318</v>
      </c>
      <c r="L843">
        <v>464.6</v>
      </c>
      <c r="M843">
        <v>722</v>
      </c>
      <c r="N843" t="s">
        <v>1208</v>
      </c>
      <c r="O843">
        <v>3</v>
      </c>
      <c r="P843">
        <v>3.68</v>
      </c>
    </row>
    <row r="844" spans="1:16" x14ac:dyDescent="0.35">
      <c r="A844">
        <v>2019</v>
      </c>
      <c r="B844">
        <v>2</v>
      </c>
      <c r="C844">
        <v>20</v>
      </c>
      <c r="D844">
        <v>173</v>
      </c>
      <c r="E844">
        <v>1</v>
      </c>
      <c r="F844" t="s">
        <v>41</v>
      </c>
      <c r="G844" t="s">
        <v>1212</v>
      </c>
      <c r="H844">
        <v>7</v>
      </c>
      <c r="J844" t="s">
        <v>623</v>
      </c>
      <c r="K844" t="s">
        <v>461</v>
      </c>
      <c r="L844">
        <v>417.3</v>
      </c>
      <c r="M844">
        <v>723</v>
      </c>
      <c r="N844" t="s">
        <v>1208</v>
      </c>
      <c r="O844">
        <v>173</v>
      </c>
    </row>
    <row r="845" spans="1:16" x14ac:dyDescent="0.35">
      <c r="A845">
        <v>2019</v>
      </c>
      <c r="B845">
        <v>2</v>
      </c>
      <c r="C845">
        <v>20</v>
      </c>
      <c r="D845">
        <v>173</v>
      </c>
      <c r="E845">
        <v>1</v>
      </c>
      <c r="F845" t="s">
        <v>41</v>
      </c>
      <c r="G845" t="s">
        <v>1212</v>
      </c>
      <c r="H845">
        <v>7</v>
      </c>
      <c r="J845" t="s">
        <v>623</v>
      </c>
      <c r="K845" t="s">
        <v>461</v>
      </c>
      <c r="L845">
        <v>417.3</v>
      </c>
      <c r="M845">
        <v>723</v>
      </c>
      <c r="N845" t="s">
        <v>1208</v>
      </c>
      <c r="O845">
        <v>173</v>
      </c>
    </row>
    <row r="846" spans="1:16" x14ac:dyDescent="0.35">
      <c r="A846">
        <v>2022</v>
      </c>
      <c r="B846">
        <v>11</v>
      </c>
      <c r="C846">
        <v>1</v>
      </c>
      <c r="D846">
        <v>368</v>
      </c>
      <c r="E846">
        <v>4</v>
      </c>
      <c r="F846" t="s">
        <v>41</v>
      </c>
      <c r="G846" t="s">
        <v>1207</v>
      </c>
      <c r="H846">
        <v>9</v>
      </c>
      <c r="J846" t="s">
        <v>42</v>
      </c>
      <c r="K846" t="s">
        <v>318</v>
      </c>
      <c r="L846">
        <v>295.89999999999998</v>
      </c>
      <c r="M846">
        <v>724</v>
      </c>
      <c r="N846" t="s">
        <v>1208</v>
      </c>
      <c r="O846">
        <v>368</v>
      </c>
    </row>
    <row r="847" spans="1:16" x14ac:dyDescent="0.35">
      <c r="A847">
        <v>2022</v>
      </c>
      <c r="B847">
        <v>1</v>
      </c>
      <c r="C847" t="s">
        <v>28</v>
      </c>
      <c r="D847">
        <v>60</v>
      </c>
      <c r="E847">
        <v>1</v>
      </c>
      <c r="F847" t="s">
        <v>41</v>
      </c>
      <c r="G847" t="s">
        <v>1212</v>
      </c>
      <c r="H847">
        <v>10</v>
      </c>
      <c r="J847" t="s">
        <v>461</v>
      </c>
      <c r="K847" t="s">
        <v>461</v>
      </c>
      <c r="L847">
        <v>399.2</v>
      </c>
      <c r="M847">
        <v>730</v>
      </c>
      <c r="N847" t="s">
        <v>1208</v>
      </c>
      <c r="O847">
        <v>60</v>
      </c>
    </row>
    <row r="848" spans="1:16" x14ac:dyDescent="0.35">
      <c r="A848">
        <v>2022</v>
      </c>
      <c r="B848">
        <v>11</v>
      </c>
      <c r="C848">
        <v>7</v>
      </c>
      <c r="D848">
        <v>116</v>
      </c>
      <c r="E848">
        <v>4</v>
      </c>
      <c r="F848" t="s">
        <v>41</v>
      </c>
      <c r="G848" t="s">
        <v>1212</v>
      </c>
      <c r="H848">
        <v>10</v>
      </c>
      <c r="J848" t="s">
        <v>461</v>
      </c>
      <c r="K848" t="s">
        <v>461</v>
      </c>
      <c r="L848">
        <v>441.9</v>
      </c>
      <c r="M848">
        <v>730</v>
      </c>
      <c r="N848" t="s">
        <v>1208</v>
      </c>
      <c r="O848">
        <v>116</v>
      </c>
    </row>
    <row r="849" spans="1:15" x14ac:dyDescent="0.35">
      <c r="A849">
        <v>2016</v>
      </c>
      <c r="B849">
        <v>9</v>
      </c>
      <c r="C849">
        <v>2</v>
      </c>
      <c r="D849">
        <v>290</v>
      </c>
      <c r="E849">
        <v>3</v>
      </c>
      <c r="F849" t="s">
        <v>41</v>
      </c>
      <c r="G849" t="s">
        <v>1207</v>
      </c>
      <c r="H849">
        <v>3</v>
      </c>
      <c r="J849" t="s">
        <v>42</v>
      </c>
      <c r="K849" t="s">
        <v>318</v>
      </c>
      <c r="L849">
        <v>403.5</v>
      </c>
      <c r="M849">
        <v>731</v>
      </c>
      <c r="N849" t="s">
        <v>1208</v>
      </c>
      <c r="O849">
        <v>290</v>
      </c>
    </row>
    <row r="850" spans="1:15" x14ac:dyDescent="0.35">
      <c r="A850">
        <v>2022</v>
      </c>
      <c r="B850">
        <v>11</v>
      </c>
      <c r="C850">
        <v>1</v>
      </c>
      <c r="D850">
        <v>362</v>
      </c>
      <c r="E850">
        <v>4</v>
      </c>
      <c r="F850" t="s">
        <v>41</v>
      </c>
      <c r="G850" t="s">
        <v>1207</v>
      </c>
      <c r="H850">
        <v>9</v>
      </c>
      <c r="J850" t="s">
        <v>583</v>
      </c>
      <c r="K850" t="s">
        <v>318</v>
      </c>
      <c r="L850">
        <v>318.8</v>
      </c>
      <c r="M850">
        <v>732</v>
      </c>
      <c r="N850" t="s">
        <v>1208</v>
      </c>
      <c r="O850">
        <v>362</v>
      </c>
    </row>
    <row r="851" spans="1:15" x14ac:dyDescent="0.35">
      <c r="A851">
        <v>2022</v>
      </c>
      <c r="B851">
        <v>11</v>
      </c>
      <c r="C851">
        <v>14</v>
      </c>
      <c r="D851">
        <v>120</v>
      </c>
      <c r="E851">
        <v>4</v>
      </c>
      <c r="F851" t="s">
        <v>20</v>
      </c>
      <c r="G851" t="s">
        <v>1213</v>
      </c>
      <c r="H851">
        <v>2</v>
      </c>
      <c r="J851">
        <v>8</v>
      </c>
      <c r="K851">
        <v>8</v>
      </c>
      <c r="L851">
        <v>470.6</v>
      </c>
      <c r="M851">
        <v>735</v>
      </c>
      <c r="N851" t="s">
        <v>1214</v>
      </c>
      <c r="O851">
        <v>120</v>
      </c>
    </row>
    <row r="852" spans="1:15" x14ac:dyDescent="0.35">
      <c r="A852">
        <v>2019</v>
      </c>
      <c r="B852">
        <v>2</v>
      </c>
      <c r="C852">
        <v>21</v>
      </c>
      <c r="D852">
        <v>158</v>
      </c>
      <c r="E852">
        <v>1</v>
      </c>
      <c r="F852" t="s">
        <v>45</v>
      </c>
      <c r="G852" t="s">
        <v>1208</v>
      </c>
      <c r="H852">
        <v>8</v>
      </c>
      <c r="J852" t="s">
        <v>602</v>
      </c>
      <c r="K852" t="s">
        <v>317</v>
      </c>
      <c r="L852">
        <v>482.9</v>
      </c>
      <c r="M852">
        <v>736</v>
      </c>
      <c r="N852" t="s">
        <v>1210</v>
      </c>
      <c r="O852">
        <v>158</v>
      </c>
    </row>
    <row r="853" spans="1:15" x14ac:dyDescent="0.35">
      <c r="A853">
        <v>2019</v>
      </c>
      <c r="B853">
        <v>2</v>
      </c>
      <c r="C853">
        <v>21</v>
      </c>
      <c r="D853">
        <v>158</v>
      </c>
      <c r="E853">
        <v>1</v>
      </c>
      <c r="F853" t="s">
        <v>45</v>
      </c>
      <c r="G853" t="s">
        <v>1208</v>
      </c>
      <c r="H853">
        <v>8</v>
      </c>
      <c r="J853" t="s">
        <v>602</v>
      </c>
      <c r="K853" t="s">
        <v>317</v>
      </c>
      <c r="L853">
        <v>482.9</v>
      </c>
      <c r="M853">
        <v>736</v>
      </c>
      <c r="N853" t="s">
        <v>1210</v>
      </c>
      <c r="O853">
        <v>158</v>
      </c>
    </row>
    <row r="854" spans="1:15" x14ac:dyDescent="0.35">
      <c r="A854">
        <v>2022</v>
      </c>
      <c r="B854">
        <v>11</v>
      </c>
      <c r="C854">
        <v>7</v>
      </c>
      <c r="D854">
        <v>127</v>
      </c>
      <c r="E854">
        <v>4</v>
      </c>
      <c r="F854" t="s">
        <v>41</v>
      </c>
      <c r="G854" t="s">
        <v>1212</v>
      </c>
      <c r="H854">
        <v>10</v>
      </c>
      <c r="J854" t="s">
        <v>461</v>
      </c>
      <c r="K854" t="s">
        <v>461</v>
      </c>
      <c r="L854">
        <v>504.1</v>
      </c>
      <c r="M854">
        <v>739</v>
      </c>
      <c r="N854" t="s">
        <v>1208</v>
      </c>
      <c r="O854">
        <v>127</v>
      </c>
    </row>
    <row r="855" spans="1:15" x14ac:dyDescent="0.35">
      <c r="A855">
        <v>2016</v>
      </c>
      <c r="B855">
        <v>11</v>
      </c>
      <c r="C855">
        <v>16</v>
      </c>
      <c r="D855">
        <v>200</v>
      </c>
      <c r="E855">
        <v>4</v>
      </c>
      <c r="F855" t="s">
        <v>41</v>
      </c>
      <c r="G855" t="s">
        <v>1207</v>
      </c>
      <c r="H855">
        <v>3</v>
      </c>
      <c r="J855" t="s">
        <v>42</v>
      </c>
      <c r="K855" t="s">
        <v>318</v>
      </c>
      <c r="L855">
        <v>483.5</v>
      </c>
      <c r="M855">
        <v>742</v>
      </c>
      <c r="N855" t="s">
        <v>1208</v>
      </c>
      <c r="O855">
        <v>200</v>
      </c>
    </row>
    <row r="856" spans="1:15" x14ac:dyDescent="0.35">
      <c r="A856">
        <v>2018</v>
      </c>
      <c r="B856">
        <v>8</v>
      </c>
      <c r="C856">
        <v>15</v>
      </c>
      <c r="D856">
        <v>288</v>
      </c>
      <c r="E856">
        <v>3</v>
      </c>
      <c r="F856" t="s">
        <v>41</v>
      </c>
      <c r="G856" t="s">
        <v>1207</v>
      </c>
      <c r="H856">
        <v>5</v>
      </c>
      <c r="J856" t="s">
        <v>509</v>
      </c>
      <c r="K856" t="s">
        <v>458</v>
      </c>
      <c r="L856">
        <v>49.1</v>
      </c>
      <c r="M856">
        <v>745</v>
      </c>
      <c r="N856" t="s">
        <v>1208</v>
      </c>
      <c r="O856">
        <v>288</v>
      </c>
    </row>
    <row r="857" spans="1:15" x14ac:dyDescent="0.35">
      <c r="A857">
        <v>2024</v>
      </c>
      <c r="B857">
        <v>8</v>
      </c>
      <c r="C857">
        <v>13</v>
      </c>
      <c r="D857">
        <v>721</v>
      </c>
      <c r="E857">
        <v>3</v>
      </c>
      <c r="F857" t="s">
        <v>225</v>
      </c>
      <c r="G857" t="s">
        <v>1209</v>
      </c>
      <c r="H857">
        <v>3</v>
      </c>
      <c r="J857" t="s">
        <v>1137</v>
      </c>
      <c r="K857">
        <v>3</v>
      </c>
      <c r="L857">
        <v>466.3</v>
      </c>
      <c r="M857">
        <v>745</v>
      </c>
      <c r="N857" t="s">
        <v>1209</v>
      </c>
      <c r="O857">
        <v>721</v>
      </c>
    </row>
    <row r="858" spans="1:15" x14ac:dyDescent="0.35">
      <c r="A858">
        <v>2018</v>
      </c>
      <c r="B858">
        <v>8</v>
      </c>
      <c r="C858">
        <v>15</v>
      </c>
      <c r="D858">
        <v>334</v>
      </c>
      <c r="E858">
        <v>3</v>
      </c>
      <c r="F858" t="s">
        <v>41</v>
      </c>
      <c r="G858" t="s">
        <v>1207</v>
      </c>
      <c r="H858">
        <v>5</v>
      </c>
      <c r="J858" t="s">
        <v>42</v>
      </c>
      <c r="K858" t="s">
        <v>318</v>
      </c>
      <c r="L858">
        <v>378.7</v>
      </c>
      <c r="M858">
        <v>746</v>
      </c>
      <c r="N858" t="s">
        <v>1208</v>
      </c>
      <c r="O858">
        <v>334</v>
      </c>
    </row>
    <row r="859" spans="1:15" x14ac:dyDescent="0.35">
      <c r="A859">
        <v>2024</v>
      </c>
      <c r="B859">
        <v>8</v>
      </c>
      <c r="C859">
        <v>20</v>
      </c>
      <c r="D859">
        <v>765</v>
      </c>
      <c r="E859">
        <v>3</v>
      </c>
      <c r="F859" t="s">
        <v>226</v>
      </c>
      <c r="G859" t="s">
        <v>1211</v>
      </c>
      <c r="H859">
        <v>7</v>
      </c>
      <c r="J859" t="s">
        <v>228</v>
      </c>
      <c r="K859">
        <v>7</v>
      </c>
      <c r="L859">
        <v>479.2</v>
      </c>
      <c r="M859">
        <v>747</v>
      </c>
      <c r="N859" t="s">
        <v>1211</v>
      </c>
      <c r="O859">
        <v>765</v>
      </c>
    </row>
    <row r="860" spans="1:15" x14ac:dyDescent="0.35">
      <c r="A860">
        <v>2023</v>
      </c>
      <c r="B860">
        <v>7</v>
      </c>
      <c r="C860">
        <v>19</v>
      </c>
      <c r="D860">
        <v>401</v>
      </c>
      <c r="E860">
        <v>3</v>
      </c>
      <c r="F860" t="s">
        <v>41</v>
      </c>
      <c r="G860" t="s">
        <v>1207</v>
      </c>
      <c r="H860">
        <v>10</v>
      </c>
      <c r="J860" t="s">
        <v>49</v>
      </c>
      <c r="K860" t="s">
        <v>318</v>
      </c>
      <c r="L860">
        <v>371.6</v>
      </c>
      <c r="M860">
        <v>751</v>
      </c>
      <c r="N860" t="s">
        <v>1208</v>
      </c>
      <c r="O860">
        <v>401</v>
      </c>
    </row>
    <row r="861" spans="1:15" x14ac:dyDescent="0.35">
      <c r="A861">
        <v>2024</v>
      </c>
      <c r="B861">
        <v>8</v>
      </c>
      <c r="C861">
        <v>5</v>
      </c>
      <c r="D861">
        <v>708</v>
      </c>
      <c r="E861">
        <v>3</v>
      </c>
      <c r="F861" t="s">
        <v>20</v>
      </c>
      <c r="G861" t="s">
        <v>1213</v>
      </c>
      <c r="H861">
        <v>4</v>
      </c>
      <c r="J861" t="s">
        <v>64</v>
      </c>
      <c r="K861">
        <v>7</v>
      </c>
      <c r="L861">
        <v>558.1</v>
      </c>
      <c r="M861">
        <v>751</v>
      </c>
      <c r="N861" t="s">
        <v>1214</v>
      </c>
      <c r="O861">
        <v>708</v>
      </c>
    </row>
    <row r="862" spans="1:15" x14ac:dyDescent="0.35">
      <c r="A862">
        <v>2017</v>
      </c>
      <c r="B862">
        <v>11</v>
      </c>
      <c r="C862">
        <v>9</v>
      </c>
      <c r="D862">
        <v>71</v>
      </c>
      <c r="E862">
        <v>4</v>
      </c>
      <c r="F862" t="s">
        <v>45</v>
      </c>
      <c r="G862" t="s">
        <v>1208</v>
      </c>
      <c r="H862">
        <v>6</v>
      </c>
      <c r="J862" t="s">
        <v>317</v>
      </c>
      <c r="K862" t="s">
        <v>317</v>
      </c>
      <c r="L862">
        <v>444.8</v>
      </c>
      <c r="M862">
        <v>752</v>
      </c>
      <c r="N862" t="s">
        <v>1210</v>
      </c>
      <c r="O862">
        <v>71</v>
      </c>
    </row>
    <row r="863" spans="1:15" x14ac:dyDescent="0.35">
      <c r="A863">
        <v>2024</v>
      </c>
      <c r="B863">
        <v>8</v>
      </c>
      <c r="C863">
        <v>13</v>
      </c>
      <c r="D863">
        <v>710</v>
      </c>
      <c r="E863">
        <v>3</v>
      </c>
      <c r="F863" t="s">
        <v>225</v>
      </c>
      <c r="G863" t="s">
        <v>1216</v>
      </c>
      <c r="H863">
        <v>2</v>
      </c>
      <c r="J863" t="s">
        <v>1126</v>
      </c>
      <c r="K863">
        <v>2</v>
      </c>
      <c r="L863">
        <v>450.1</v>
      </c>
      <c r="M863">
        <v>755</v>
      </c>
      <c r="N863" t="s">
        <v>1209</v>
      </c>
      <c r="O863">
        <v>710</v>
      </c>
    </row>
    <row r="864" spans="1:15" x14ac:dyDescent="0.35">
      <c r="A864">
        <v>2022</v>
      </c>
      <c r="B864">
        <v>11</v>
      </c>
      <c r="C864">
        <v>1</v>
      </c>
      <c r="D864">
        <v>371</v>
      </c>
      <c r="E864">
        <v>4</v>
      </c>
      <c r="F864" t="s">
        <v>41</v>
      </c>
      <c r="G864" t="s">
        <v>1207</v>
      </c>
      <c r="H864">
        <v>9</v>
      </c>
      <c r="J864" t="s">
        <v>49</v>
      </c>
      <c r="K864" t="s">
        <v>318</v>
      </c>
      <c r="L864">
        <v>422.6</v>
      </c>
      <c r="M864">
        <v>756</v>
      </c>
      <c r="N864" t="s">
        <v>1208</v>
      </c>
      <c r="O864">
        <v>371</v>
      </c>
    </row>
    <row r="865" spans="1:15" x14ac:dyDescent="0.35">
      <c r="A865">
        <v>2023</v>
      </c>
      <c r="B865">
        <v>7</v>
      </c>
      <c r="C865">
        <v>17</v>
      </c>
      <c r="D865">
        <v>386</v>
      </c>
      <c r="E865">
        <v>3</v>
      </c>
      <c r="F865" t="s">
        <v>45</v>
      </c>
      <c r="G865" t="s">
        <v>1208</v>
      </c>
      <c r="H865">
        <v>12</v>
      </c>
      <c r="J865" t="s">
        <v>46</v>
      </c>
      <c r="K865" t="s">
        <v>317</v>
      </c>
      <c r="L865">
        <v>409.8</v>
      </c>
      <c r="M865">
        <v>757</v>
      </c>
      <c r="N865" t="s">
        <v>1210</v>
      </c>
      <c r="O865">
        <v>386</v>
      </c>
    </row>
    <row r="866" spans="1:15" x14ac:dyDescent="0.35">
      <c r="A866">
        <v>2023</v>
      </c>
      <c r="B866">
        <v>11</v>
      </c>
      <c r="C866">
        <v>9</v>
      </c>
      <c r="D866">
        <v>549</v>
      </c>
      <c r="E866">
        <v>4</v>
      </c>
      <c r="F866" t="s">
        <v>20</v>
      </c>
      <c r="G866" t="s">
        <v>1213</v>
      </c>
      <c r="H866">
        <v>3</v>
      </c>
      <c r="J866" t="s">
        <v>64</v>
      </c>
      <c r="K866">
        <v>7</v>
      </c>
      <c r="L866">
        <v>576.29999999999995</v>
      </c>
      <c r="M866">
        <v>757</v>
      </c>
      <c r="N866" t="s">
        <v>1214</v>
      </c>
      <c r="O866">
        <v>549</v>
      </c>
    </row>
    <row r="867" spans="1:15" x14ac:dyDescent="0.35">
      <c r="A867" t="s">
        <v>28</v>
      </c>
      <c r="B867" t="s">
        <v>28</v>
      </c>
      <c r="C867" t="s">
        <v>28</v>
      </c>
      <c r="D867">
        <v>448</v>
      </c>
      <c r="E867" t="s">
        <v>28</v>
      </c>
      <c r="F867" t="s">
        <v>28</v>
      </c>
      <c r="G867" t="b">
        <v>0</v>
      </c>
      <c r="H867" t="e">
        <v>#VALUE!</v>
      </c>
      <c r="J867" t="s">
        <v>28</v>
      </c>
      <c r="K867" t="s">
        <v>28</v>
      </c>
      <c r="L867">
        <v>517.70000000000005</v>
      </c>
      <c r="M867">
        <v>761</v>
      </c>
      <c r="N867" t="b">
        <v>0</v>
      </c>
      <c r="O867">
        <v>448</v>
      </c>
    </row>
    <row r="868" spans="1:15" x14ac:dyDescent="0.35">
      <c r="A868">
        <v>2019</v>
      </c>
      <c r="B868">
        <v>2</v>
      </c>
      <c r="C868">
        <v>21</v>
      </c>
      <c r="D868">
        <v>157</v>
      </c>
      <c r="E868">
        <v>1</v>
      </c>
      <c r="F868" t="s">
        <v>45</v>
      </c>
      <c r="G868" t="s">
        <v>1208</v>
      </c>
      <c r="H868">
        <v>8</v>
      </c>
      <c r="J868" t="s">
        <v>602</v>
      </c>
      <c r="K868" t="s">
        <v>317</v>
      </c>
      <c r="L868">
        <v>540.5</v>
      </c>
      <c r="M868">
        <v>770</v>
      </c>
      <c r="N868" t="s">
        <v>1210</v>
      </c>
      <c r="O868">
        <v>157</v>
      </c>
    </row>
    <row r="869" spans="1:15" x14ac:dyDescent="0.35">
      <c r="A869">
        <v>2024</v>
      </c>
      <c r="B869">
        <v>4</v>
      </c>
      <c r="C869">
        <v>1</v>
      </c>
      <c r="D869">
        <v>689</v>
      </c>
      <c r="E869">
        <v>2</v>
      </c>
      <c r="F869" t="s">
        <v>20</v>
      </c>
      <c r="G869" t="s">
        <v>1213</v>
      </c>
      <c r="H869">
        <v>4</v>
      </c>
      <c r="J869" t="s">
        <v>73</v>
      </c>
      <c r="K869">
        <v>37</v>
      </c>
      <c r="L869">
        <v>542.5</v>
      </c>
      <c r="M869">
        <v>770</v>
      </c>
      <c r="N869" t="s">
        <v>1214</v>
      </c>
      <c r="O869">
        <v>689</v>
      </c>
    </row>
    <row r="870" spans="1:15" x14ac:dyDescent="0.35">
      <c r="A870">
        <v>2018</v>
      </c>
      <c r="B870">
        <v>8</v>
      </c>
      <c r="C870">
        <v>15</v>
      </c>
      <c r="D870">
        <v>304</v>
      </c>
      <c r="E870">
        <v>3</v>
      </c>
      <c r="F870" t="s">
        <v>41</v>
      </c>
      <c r="G870" t="s">
        <v>1207</v>
      </c>
      <c r="H870">
        <v>5</v>
      </c>
      <c r="J870" t="s">
        <v>49</v>
      </c>
      <c r="K870" t="s">
        <v>318</v>
      </c>
      <c r="L870">
        <v>465.5</v>
      </c>
      <c r="M870">
        <v>775</v>
      </c>
      <c r="N870" t="s">
        <v>1208</v>
      </c>
      <c r="O870">
        <v>304</v>
      </c>
    </row>
    <row r="871" spans="1:15" x14ac:dyDescent="0.35">
      <c r="A871">
        <v>2022</v>
      </c>
      <c r="B871">
        <v>11</v>
      </c>
      <c r="C871">
        <v>1</v>
      </c>
      <c r="D871">
        <v>363</v>
      </c>
      <c r="E871">
        <v>4</v>
      </c>
      <c r="F871" t="s">
        <v>41</v>
      </c>
      <c r="G871" t="s">
        <v>1207</v>
      </c>
      <c r="H871">
        <v>9</v>
      </c>
      <c r="J871" t="s">
        <v>669</v>
      </c>
      <c r="K871" t="s">
        <v>458</v>
      </c>
      <c r="L871">
        <v>510.2</v>
      </c>
      <c r="M871">
        <v>775</v>
      </c>
      <c r="N871" t="s">
        <v>1208</v>
      </c>
      <c r="O871">
        <v>363</v>
      </c>
    </row>
    <row r="872" spans="1:15" x14ac:dyDescent="0.35">
      <c r="A872">
        <v>2024</v>
      </c>
      <c r="B872">
        <v>1</v>
      </c>
      <c r="C872">
        <v>22</v>
      </c>
      <c r="D872">
        <v>587</v>
      </c>
      <c r="E872">
        <v>1</v>
      </c>
      <c r="F872" t="s">
        <v>20</v>
      </c>
      <c r="G872" t="s">
        <v>1213</v>
      </c>
      <c r="H872">
        <v>4</v>
      </c>
      <c r="J872" t="s">
        <v>73</v>
      </c>
      <c r="K872">
        <v>37</v>
      </c>
      <c r="L872">
        <v>527.6</v>
      </c>
      <c r="M872">
        <v>776</v>
      </c>
      <c r="N872" t="s">
        <v>1214</v>
      </c>
      <c r="O872">
        <v>587</v>
      </c>
    </row>
    <row r="873" spans="1:15" x14ac:dyDescent="0.35">
      <c r="A873">
        <v>2016</v>
      </c>
      <c r="B873">
        <v>11</v>
      </c>
      <c r="C873">
        <v>8</v>
      </c>
      <c r="D873">
        <v>191</v>
      </c>
      <c r="E873">
        <v>4</v>
      </c>
      <c r="F873" t="s">
        <v>45</v>
      </c>
      <c r="G873" t="s">
        <v>1208</v>
      </c>
      <c r="H873">
        <v>5</v>
      </c>
      <c r="J873" t="s">
        <v>46</v>
      </c>
      <c r="K873" t="s">
        <v>317</v>
      </c>
      <c r="L873">
        <v>688.2</v>
      </c>
      <c r="M873">
        <v>780</v>
      </c>
      <c r="N873" t="s">
        <v>1210</v>
      </c>
      <c r="O873">
        <v>191</v>
      </c>
    </row>
    <row r="874" spans="1:15" x14ac:dyDescent="0.35">
      <c r="A874">
        <v>2024</v>
      </c>
      <c r="B874">
        <v>1</v>
      </c>
      <c r="C874">
        <v>17</v>
      </c>
      <c r="D874">
        <v>608</v>
      </c>
      <c r="E874">
        <v>1</v>
      </c>
      <c r="F874" t="s">
        <v>41</v>
      </c>
      <c r="G874" t="s">
        <v>1207</v>
      </c>
      <c r="H874">
        <v>11</v>
      </c>
      <c r="J874" t="s">
        <v>583</v>
      </c>
      <c r="K874" t="s">
        <v>318</v>
      </c>
      <c r="L874">
        <v>522.5</v>
      </c>
      <c r="M874">
        <v>780</v>
      </c>
      <c r="N874" t="s">
        <v>1208</v>
      </c>
      <c r="O874">
        <v>608</v>
      </c>
    </row>
    <row r="875" spans="1:15" x14ac:dyDescent="0.35">
      <c r="A875">
        <v>2011</v>
      </c>
      <c r="B875">
        <v>11</v>
      </c>
      <c r="C875">
        <v>14</v>
      </c>
      <c r="D875">
        <v>611</v>
      </c>
      <c r="E875">
        <v>4</v>
      </c>
      <c r="F875" t="s">
        <v>45</v>
      </c>
      <c r="G875" t="s">
        <v>1215</v>
      </c>
      <c r="H875">
        <v>2</v>
      </c>
      <c r="J875" t="s">
        <v>671</v>
      </c>
      <c r="K875" t="s">
        <v>512</v>
      </c>
      <c r="L875">
        <v>597.79999999999995</v>
      </c>
      <c r="M875">
        <v>780</v>
      </c>
      <c r="N875" t="s">
        <v>1210</v>
      </c>
      <c r="O875">
        <v>611</v>
      </c>
    </row>
    <row r="876" spans="1:15" x14ac:dyDescent="0.35">
      <c r="A876">
        <v>2022</v>
      </c>
      <c r="B876">
        <v>11</v>
      </c>
      <c r="C876">
        <v>1</v>
      </c>
      <c r="D876">
        <v>372</v>
      </c>
      <c r="E876">
        <v>4</v>
      </c>
      <c r="F876" t="s">
        <v>41</v>
      </c>
      <c r="G876" t="s">
        <v>1207</v>
      </c>
      <c r="H876">
        <v>9</v>
      </c>
      <c r="J876" t="s">
        <v>42</v>
      </c>
      <c r="K876" t="s">
        <v>318</v>
      </c>
      <c r="L876">
        <v>439.7</v>
      </c>
      <c r="M876">
        <v>781</v>
      </c>
      <c r="N876" t="s">
        <v>1208</v>
      </c>
      <c r="O876">
        <v>372</v>
      </c>
    </row>
    <row r="877" spans="1:15" x14ac:dyDescent="0.35">
      <c r="A877">
        <v>2024</v>
      </c>
      <c r="B877">
        <v>8</v>
      </c>
      <c r="C877">
        <v>9</v>
      </c>
      <c r="D877">
        <v>713</v>
      </c>
      <c r="E877">
        <v>3</v>
      </c>
      <c r="F877" t="s">
        <v>41</v>
      </c>
      <c r="G877" t="s">
        <v>1207</v>
      </c>
      <c r="H877">
        <v>11</v>
      </c>
      <c r="J877" t="s">
        <v>42</v>
      </c>
      <c r="K877" t="s">
        <v>318</v>
      </c>
      <c r="L877">
        <v>454.7</v>
      </c>
      <c r="M877">
        <v>782</v>
      </c>
      <c r="N877" t="s">
        <v>1208</v>
      </c>
      <c r="O877">
        <v>713</v>
      </c>
    </row>
    <row r="878" spans="1:15" x14ac:dyDescent="0.35">
      <c r="A878">
        <v>2016</v>
      </c>
      <c r="B878">
        <v>9</v>
      </c>
      <c r="C878">
        <v>1</v>
      </c>
      <c r="D878">
        <v>246</v>
      </c>
      <c r="E878">
        <v>3</v>
      </c>
      <c r="F878" t="s">
        <v>41</v>
      </c>
      <c r="G878" t="s">
        <v>1212</v>
      </c>
      <c r="H878">
        <v>4</v>
      </c>
      <c r="J878" t="s">
        <v>544</v>
      </c>
      <c r="K878" t="s">
        <v>461</v>
      </c>
      <c r="L878">
        <v>480.5</v>
      </c>
      <c r="M878">
        <v>784</v>
      </c>
      <c r="N878" t="s">
        <v>1208</v>
      </c>
      <c r="O878">
        <v>246</v>
      </c>
    </row>
    <row r="879" spans="1:15" x14ac:dyDescent="0.35">
      <c r="A879">
        <v>2023</v>
      </c>
      <c r="B879">
        <v>2</v>
      </c>
      <c r="C879">
        <v>13</v>
      </c>
      <c r="D879">
        <v>153</v>
      </c>
      <c r="E879">
        <v>1</v>
      </c>
      <c r="F879" t="s">
        <v>41</v>
      </c>
      <c r="G879" t="s">
        <v>1212</v>
      </c>
      <c r="H879">
        <v>11</v>
      </c>
      <c r="J879" t="s">
        <v>461</v>
      </c>
      <c r="K879" t="s">
        <v>461</v>
      </c>
      <c r="L879">
        <v>519.79999999999995</v>
      </c>
      <c r="M879">
        <v>785</v>
      </c>
      <c r="N879" t="s">
        <v>1208</v>
      </c>
      <c r="O879">
        <v>153</v>
      </c>
    </row>
    <row r="880" spans="1:15" x14ac:dyDescent="0.35">
      <c r="A880">
        <v>2023</v>
      </c>
      <c r="B880">
        <v>2</v>
      </c>
      <c r="C880">
        <v>13</v>
      </c>
      <c r="D880">
        <v>153</v>
      </c>
      <c r="E880">
        <v>1</v>
      </c>
      <c r="F880" t="s">
        <v>41</v>
      </c>
      <c r="G880" t="s">
        <v>1212</v>
      </c>
      <c r="H880">
        <v>11</v>
      </c>
      <c r="J880" t="s">
        <v>461</v>
      </c>
      <c r="K880" t="s">
        <v>461</v>
      </c>
      <c r="L880">
        <v>519.79999999999995</v>
      </c>
      <c r="M880">
        <v>785</v>
      </c>
      <c r="N880" t="s">
        <v>1208</v>
      </c>
      <c r="O880">
        <v>153</v>
      </c>
    </row>
    <row r="881" spans="1:15" x14ac:dyDescent="0.35">
      <c r="A881">
        <v>2018</v>
      </c>
      <c r="B881">
        <v>8</v>
      </c>
      <c r="C881">
        <v>15</v>
      </c>
      <c r="D881">
        <v>309</v>
      </c>
      <c r="E881">
        <v>3</v>
      </c>
      <c r="F881" t="s">
        <v>41</v>
      </c>
      <c r="G881" t="s">
        <v>1207</v>
      </c>
      <c r="H881">
        <v>5</v>
      </c>
      <c r="J881" t="s">
        <v>49</v>
      </c>
      <c r="K881" t="s">
        <v>318</v>
      </c>
      <c r="L881">
        <v>568.5</v>
      </c>
      <c r="M881">
        <v>785</v>
      </c>
      <c r="N881" t="s">
        <v>1208</v>
      </c>
      <c r="O881">
        <v>309</v>
      </c>
    </row>
    <row r="882" spans="1:15" x14ac:dyDescent="0.35">
      <c r="A882">
        <v>2019</v>
      </c>
      <c r="B882">
        <v>2</v>
      </c>
      <c r="C882">
        <v>20</v>
      </c>
      <c r="D882">
        <v>163</v>
      </c>
      <c r="E882">
        <v>1</v>
      </c>
      <c r="F882" t="s">
        <v>45</v>
      </c>
      <c r="G882" t="s">
        <v>1208</v>
      </c>
      <c r="H882">
        <v>8</v>
      </c>
      <c r="J882" t="s">
        <v>610</v>
      </c>
      <c r="K882" t="s">
        <v>317</v>
      </c>
      <c r="L882">
        <v>603.1</v>
      </c>
      <c r="M882">
        <v>786</v>
      </c>
      <c r="N882" t="s">
        <v>1210</v>
      </c>
      <c r="O882">
        <v>163</v>
      </c>
    </row>
    <row r="883" spans="1:15" x14ac:dyDescent="0.35">
      <c r="A883">
        <v>2022</v>
      </c>
      <c r="B883">
        <v>11</v>
      </c>
      <c r="C883">
        <v>1</v>
      </c>
      <c r="D883">
        <v>406</v>
      </c>
      <c r="E883">
        <v>4</v>
      </c>
      <c r="F883" t="s">
        <v>41</v>
      </c>
      <c r="G883" t="s">
        <v>1207</v>
      </c>
      <c r="H883">
        <v>9</v>
      </c>
      <c r="J883" t="s">
        <v>509</v>
      </c>
      <c r="K883" t="s">
        <v>458</v>
      </c>
      <c r="L883">
        <v>37.5</v>
      </c>
      <c r="M883">
        <v>790</v>
      </c>
      <c r="N883" t="s">
        <v>1208</v>
      </c>
      <c r="O883">
        <v>406</v>
      </c>
    </row>
    <row r="884" spans="1:15" x14ac:dyDescent="0.35">
      <c r="A884">
        <v>2024</v>
      </c>
      <c r="B884">
        <v>1</v>
      </c>
      <c r="C884">
        <v>17</v>
      </c>
      <c r="D884">
        <v>585</v>
      </c>
      <c r="E884">
        <v>1</v>
      </c>
      <c r="F884" t="s">
        <v>41</v>
      </c>
      <c r="G884" t="s">
        <v>1207</v>
      </c>
      <c r="H884">
        <v>11</v>
      </c>
      <c r="J884" t="s">
        <v>583</v>
      </c>
      <c r="K884" t="s">
        <v>318</v>
      </c>
      <c r="L884">
        <v>554.1</v>
      </c>
      <c r="M884">
        <v>794</v>
      </c>
      <c r="N884" t="s">
        <v>1208</v>
      </c>
      <c r="O884">
        <v>585</v>
      </c>
    </row>
    <row r="885" spans="1:15" x14ac:dyDescent="0.35">
      <c r="A885">
        <v>2024</v>
      </c>
      <c r="B885">
        <v>8</v>
      </c>
      <c r="C885">
        <v>9</v>
      </c>
      <c r="D885">
        <v>712</v>
      </c>
      <c r="E885">
        <v>3</v>
      </c>
      <c r="F885" t="s">
        <v>41</v>
      </c>
      <c r="G885" t="s">
        <v>1207</v>
      </c>
      <c r="H885">
        <v>11</v>
      </c>
      <c r="J885" t="s">
        <v>42</v>
      </c>
      <c r="K885" t="s">
        <v>318</v>
      </c>
      <c r="L885">
        <v>537.70000000000005</v>
      </c>
      <c r="M885">
        <v>794</v>
      </c>
      <c r="N885" t="s">
        <v>1208</v>
      </c>
      <c r="O885">
        <v>712</v>
      </c>
    </row>
    <row r="886" spans="1:15" x14ac:dyDescent="0.35">
      <c r="A886">
        <v>2024</v>
      </c>
      <c r="B886">
        <v>8</v>
      </c>
      <c r="C886">
        <v>15</v>
      </c>
      <c r="D886">
        <v>738</v>
      </c>
      <c r="E886">
        <v>3</v>
      </c>
      <c r="F886" t="s">
        <v>225</v>
      </c>
      <c r="G886" t="s">
        <v>1209</v>
      </c>
      <c r="H886">
        <v>3</v>
      </c>
      <c r="J886">
        <v>3</v>
      </c>
      <c r="K886">
        <v>3</v>
      </c>
      <c r="L886">
        <v>723.2</v>
      </c>
      <c r="M886">
        <v>795</v>
      </c>
      <c r="N886" t="s">
        <v>1209</v>
      </c>
      <c r="O886">
        <v>738</v>
      </c>
    </row>
    <row r="887" spans="1:15" x14ac:dyDescent="0.35">
      <c r="A887">
        <v>2016</v>
      </c>
      <c r="B887">
        <v>9</v>
      </c>
      <c r="C887">
        <v>1</v>
      </c>
      <c r="D887">
        <v>262</v>
      </c>
      <c r="E887">
        <v>3</v>
      </c>
      <c r="F887" t="s">
        <v>45</v>
      </c>
      <c r="G887" t="s">
        <v>1208</v>
      </c>
      <c r="H887">
        <v>5</v>
      </c>
      <c r="J887" t="s">
        <v>718</v>
      </c>
      <c r="K887" t="s">
        <v>317</v>
      </c>
      <c r="L887">
        <v>569.79999999999995</v>
      </c>
      <c r="M887">
        <v>799</v>
      </c>
      <c r="N887" t="s">
        <v>1210</v>
      </c>
      <c r="O887">
        <v>262</v>
      </c>
    </row>
    <row r="888" spans="1:15" x14ac:dyDescent="0.35">
      <c r="A888">
        <v>2023</v>
      </c>
      <c r="B888">
        <v>7</v>
      </c>
      <c r="C888">
        <v>17</v>
      </c>
      <c r="D888">
        <v>387</v>
      </c>
      <c r="E888">
        <v>3</v>
      </c>
      <c r="F888" t="s">
        <v>45</v>
      </c>
      <c r="G888" t="s">
        <v>1208</v>
      </c>
      <c r="H888">
        <v>12</v>
      </c>
      <c r="J888" t="s">
        <v>632</v>
      </c>
      <c r="K888" t="s">
        <v>317</v>
      </c>
      <c r="L888">
        <v>48.5</v>
      </c>
      <c r="M888">
        <v>799</v>
      </c>
      <c r="N888" t="s">
        <v>1210</v>
      </c>
      <c r="O888">
        <v>387</v>
      </c>
    </row>
    <row r="889" spans="1:15" x14ac:dyDescent="0.35">
      <c r="A889">
        <v>2018</v>
      </c>
      <c r="B889">
        <v>8</v>
      </c>
      <c r="C889">
        <v>16</v>
      </c>
      <c r="D889">
        <v>335</v>
      </c>
      <c r="E889">
        <v>3</v>
      </c>
      <c r="F889" t="s">
        <v>41</v>
      </c>
      <c r="G889" t="s">
        <v>1207</v>
      </c>
      <c r="H889">
        <v>5</v>
      </c>
      <c r="J889" t="s">
        <v>583</v>
      </c>
      <c r="K889" t="s">
        <v>318</v>
      </c>
      <c r="L889">
        <v>613.4</v>
      </c>
      <c r="M889">
        <v>805</v>
      </c>
      <c r="N889" t="s">
        <v>1208</v>
      </c>
      <c r="O889">
        <v>335</v>
      </c>
    </row>
    <row r="890" spans="1:15" x14ac:dyDescent="0.35">
      <c r="A890">
        <v>2024</v>
      </c>
      <c r="B890">
        <v>8</v>
      </c>
      <c r="C890">
        <v>5</v>
      </c>
      <c r="D890">
        <v>709</v>
      </c>
      <c r="E890">
        <v>3</v>
      </c>
      <c r="F890" t="s">
        <v>20</v>
      </c>
      <c r="G890" t="s">
        <v>1213</v>
      </c>
      <c r="H890">
        <v>4</v>
      </c>
      <c r="J890" t="s">
        <v>64</v>
      </c>
      <c r="K890">
        <v>7</v>
      </c>
      <c r="L890">
        <v>596.70000000000005</v>
      </c>
      <c r="M890">
        <v>810</v>
      </c>
      <c r="N890" t="s">
        <v>1214</v>
      </c>
      <c r="O890">
        <v>709</v>
      </c>
    </row>
    <row r="891" spans="1:15" x14ac:dyDescent="0.35">
      <c r="A891">
        <v>2023</v>
      </c>
      <c r="B891">
        <v>2</v>
      </c>
      <c r="C891">
        <v>13</v>
      </c>
      <c r="D891">
        <v>154</v>
      </c>
      <c r="E891">
        <v>1</v>
      </c>
      <c r="F891" t="s">
        <v>41</v>
      </c>
      <c r="G891" t="s">
        <v>1212</v>
      </c>
      <c r="H891">
        <v>11</v>
      </c>
      <c r="J891" t="s">
        <v>461</v>
      </c>
      <c r="K891" t="s">
        <v>461</v>
      </c>
      <c r="L891">
        <v>567.79999999999995</v>
      </c>
      <c r="M891">
        <v>812</v>
      </c>
      <c r="N891" t="s">
        <v>1208</v>
      </c>
      <c r="O891">
        <v>154</v>
      </c>
    </row>
    <row r="892" spans="1:15" x14ac:dyDescent="0.35">
      <c r="A892">
        <v>2023</v>
      </c>
      <c r="B892">
        <v>11</v>
      </c>
      <c r="C892">
        <v>7</v>
      </c>
      <c r="D892">
        <v>519</v>
      </c>
      <c r="E892">
        <v>4</v>
      </c>
      <c r="F892" t="s">
        <v>41</v>
      </c>
      <c r="G892" t="s">
        <v>1207</v>
      </c>
      <c r="H892">
        <v>10</v>
      </c>
      <c r="J892" t="s">
        <v>583</v>
      </c>
      <c r="K892" t="s">
        <v>318</v>
      </c>
      <c r="L892">
        <v>530.20000000000005</v>
      </c>
      <c r="M892">
        <v>815</v>
      </c>
      <c r="N892" t="s">
        <v>1208</v>
      </c>
      <c r="O892">
        <v>519</v>
      </c>
    </row>
    <row r="893" spans="1:15" x14ac:dyDescent="0.35">
      <c r="A893">
        <v>2024</v>
      </c>
      <c r="B893">
        <v>3</v>
      </c>
      <c r="C893">
        <v>14</v>
      </c>
      <c r="D893">
        <v>694</v>
      </c>
      <c r="E893">
        <v>2</v>
      </c>
      <c r="F893" t="s">
        <v>20</v>
      </c>
      <c r="G893" t="s">
        <v>1217</v>
      </c>
      <c r="H893">
        <v>5</v>
      </c>
      <c r="J893" t="s">
        <v>232</v>
      </c>
      <c r="K893">
        <v>23</v>
      </c>
      <c r="L893">
        <v>725</v>
      </c>
      <c r="M893">
        <v>815</v>
      </c>
      <c r="N893" t="s">
        <v>1214</v>
      </c>
      <c r="O893">
        <v>694</v>
      </c>
    </row>
    <row r="894" spans="1:15" x14ac:dyDescent="0.35">
      <c r="A894">
        <v>2016</v>
      </c>
      <c r="B894">
        <v>11</v>
      </c>
      <c r="C894">
        <v>7</v>
      </c>
      <c r="D894">
        <v>207</v>
      </c>
      <c r="E894">
        <v>4</v>
      </c>
      <c r="F894" t="s">
        <v>45</v>
      </c>
      <c r="G894" t="s">
        <v>1215</v>
      </c>
      <c r="H894">
        <v>7</v>
      </c>
      <c r="J894" t="s">
        <v>662</v>
      </c>
      <c r="K894" t="s">
        <v>488</v>
      </c>
      <c r="L894">
        <v>568.4</v>
      </c>
      <c r="M894">
        <v>820</v>
      </c>
      <c r="N894" t="s">
        <v>1210</v>
      </c>
      <c r="O894">
        <v>207</v>
      </c>
    </row>
    <row r="895" spans="1:15" x14ac:dyDescent="0.35">
      <c r="A895">
        <v>2018</v>
      </c>
      <c r="B895">
        <v>8</v>
      </c>
      <c r="C895">
        <v>16</v>
      </c>
      <c r="D895">
        <v>336</v>
      </c>
      <c r="E895">
        <v>3</v>
      </c>
      <c r="F895" t="s">
        <v>41</v>
      </c>
      <c r="G895" t="s">
        <v>1207</v>
      </c>
      <c r="H895">
        <v>5</v>
      </c>
      <c r="J895" t="s">
        <v>583</v>
      </c>
      <c r="K895" t="s">
        <v>318</v>
      </c>
      <c r="L895">
        <v>550.29999999999995</v>
      </c>
      <c r="M895">
        <v>823</v>
      </c>
      <c r="N895" t="s">
        <v>1208</v>
      </c>
      <c r="O895">
        <v>336</v>
      </c>
    </row>
    <row r="896" spans="1:15" x14ac:dyDescent="0.35">
      <c r="A896">
        <v>2019</v>
      </c>
      <c r="B896">
        <v>2</v>
      </c>
      <c r="C896">
        <v>18</v>
      </c>
      <c r="D896">
        <v>175</v>
      </c>
      <c r="E896">
        <v>1</v>
      </c>
      <c r="F896" t="s">
        <v>41</v>
      </c>
      <c r="G896" t="s">
        <v>1207</v>
      </c>
      <c r="H896">
        <v>6</v>
      </c>
      <c r="J896" t="s">
        <v>42</v>
      </c>
      <c r="K896" t="s">
        <v>318</v>
      </c>
      <c r="L896">
        <v>654.70000000000005</v>
      </c>
      <c r="M896">
        <v>830</v>
      </c>
      <c r="N896" t="s">
        <v>1208</v>
      </c>
      <c r="O896">
        <v>175</v>
      </c>
    </row>
    <row r="897" spans="1:15" x14ac:dyDescent="0.35">
      <c r="A897">
        <v>2019</v>
      </c>
      <c r="B897">
        <v>2</v>
      </c>
      <c r="C897">
        <v>18</v>
      </c>
      <c r="D897">
        <v>175</v>
      </c>
      <c r="E897">
        <v>1</v>
      </c>
      <c r="F897" t="s">
        <v>41</v>
      </c>
      <c r="G897" t="s">
        <v>1207</v>
      </c>
      <c r="H897">
        <v>6</v>
      </c>
      <c r="J897" t="s">
        <v>42</v>
      </c>
      <c r="K897" t="s">
        <v>318</v>
      </c>
      <c r="L897">
        <v>654.70000000000005</v>
      </c>
      <c r="M897">
        <v>830</v>
      </c>
      <c r="N897" t="s">
        <v>1208</v>
      </c>
      <c r="O897">
        <v>175</v>
      </c>
    </row>
    <row r="898" spans="1:15" x14ac:dyDescent="0.35">
      <c r="A898">
        <v>2017</v>
      </c>
      <c r="B898">
        <v>11</v>
      </c>
      <c r="C898">
        <v>9</v>
      </c>
      <c r="D898">
        <v>78</v>
      </c>
      <c r="E898">
        <v>4</v>
      </c>
      <c r="F898" t="s">
        <v>45</v>
      </c>
      <c r="G898" t="s">
        <v>1208</v>
      </c>
      <c r="H898">
        <v>6</v>
      </c>
      <c r="J898" t="s">
        <v>317</v>
      </c>
      <c r="K898" t="s">
        <v>317</v>
      </c>
      <c r="L898">
        <v>581.9</v>
      </c>
      <c r="M898">
        <v>848</v>
      </c>
      <c r="N898" t="s">
        <v>1210</v>
      </c>
      <c r="O898">
        <v>78</v>
      </c>
    </row>
    <row r="899" spans="1:15" x14ac:dyDescent="0.35">
      <c r="A899">
        <v>2011</v>
      </c>
      <c r="B899">
        <v>11</v>
      </c>
      <c r="C899">
        <v>14</v>
      </c>
      <c r="D899">
        <v>613</v>
      </c>
      <c r="E899">
        <v>4</v>
      </c>
      <c r="F899" t="s">
        <v>45</v>
      </c>
      <c r="G899" t="s">
        <v>1215</v>
      </c>
      <c r="H899">
        <v>2</v>
      </c>
      <c r="J899" t="s">
        <v>711</v>
      </c>
      <c r="K899" t="s">
        <v>512</v>
      </c>
      <c r="L899">
        <v>616.4</v>
      </c>
      <c r="M899">
        <v>852</v>
      </c>
      <c r="N899" t="s">
        <v>1210</v>
      </c>
      <c r="O899">
        <v>613</v>
      </c>
    </row>
    <row r="900" spans="1:15" x14ac:dyDescent="0.35">
      <c r="A900">
        <v>2022</v>
      </c>
      <c r="B900">
        <v>1</v>
      </c>
      <c r="C900" t="s">
        <v>28</v>
      </c>
      <c r="D900">
        <v>23</v>
      </c>
      <c r="E900">
        <v>1</v>
      </c>
      <c r="F900" t="s">
        <v>20</v>
      </c>
      <c r="G900" t="s">
        <v>1213</v>
      </c>
      <c r="H900">
        <v>2</v>
      </c>
      <c r="J900">
        <v>37</v>
      </c>
      <c r="K900">
        <v>37</v>
      </c>
      <c r="L900">
        <v>264.7</v>
      </c>
      <c r="M900">
        <v>853</v>
      </c>
      <c r="N900" t="s">
        <v>1214</v>
      </c>
      <c r="O900">
        <v>23</v>
      </c>
    </row>
    <row r="901" spans="1:15" x14ac:dyDescent="0.35">
      <c r="A901">
        <v>2011</v>
      </c>
      <c r="B901">
        <v>11</v>
      </c>
      <c r="C901">
        <v>14</v>
      </c>
      <c r="D901">
        <v>615</v>
      </c>
      <c r="E901">
        <v>4</v>
      </c>
      <c r="F901" t="s">
        <v>45</v>
      </c>
      <c r="G901" t="s">
        <v>1215</v>
      </c>
      <c r="H901">
        <v>2</v>
      </c>
      <c r="J901" t="s">
        <v>711</v>
      </c>
      <c r="K901" t="s">
        <v>512</v>
      </c>
      <c r="L901">
        <v>564.20000000000005</v>
      </c>
      <c r="M901">
        <v>924</v>
      </c>
      <c r="N901" t="s">
        <v>1210</v>
      </c>
      <c r="O901">
        <v>615</v>
      </c>
    </row>
  </sheetData>
  <autoFilter ref="A1:P901" xr:uid="{1D29D676-25EC-4A19-91CA-ED2497F98D2F}">
    <sortState xmlns:xlrd2="http://schemas.microsoft.com/office/spreadsheetml/2017/richdata2" ref="A2:P901">
      <sortCondition ref="M1:M901"/>
    </sortState>
  </autoFilter>
  <conditionalFormatting sqref="D1:D1048576">
    <cfRule type="cellIs" dxfId="7" priority="3" operator="equal">
      <formula>"559, 692"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CB06-72A8-4AA2-A82C-DF75C1EA86A1}">
  <dimension ref="A1:BC872"/>
  <sheetViews>
    <sheetView topLeftCell="AP1" zoomScaleNormal="100" workbookViewId="0">
      <pane ySplit="1" topLeftCell="A2" activePane="bottomLeft" state="frozen"/>
      <selection activeCell="H1" sqref="H1"/>
      <selection pane="bottomLeft" activeCell="I1" sqref="I1:I1048576"/>
    </sheetView>
  </sheetViews>
  <sheetFormatPr defaultRowHeight="15.5" x14ac:dyDescent="0.35"/>
  <cols>
    <col min="9" max="9" width="8.6640625" style="50"/>
    <col min="30" max="30" width="17" style="35" bestFit="1" customWidth="1"/>
    <col min="32" max="32" width="19.1640625" bestFit="1" customWidth="1"/>
    <col min="36" max="36" width="14.58203125" bestFit="1" customWidth="1"/>
    <col min="38" max="38" width="15.08203125" bestFit="1" customWidth="1"/>
    <col min="39" max="39" width="18.6640625" bestFit="1" customWidth="1"/>
  </cols>
  <sheetData>
    <row r="1" spans="1:55" x14ac:dyDescent="0.35">
      <c r="A1" s="1" t="s">
        <v>3</v>
      </c>
      <c r="B1" s="1" t="s">
        <v>4</v>
      </c>
      <c r="C1" s="1" t="s">
        <v>5</v>
      </c>
      <c r="D1" s="17" t="s">
        <v>1189</v>
      </c>
      <c r="E1" s="1" t="s">
        <v>437</v>
      </c>
      <c r="F1" s="1" t="s">
        <v>1</v>
      </c>
      <c r="G1" s="1" t="s">
        <v>438</v>
      </c>
      <c r="H1" s="1" t="s">
        <v>439</v>
      </c>
      <c r="I1" s="48"/>
      <c r="J1" s="1" t="s">
        <v>440</v>
      </c>
      <c r="K1" s="1" t="s">
        <v>2</v>
      </c>
      <c r="L1" s="1" t="s">
        <v>441</v>
      </c>
      <c r="M1" s="1" t="s">
        <v>442</v>
      </c>
      <c r="N1" s="1" t="s">
        <v>443</v>
      </c>
      <c r="O1" s="17" t="s">
        <v>1189</v>
      </c>
      <c r="P1" s="13" t="s">
        <v>1198</v>
      </c>
      <c r="Q1" s="18" t="s">
        <v>1221</v>
      </c>
      <c r="R1" s="18" t="s">
        <v>1222</v>
      </c>
      <c r="S1" s="18" t="s">
        <v>1223</v>
      </c>
      <c r="T1" s="18" t="s">
        <v>1224</v>
      </c>
      <c r="U1" s="18" t="s">
        <v>1226</v>
      </c>
      <c r="V1" s="18" t="s">
        <v>1227</v>
      </c>
      <c r="W1" s="18" t="s">
        <v>1228</v>
      </c>
      <c r="X1" s="18" t="s">
        <v>1229</v>
      </c>
      <c r="Y1" s="18" t="s">
        <v>1230</v>
      </c>
      <c r="Z1" s="18" t="s">
        <v>1231</v>
      </c>
      <c r="AA1" s="18" t="s">
        <v>1225</v>
      </c>
      <c r="AD1" s="30" t="s">
        <v>1271</v>
      </c>
      <c r="AE1" s="18" t="s">
        <v>320</v>
      </c>
      <c r="AF1" s="18" t="s">
        <v>1287</v>
      </c>
      <c r="AG1" s="18" t="s">
        <v>1236</v>
      </c>
      <c r="AH1" s="18" t="s">
        <v>1237</v>
      </c>
      <c r="AI1" s="18" t="s">
        <v>1238</v>
      </c>
      <c r="AJ1" s="18" t="s">
        <v>1246</v>
      </c>
      <c r="AR1" s="30" t="s">
        <v>1236</v>
      </c>
      <c r="AS1" s="7" t="s">
        <v>320</v>
      </c>
      <c r="AT1" s="7" t="s">
        <v>414</v>
      </c>
      <c r="AU1" s="7" t="s">
        <v>415</v>
      </c>
      <c r="AV1" s="8" t="s">
        <v>321</v>
      </c>
      <c r="AW1" s="8" t="s">
        <v>322</v>
      </c>
      <c r="AX1" s="8" t="s">
        <v>16</v>
      </c>
      <c r="AY1" s="8" t="s">
        <v>17</v>
      </c>
      <c r="AZ1" s="8" t="s">
        <v>323</v>
      </c>
      <c r="BA1" s="8" t="s">
        <v>324</v>
      </c>
      <c r="BB1" s="8" t="s">
        <v>416</v>
      </c>
      <c r="BC1" s="8" t="s">
        <v>417</v>
      </c>
    </row>
    <row r="2" spans="1:55" x14ac:dyDescent="0.35">
      <c r="A2" s="3">
        <v>2024</v>
      </c>
      <c r="B2" s="3">
        <v>8</v>
      </c>
      <c r="C2" s="3">
        <v>19</v>
      </c>
      <c r="D2" s="2">
        <v>785</v>
      </c>
      <c r="E2" s="3">
        <v>3</v>
      </c>
      <c r="F2" s="3" t="s">
        <v>225</v>
      </c>
      <c r="G2" s="3" t="str">
        <f t="shared" ref="G2:G33" si="0">IF(K2="A55","2009",IF(K2="A59","2009",IF(K2="A60","2010",IF(K2="A62","2011",IF(K2="CP","2013",IF(K2="MD","2012",IF(K2="TS","2013",IF(K2="DL","2018",IF(K2="SCU","2018",IF(K2="NCU","2018",IF(K2="C1C","2018",IF(K2="C1E","2018",IF(K2="RS1S","2018",IF(K2="C2B","2018",IF(K2="DB3","2018",IF(AND(K2=6,F2="SRS"),"2018",IF(AND(K2=7,F2="SRS"),"2020",IF(AND(K2=8,F2="SRS"),"2020",IF(K2=23,"2019",IF(AND(K2=7,F2="WCA 3B"),"2017",IF(AND(K2=8,F2="WCA 3B"),"2019",IF(K2=1,"2021",IF(K2=2,"2022",IF(K2=3,"2021",IF(K2=4,"2021",IF(K2=5,"2022",IF(AND(K2=6,F2="WCA 3A"),"2022",IF(K2=9,"2023",IF(K2=10,"2023",IF(K2=37,"2020"))))))))))))))))))))))))))))))</f>
        <v>2021</v>
      </c>
      <c r="H2" s="3">
        <f t="shared" ref="H2:H65" si="1">SUM(A2-G2)</f>
        <v>3</v>
      </c>
      <c r="I2" s="69"/>
      <c r="J2">
        <v>3</v>
      </c>
      <c r="K2">
        <v>3</v>
      </c>
      <c r="L2">
        <v>75.2</v>
      </c>
      <c r="M2" s="3">
        <v>42.8</v>
      </c>
      <c r="N2" s="3" t="str">
        <f t="shared" ref="N2:N65" si="2">IF(F2="PHD", "2007", IF(F2="TSL", "2011", IF(F2 = "SRS", "2018", IF(F2="WCA 3B", "2017", IF(F2="WCA 3A", "2021")))))</f>
        <v>2021</v>
      </c>
      <c r="O2" s="2">
        <v>785</v>
      </c>
      <c r="AE2" t="s">
        <v>1198</v>
      </c>
      <c r="AF2">
        <v>23.15</v>
      </c>
      <c r="AG2">
        <f>((2.9747)*(LOG(AF2))+(-2.3608))</f>
        <v>1.6983298458794605</v>
      </c>
      <c r="AH2">
        <f>10^(AG2)</f>
        <v>49.926353325683671</v>
      </c>
      <c r="AI2">
        <f>AH2/1000</f>
        <v>4.9926353325683674E-2</v>
      </c>
      <c r="AJ2">
        <f>5.5*AI2</f>
        <v>0.27459494329126022</v>
      </c>
      <c r="AR2" s="35"/>
      <c r="AS2" s="9" t="s">
        <v>1262</v>
      </c>
      <c r="AT2" t="s">
        <v>1263</v>
      </c>
      <c r="AU2" s="12" t="s">
        <v>1264</v>
      </c>
      <c r="AV2" s="12" t="s">
        <v>421</v>
      </c>
      <c r="AW2" s="32" t="s">
        <v>1261</v>
      </c>
      <c r="AX2" s="12">
        <v>3.113</v>
      </c>
      <c r="AY2" s="12">
        <v>-4.6239999999999997</v>
      </c>
    </row>
    <row r="3" spans="1:55" x14ac:dyDescent="0.35">
      <c r="A3" s="3">
        <v>2023</v>
      </c>
      <c r="B3" s="3">
        <v>8</v>
      </c>
      <c r="C3" s="3">
        <v>2</v>
      </c>
      <c r="D3" s="2">
        <v>429</v>
      </c>
      <c r="E3" s="3">
        <v>3</v>
      </c>
      <c r="F3" s="3" t="s">
        <v>225</v>
      </c>
      <c r="G3" s="3" t="str">
        <f t="shared" si="0"/>
        <v>2022</v>
      </c>
      <c r="H3" s="3">
        <f t="shared" si="1"/>
        <v>1</v>
      </c>
      <c r="I3" s="69"/>
      <c r="J3" s="3" t="s">
        <v>67</v>
      </c>
      <c r="K3" s="3">
        <v>2</v>
      </c>
      <c r="L3" s="3">
        <v>2.5</v>
      </c>
      <c r="M3" s="3">
        <v>139</v>
      </c>
      <c r="N3" s="3" t="str">
        <f t="shared" si="2"/>
        <v>2021</v>
      </c>
      <c r="O3" s="2">
        <v>429</v>
      </c>
      <c r="AE3" t="s">
        <v>1198</v>
      </c>
      <c r="AF3">
        <v>23.02</v>
      </c>
      <c r="AG3">
        <f t="shared" ref="AG3:AG30" si="3">((2.9747)*(LOG(AF3))+(-2.3608))</f>
        <v>1.6910546933031871</v>
      </c>
      <c r="AH3">
        <f t="shared" ref="AH3:AH30" si="4">10^(AG3)</f>
        <v>49.096970301236851</v>
      </c>
      <c r="AI3">
        <f t="shared" ref="AI3:AI38" si="5">AH3/1000</f>
        <v>4.9096970301236852E-2</v>
      </c>
      <c r="AJ3">
        <f t="shared" ref="AJ3:AJ30" si="6">5.5*AI3</f>
        <v>0.27003333665680268</v>
      </c>
      <c r="AL3" s="18" t="s">
        <v>1243</v>
      </c>
      <c r="AR3" s="35"/>
      <c r="AS3" s="9" t="s">
        <v>1258</v>
      </c>
      <c r="AT3" t="s">
        <v>1259</v>
      </c>
      <c r="AU3" s="12" t="s">
        <v>1260</v>
      </c>
      <c r="AV3" s="12" t="s">
        <v>421</v>
      </c>
      <c r="AW3" s="12" t="s">
        <v>422</v>
      </c>
      <c r="AX3" s="12">
        <v>3.3635000000000002</v>
      </c>
      <c r="AY3" s="12">
        <v>-2.9310999999999998</v>
      </c>
      <c r="AZ3" s="12">
        <v>0.98870000000000002</v>
      </c>
      <c r="BA3" s="12">
        <v>21</v>
      </c>
      <c r="BB3" s="12">
        <v>25.5</v>
      </c>
      <c r="BC3" s="12">
        <v>66</v>
      </c>
    </row>
    <row r="4" spans="1:55" x14ac:dyDescent="0.35">
      <c r="A4" s="3">
        <v>2023</v>
      </c>
      <c r="B4" s="3">
        <v>10</v>
      </c>
      <c r="C4" s="3">
        <v>31</v>
      </c>
      <c r="D4" s="2">
        <v>520</v>
      </c>
      <c r="E4" s="3">
        <v>4</v>
      </c>
      <c r="F4" s="3" t="s">
        <v>225</v>
      </c>
      <c r="G4" s="3" t="str">
        <f t="shared" si="0"/>
        <v>2022</v>
      </c>
      <c r="H4" s="3">
        <f t="shared" si="1"/>
        <v>1</v>
      </c>
      <c r="I4" s="69"/>
      <c r="J4" s="3" t="s">
        <v>67</v>
      </c>
      <c r="K4" s="3">
        <v>2</v>
      </c>
      <c r="L4" s="3">
        <v>1.5</v>
      </c>
      <c r="M4" s="3">
        <v>140</v>
      </c>
      <c r="N4" s="3" t="str">
        <f t="shared" si="2"/>
        <v>2021</v>
      </c>
      <c r="O4" s="2">
        <v>520</v>
      </c>
      <c r="AE4" t="s">
        <v>1198</v>
      </c>
      <c r="AF4">
        <v>22.95</v>
      </c>
      <c r="AG4">
        <f t="shared" si="3"/>
        <v>1.6871202675660464</v>
      </c>
      <c r="AH4">
        <f t="shared" si="4"/>
        <v>48.654192329410016</v>
      </c>
      <c r="AI4">
        <f t="shared" si="5"/>
        <v>4.8654192329410019E-2</v>
      </c>
      <c r="AJ4">
        <f t="shared" si="6"/>
        <v>0.26759805781175511</v>
      </c>
      <c r="AL4" s="19" t="s">
        <v>1233</v>
      </c>
      <c r="AM4" s="20" t="s">
        <v>1232</v>
      </c>
      <c r="AN4" t="s">
        <v>1265</v>
      </c>
      <c r="AP4" t="s">
        <v>1276</v>
      </c>
      <c r="AR4" s="35"/>
      <c r="AS4" s="9" t="s">
        <v>1255</v>
      </c>
      <c r="AT4" t="s">
        <v>1256</v>
      </c>
      <c r="AU4" s="12" t="s">
        <v>1257</v>
      </c>
      <c r="AV4" s="12" t="s">
        <v>421</v>
      </c>
      <c r="AW4" s="12" t="s">
        <v>422</v>
      </c>
      <c r="AX4" s="12">
        <v>2.7391000000000001</v>
      </c>
      <c r="AY4" s="12">
        <v>-2.0529999999999999</v>
      </c>
      <c r="AZ4" s="12">
        <v>0.85799999999999998</v>
      </c>
      <c r="BA4" s="12">
        <v>25</v>
      </c>
      <c r="BB4" s="12">
        <v>14.5</v>
      </c>
      <c r="BC4" s="12">
        <v>23.26</v>
      </c>
    </row>
    <row r="5" spans="1:55" x14ac:dyDescent="0.35">
      <c r="A5" s="3">
        <v>2023</v>
      </c>
      <c r="B5" s="3">
        <v>11</v>
      </c>
      <c r="C5" s="3">
        <v>3</v>
      </c>
      <c r="D5" s="2">
        <v>534</v>
      </c>
      <c r="E5" s="3">
        <v>4</v>
      </c>
      <c r="F5" s="3" t="s">
        <v>225</v>
      </c>
      <c r="G5" s="3" t="str">
        <f t="shared" si="0"/>
        <v>2022</v>
      </c>
      <c r="H5" s="3">
        <f t="shared" si="1"/>
        <v>1</v>
      </c>
      <c r="I5" s="69"/>
      <c r="J5" s="3">
        <v>2</v>
      </c>
      <c r="K5" s="3">
        <v>2</v>
      </c>
      <c r="L5" s="3">
        <v>2.5</v>
      </c>
      <c r="M5" s="3">
        <v>145</v>
      </c>
      <c r="N5" s="3" t="str">
        <f t="shared" si="2"/>
        <v>2021</v>
      </c>
      <c r="O5" s="2">
        <v>534</v>
      </c>
      <c r="AE5" t="s">
        <v>1198</v>
      </c>
      <c r="AF5">
        <v>21.29</v>
      </c>
      <c r="AG5">
        <f t="shared" si="3"/>
        <v>1.5901241400805777</v>
      </c>
      <c r="AH5">
        <f t="shared" si="4"/>
        <v>38.915636675939922</v>
      </c>
      <c r="AI5">
        <f t="shared" si="5"/>
        <v>3.8915636675939919E-2</v>
      </c>
      <c r="AJ5">
        <f t="shared" si="6"/>
        <v>0.21403600171766957</v>
      </c>
      <c r="AL5" s="21" t="e" cm="1">
        <f t="array" aca="1" ref="AL5" ca="1">[1]!MEAN(AI2:AI39)</f>
        <v>#NAME?</v>
      </c>
      <c r="AM5" s="22" t="e" cm="1">
        <f t="array" aca="1" ref="AM5" ca="1">[1]!MEAN(AJ2:AJ39)</f>
        <v>#NAME?</v>
      </c>
      <c r="AN5" t="e" cm="1">
        <f t="array" aca="1" ref="AN5" ca="1">[1]!STDERR(AJ2:AJ39)</f>
        <v>#NAME?</v>
      </c>
      <c r="AP5">
        <f>_xlfn.STDEV.S(AJ2:AJ39)</f>
        <v>0.30155446205262681</v>
      </c>
      <c r="AR5" s="35"/>
      <c r="AS5" s="9" t="s">
        <v>418</v>
      </c>
      <c r="AT5" t="s">
        <v>419</v>
      </c>
      <c r="AU5" s="12" t="s">
        <v>420</v>
      </c>
      <c r="AV5" s="12" t="s">
        <v>421</v>
      </c>
      <c r="AW5" s="12" t="s">
        <v>422</v>
      </c>
      <c r="AX5" s="12">
        <v>2.9746999999999999</v>
      </c>
      <c r="AY5" s="12">
        <v>-2.3607999999999998</v>
      </c>
      <c r="AZ5" s="12">
        <v>0.90549999999999997</v>
      </c>
      <c r="BA5" s="12">
        <v>81</v>
      </c>
      <c r="BB5" s="12">
        <v>16.559999999999999</v>
      </c>
      <c r="BC5" s="12">
        <v>39.9</v>
      </c>
    </row>
    <row r="6" spans="1:55" x14ac:dyDescent="0.35">
      <c r="A6" s="3">
        <v>2023</v>
      </c>
      <c r="B6" s="3">
        <v>11</v>
      </c>
      <c r="C6" s="3">
        <v>14</v>
      </c>
      <c r="D6" s="2">
        <v>518</v>
      </c>
      <c r="E6" s="3">
        <v>4</v>
      </c>
      <c r="F6" s="3" t="s">
        <v>225</v>
      </c>
      <c r="G6" s="3" t="str">
        <f t="shared" si="0"/>
        <v>2021</v>
      </c>
      <c r="H6" s="3">
        <f t="shared" si="1"/>
        <v>2</v>
      </c>
      <c r="I6" s="69"/>
      <c r="J6" s="3" t="s">
        <v>227</v>
      </c>
      <c r="K6" s="3">
        <v>4</v>
      </c>
      <c r="L6" s="3">
        <v>2.1</v>
      </c>
      <c r="M6" s="3">
        <v>146</v>
      </c>
      <c r="N6" s="3" t="str">
        <f t="shared" si="2"/>
        <v>2021</v>
      </c>
      <c r="O6" s="2">
        <v>518</v>
      </c>
      <c r="AE6" t="s">
        <v>1198</v>
      </c>
      <c r="AF6">
        <v>20.95</v>
      </c>
      <c r="AG6">
        <f t="shared" si="3"/>
        <v>1.5693261260161937</v>
      </c>
      <c r="AH6">
        <f t="shared" si="4"/>
        <v>37.095918267282805</v>
      </c>
      <c r="AI6">
        <f t="shared" si="5"/>
        <v>3.7095918267282806E-2</v>
      </c>
      <c r="AJ6">
        <f t="shared" si="6"/>
        <v>0.20402755047005544</v>
      </c>
      <c r="AL6" s="21" t="e" cm="1">
        <f t="array" aca="1" ref="AL6" ca="1">[1]!STDERR(AI2:AI39)</f>
        <v>#NAME?</v>
      </c>
      <c r="AM6" s="22"/>
      <c r="AP6" t="s">
        <v>1275</v>
      </c>
      <c r="AR6" s="35"/>
      <c r="AS6" s="9" t="s">
        <v>1252</v>
      </c>
      <c r="AT6" t="s">
        <v>1253</v>
      </c>
      <c r="AU6" s="12" t="s">
        <v>1254</v>
      </c>
      <c r="AV6" s="12" t="s">
        <v>421</v>
      </c>
      <c r="AW6" s="12" t="s">
        <v>422</v>
      </c>
      <c r="AX6" s="12">
        <v>3.5954999999999999</v>
      </c>
      <c r="AY6" s="12">
        <v>-3.1537999999999999</v>
      </c>
      <c r="AZ6" s="12">
        <v>0.9738</v>
      </c>
      <c r="BA6" s="12">
        <v>89</v>
      </c>
      <c r="BB6" s="12">
        <v>11.9</v>
      </c>
      <c r="BC6" s="31">
        <v>46</v>
      </c>
    </row>
    <row r="7" spans="1:55" x14ac:dyDescent="0.35">
      <c r="A7" s="3">
        <v>2024</v>
      </c>
      <c r="B7" s="3">
        <v>1</v>
      </c>
      <c r="C7" s="3">
        <v>19</v>
      </c>
      <c r="D7" s="2">
        <v>575</v>
      </c>
      <c r="E7" s="3">
        <v>1</v>
      </c>
      <c r="F7" s="3" t="s">
        <v>41</v>
      </c>
      <c r="G7" s="3" t="str">
        <f t="shared" si="0"/>
        <v>2013</v>
      </c>
      <c r="H7" s="3">
        <f t="shared" si="1"/>
        <v>11</v>
      </c>
      <c r="I7" s="69"/>
      <c r="J7" t="s">
        <v>509</v>
      </c>
      <c r="K7" s="3" t="s">
        <v>458</v>
      </c>
      <c r="L7">
        <v>6.7</v>
      </c>
      <c r="M7" s="3">
        <v>150</v>
      </c>
      <c r="N7" s="3" t="str">
        <f t="shared" si="2"/>
        <v>2011</v>
      </c>
      <c r="O7" s="2">
        <v>575</v>
      </c>
      <c r="AE7" t="s">
        <v>1198</v>
      </c>
      <c r="AF7">
        <v>20.8</v>
      </c>
      <c r="AG7">
        <f t="shared" si="3"/>
        <v>1.5600430025137269</v>
      </c>
      <c r="AH7">
        <f t="shared" si="4"/>
        <v>36.311400743056439</v>
      </c>
      <c r="AI7">
        <f t="shared" si="5"/>
        <v>3.6311400743056436E-2</v>
      </c>
      <c r="AJ7">
        <f t="shared" si="6"/>
        <v>0.19971270408681041</v>
      </c>
      <c r="AL7" s="23" t="s">
        <v>1234</v>
      </c>
      <c r="AM7" s="24" t="s">
        <v>1235</v>
      </c>
      <c r="AP7">
        <f>_xlfn.STDEV.P(AI2:AI38)</f>
        <v>5.7954719832848653E-2</v>
      </c>
    </row>
    <row r="8" spans="1:55" x14ac:dyDescent="0.35">
      <c r="A8" s="3">
        <v>2016</v>
      </c>
      <c r="B8" s="3">
        <v>11</v>
      </c>
      <c r="C8" s="3">
        <v>7</v>
      </c>
      <c r="D8" s="2">
        <v>228</v>
      </c>
      <c r="E8" s="3">
        <v>4</v>
      </c>
      <c r="F8" s="3" t="s">
        <v>45</v>
      </c>
      <c r="G8" s="3" t="str">
        <f t="shared" si="0"/>
        <v>2009</v>
      </c>
      <c r="H8" s="3">
        <f t="shared" si="1"/>
        <v>7</v>
      </c>
      <c r="I8" s="69"/>
      <c r="J8" s="3" t="s">
        <v>671</v>
      </c>
      <c r="K8" s="3" t="s">
        <v>512</v>
      </c>
      <c r="L8" s="3">
        <v>0.2</v>
      </c>
      <c r="M8" s="3">
        <v>153</v>
      </c>
      <c r="N8" s="3" t="str">
        <f t="shared" si="2"/>
        <v>2007</v>
      </c>
      <c r="O8" s="2">
        <v>228</v>
      </c>
      <c r="AE8" t="s">
        <v>1198</v>
      </c>
      <c r="AF8">
        <v>20.39</v>
      </c>
      <c r="AG8">
        <f t="shared" si="3"/>
        <v>1.5343234215222332</v>
      </c>
      <c r="AH8">
        <f t="shared" si="4"/>
        <v>34.223421136349131</v>
      </c>
      <c r="AI8">
        <f t="shared" si="5"/>
        <v>3.422342113634913E-2</v>
      </c>
      <c r="AJ8">
        <f t="shared" si="6"/>
        <v>0.18822881624992022</v>
      </c>
      <c r="AL8" s="25">
        <f>MEDIAN(AI2:AI39)</f>
        <v>1.5052164950209021E-2</v>
      </c>
      <c r="AM8" s="26">
        <f>5.5*AL8</f>
        <v>8.278690722614962E-2</v>
      </c>
    </row>
    <row r="9" spans="1:55" x14ac:dyDescent="0.35">
      <c r="A9" s="3">
        <v>2016</v>
      </c>
      <c r="B9" s="3">
        <v>11</v>
      </c>
      <c r="C9" s="3">
        <v>7</v>
      </c>
      <c r="D9" s="2">
        <v>230</v>
      </c>
      <c r="E9" s="3">
        <v>4</v>
      </c>
      <c r="F9" s="3" t="s">
        <v>45</v>
      </c>
      <c r="G9" s="3" t="str">
        <f t="shared" si="0"/>
        <v>2009</v>
      </c>
      <c r="H9" s="3">
        <f t="shared" si="1"/>
        <v>7</v>
      </c>
      <c r="I9" s="69"/>
      <c r="J9" s="3" t="s">
        <v>671</v>
      </c>
      <c r="K9" s="3" t="s">
        <v>512</v>
      </c>
      <c r="L9" s="3">
        <v>2.2999999999999998</v>
      </c>
      <c r="M9" s="3">
        <v>155</v>
      </c>
      <c r="N9" s="3" t="str">
        <f t="shared" si="2"/>
        <v>2007</v>
      </c>
      <c r="O9" s="2">
        <v>230</v>
      </c>
      <c r="AE9" t="s">
        <v>1198</v>
      </c>
      <c r="AF9">
        <v>20.239999999999998</v>
      </c>
      <c r="AG9">
        <f t="shared" si="3"/>
        <v>1.5247843986466401</v>
      </c>
      <c r="AH9">
        <f t="shared" si="4"/>
        <v>33.479919003017713</v>
      </c>
      <c r="AI9">
        <f t="shared" si="5"/>
        <v>3.3479919003017715E-2</v>
      </c>
      <c r="AJ9">
        <f t="shared" si="6"/>
        <v>0.18413955451659744</v>
      </c>
    </row>
    <row r="10" spans="1:55" x14ac:dyDescent="0.35">
      <c r="A10" s="3">
        <v>2023</v>
      </c>
      <c r="B10" s="3">
        <v>8</v>
      </c>
      <c r="C10" s="3">
        <v>1</v>
      </c>
      <c r="D10" s="2">
        <v>428</v>
      </c>
      <c r="E10" s="3">
        <v>3</v>
      </c>
      <c r="F10" s="3" t="s">
        <v>225</v>
      </c>
      <c r="G10" s="3" t="str">
        <f t="shared" si="0"/>
        <v>2022</v>
      </c>
      <c r="H10" s="3">
        <f t="shared" si="1"/>
        <v>1</v>
      </c>
      <c r="I10" s="69"/>
      <c r="J10" s="3" t="s">
        <v>235</v>
      </c>
      <c r="K10" s="3">
        <v>5</v>
      </c>
      <c r="L10" s="3">
        <v>3.5</v>
      </c>
      <c r="M10" s="3">
        <v>170</v>
      </c>
      <c r="N10" s="3" t="str">
        <f t="shared" si="2"/>
        <v>2021</v>
      </c>
      <c r="O10" s="2">
        <v>428</v>
      </c>
      <c r="AE10" t="s">
        <v>1198</v>
      </c>
      <c r="AF10">
        <v>19.2</v>
      </c>
      <c r="AG10">
        <f t="shared" si="3"/>
        <v>1.4566361650244493</v>
      </c>
      <c r="AH10">
        <f t="shared" si="4"/>
        <v>28.617794781537697</v>
      </c>
      <c r="AI10">
        <f t="shared" si="5"/>
        <v>2.8617794781537698E-2</v>
      </c>
      <c r="AJ10">
        <f t="shared" si="6"/>
        <v>0.15739787129845734</v>
      </c>
    </row>
    <row r="11" spans="1:55" x14ac:dyDescent="0.35">
      <c r="A11" s="3">
        <v>2016</v>
      </c>
      <c r="B11" s="3">
        <v>11</v>
      </c>
      <c r="C11" s="3">
        <v>8</v>
      </c>
      <c r="D11" s="2">
        <v>190</v>
      </c>
      <c r="E11" s="3">
        <v>4</v>
      </c>
      <c r="F11" s="3" t="s">
        <v>45</v>
      </c>
      <c r="G11" s="3" t="str">
        <f t="shared" si="0"/>
        <v>2011</v>
      </c>
      <c r="H11" s="3">
        <f t="shared" si="1"/>
        <v>5</v>
      </c>
      <c r="I11" s="69"/>
      <c r="J11" s="3" t="s">
        <v>46</v>
      </c>
      <c r="K11" s="3" t="s">
        <v>317</v>
      </c>
      <c r="L11" s="3">
        <v>3.2</v>
      </c>
      <c r="M11" s="3">
        <v>174</v>
      </c>
      <c r="N11" s="3" t="str">
        <f t="shared" si="2"/>
        <v>2007</v>
      </c>
      <c r="O11" s="2">
        <v>190</v>
      </c>
      <c r="AE11" t="s">
        <v>1198</v>
      </c>
      <c r="AF11">
        <v>18.91</v>
      </c>
      <c r="AG11">
        <f t="shared" si="3"/>
        <v>1.43697429085534</v>
      </c>
      <c r="AH11">
        <f t="shared" si="4"/>
        <v>27.351068100473228</v>
      </c>
      <c r="AI11">
        <f t="shared" si="5"/>
        <v>2.7351068100473226E-2</v>
      </c>
      <c r="AJ11">
        <f t="shared" si="6"/>
        <v>0.15043087455260273</v>
      </c>
      <c r="AL11" t="s">
        <v>1269</v>
      </c>
      <c r="AM11" t="s">
        <v>1268</v>
      </c>
    </row>
    <row r="12" spans="1:55" x14ac:dyDescent="0.35">
      <c r="A12" s="3">
        <v>2023</v>
      </c>
      <c r="B12" s="3">
        <v>11</v>
      </c>
      <c r="C12" s="3">
        <v>17</v>
      </c>
      <c r="D12" s="2">
        <v>499</v>
      </c>
      <c r="E12" s="3">
        <v>4</v>
      </c>
      <c r="F12" s="3" t="s">
        <v>225</v>
      </c>
      <c r="G12" s="3" t="str">
        <f t="shared" si="0"/>
        <v>2022</v>
      </c>
      <c r="H12" s="3">
        <f t="shared" si="1"/>
        <v>1</v>
      </c>
      <c r="I12" s="69"/>
      <c r="J12" s="3" t="s">
        <v>235</v>
      </c>
      <c r="K12" s="3">
        <v>5</v>
      </c>
      <c r="L12" s="3">
        <v>4.5999999999999996</v>
      </c>
      <c r="M12" s="3">
        <v>181</v>
      </c>
      <c r="N12" s="3" t="str">
        <f t="shared" si="2"/>
        <v>2021</v>
      </c>
      <c r="O12" s="2">
        <v>499</v>
      </c>
      <c r="AE12" t="s">
        <v>1198</v>
      </c>
      <c r="AF12">
        <v>18.8</v>
      </c>
      <c r="AG12">
        <f t="shared" si="3"/>
        <v>1.4294373542046683</v>
      </c>
      <c r="AH12">
        <f t="shared" si="4"/>
        <v>26.88050071201322</v>
      </c>
      <c r="AI12">
        <f t="shared" si="5"/>
        <v>2.6880500712013221E-2</v>
      </c>
      <c r="AJ12">
        <f t="shared" si="6"/>
        <v>0.14784275391607271</v>
      </c>
      <c r="AL12" t="e" cm="1">
        <f t="array" aca="1" ref="AL12" ca="1">[1]!MEAN(AH2:AH39)</f>
        <v>#NAME?</v>
      </c>
      <c r="AM12" t="e" cm="1">
        <f t="array" aca="1" ref="AM12" ca="1">[1]!STDERR(AH2:AH39)</f>
        <v>#NAME?</v>
      </c>
    </row>
    <row r="13" spans="1:55" x14ac:dyDescent="0.35">
      <c r="A13" s="3">
        <v>2019</v>
      </c>
      <c r="B13" s="3">
        <v>11</v>
      </c>
      <c r="C13" s="3">
        <v>27</v>
      </c>
      <c r="D13" s="2">
        <v>42</v>
      </c>
      <c r="E13" s="3">
        <v>4</v>
      </c>
      <c r="F13" s="3" t="s">
        <v>45</v>
      </c>
      <c r="G13" s="3" t="str">
        <f t="shared" si="0"/>
        <v>2011</v>
      </c>
      <c r="H13" s="3">
        <f t="shared" si="1"/>
        <v>8</v>
      </c>
      <c r="I13" s="69"/>
      <c r="J13" s="3" t="s">
        <v>317</v>
      </c>
      <c r="K13" s="3" t="s">
        <v>317</v>
      </c>
      <c r="L13" s="3">
        <v>16.899999999999999</v>
      </c>
      <c r="M13" s="3">
        <v>188</v>
      </c>
      <c r="N13" s="3" t="str">
        <f t="shared" si="2"/>
        <v>2007</v>
      </c>
      <c r="O13" s="2">
        <v>42</v>
      </c>
      <c r="AE13" t="s">
        <v>1198</v>
      </c>
      <c r="AF13">
        <v>18.3</v>
      </c>
      <c r="AG13">
        <f t="shared" si="3"/>
        <v>1.3946132566211089</v>
      </c>
      <c r="AH13">
        <f t="shared" si="4"/>
        <v>24.809228358576505</v>
      </c>
      <c r="AI13">
        <f t="shared" si="5"/>
        <v>2.4809228358576504E-2</v>
      </c>
      <c r="AJ13">
        <f t="shared" si="6"/>
        <v>0.13645075597217077</v>
      </c>
    </row>
    <row r="14" spans="1:55" x14ac:dyDescent="0.35">
      <c r="A14" s="3">
        <v>2019</v>
      </c>
      <c r="B14" s="3">
        <v>8</v>
      </c>
      <c r="C14" s="3">
        <v>9</v>
      </c>
      <c r="D14" s="2">
        <v>312</v>
      </c>
      <c r="E14" s="3">
        <v>3</v>
      </c>
      <c r="F14" s="3" t="s">
        <v>45</v>
      </c>
      <c r="G14" s="3" t="str">
        <f t="shared" si="0"/>
        <v>2011</v>
      </c>
      <c r="H14" s="3">
        <f t="shared" si="1"/>
        <v>8</v>
      </c>
      <c r="I14" s="69"/>
      <c r="J14" s="3" t="s">
        <v>647</v>
      </c>
      <c r="K14" s="3" t="s">
        <v>317</v>
      </c>
      <c r="L14" s="3">
        <v>0.3</v>
      </c>
      <c r="M14" s="3">
        <v>190</v>
      </c>
      <c r="N14" s="3" t="str">
        <f t="shared" si="2"/>
        <v>2007</v>
      </c>
      <c r="O14" s="2">
        <v>312</v>
      </c>
      <c r="AE14" t="s">
        <v>1198</v>
      </c>
      <c r="AF14">
        <v>16.73</v>
      </c>
      <c r="AG14">
        <f t="shared" si="3"/>
        <v>1.2787333755808348</v>
      </c>
      <c r="AH14">
        <f t="shared" si="4"/>
        <v>18.999115178442491</v>
      </c>
      <c r="AI14">
        <f t="shared" si="5"/>
        <v>1.899911517844249E-2</v>
      </c>
      <c r="AJ14">
        <f t="shared" si="6"/>
        <v>0.1044951334814337</v>
      </c>
      <c r="AL14" t="s">
        <v>1270</v>
      </c>
    </row>
    <row r="15" spans="1:55" x14ac:dyDescent="0.35">
      <c r="A15" s="3">
        <v>2018</v>
      </c>
      <c r="B15" s="3">
        <v>8</v>
      </c>
      <c r="C15" s="3">
        <v>16</v>
      </c>
      <c r="D15" s="2">
        <v>337</v>
      </c>
      <c r="E15" s="3">
        <v>3</v>
      </c>
      <c r="F15" s="3" t="s">
        <v>41</v>
      </c>
      <c r="G15" s="3" t="str">
        <f t="shared" si="0"/>
        <v>2013</v>
      </c>
      <c r="H15" s="3">
        <f t="shared" si="1"/>
        <v>5</v>
      </c>
      <c r="I15" s="69"/>
      <c r="J15" s="3" t="s">
        <v>583</v>
      </c>
      <c r="K15" s="3" t="s">
        <v>318</v>
      </c>
      <c r="L15" s="3">
        <v>3.9</v>
      </c>
      <c r="M15" s="3">
        <v>191</v>
      </c>
      <c r="N15" s="3" t="str">
        <f t="shared" si="2"/>
        <v>2011</v>
      </c>
      <c r="O15" s="2">
        <v>337</v>
      </c>
      <c r="AE15" t="s">
        <v>1198</v>
      </c>
      <c r="AF15">
        <v>15.77</v>
      </c>
      <c r="AG15">
        <f t="shared" si="3"/>
        <v>1.2023899381454872</v>
      </c>
      <c r="AH15">
        <f t="shared" si="4"/>
        <v>15.936389587334828</v>
      </c>
      <c r="AI15">
        <f t="shared" si="5"/>
        <v>1.5936389587334829E-2</v>
      </c>
      <c r="AJ15">
        <f t="shared" si="6"/>
        <v>8.7650142730341551E-2</v>
      </c>
      <c r="AL15">
        <f>MEDIAN(AH2:AH39)</f>
        <v>14.806763765702915</v>
      </c>
    </row>
    <row r="16" spans="1:55" x14ac:dyDescent="0.35">
      <c r="A16" s="3">
        <v>2016</v>
      </c>
      <c r="B16" s="3">
        <v>9</v>
      </c>
      <c r="C16" s="3">
        <v>2</v>
      </c>
      <c r="D16" s="2">
        <v>220</v>
      </c>
      <c r="E16" s="3">
        <v>3</v>
      </c>
      <c r="F16" s="3" t="s">
        <v>41</v>
      </c>
      <c r="G16" s="3" t="str">
        <f t="shared" si="0"/>
        <v>2013</v>
      </c>
      <c r="H16" s="3">
        <f t="shared" si="1"/>
        <v>3</v>
      </c>
      <c r="I16" s="69"/>
      <c r="J16" s="3" t="s">
        <v>49</v>
      </c>
      <c r="K16" s="3" t="s">
        <v>318</v>
      </c>
      <c r="L16" s="3">
        <v>4.7</v>
      </c>
      <c r="M16" s="3">
        <v>192</v>
      </c>
      <c r="N16" s="3" t="str">
        <f t="shared" si="2"/>
        <v>2011</v>
      </c>
      <c r="O16" s="2">
        <v>220</v>
      </c>
      <c r="AE16" t="s">
        <v>1198</v>
      </c>
      <c r="AF16">
        <v>15.4</v>
      </c>
      <c r="AG16">
        <f t="shared" si="3"/>
        <v>1.171717888272227</v>
      </c>
      <c r="AH16">
        <f t="shared" si="4"/>
        <v>14.849707123486697</v>
      </c>
      <c r="AI16">
        <f t="shared" si="5"/>
        <v>1.4849707123486697E-2</v>
      </c>
      <c r="AJ16">
        <f t="shared" si="6"/>
        <v>8.1673389179176825E-2</v>
      </c>
    </row>
    <row r="17" spans="1:36" x14ac:dyDescent="0.35">
      <c r="A17" s="3">
        <v>2023</v>
      </c>
      <c r="B17" s="3">
        <v>10</v>
      </c>
      <c r="C17" s="3">
        <v>30</v>
      </c>
      <c r="D17" s="2">
        <v>522</v>
      </c>
      <c r="E17" s="3">
        <v>4</v>
      </c>
      <c r="F17" s="3" t="s">
        <v>225</v>
      </c>
      <c r="G17" s="3" t="str">
        <f t="shared" si="0"/>
        <v>2021</v>
      </c>
      <c r="H17" s="3">
        <f t="shared" si="1"/>
        <v>2</v>
      </c>
      <c r="I17" s="69"/>
      <c r="J17" s="3" t="s">
        <v>237</v>
      </c>
      <c r="K17" s="3">
        <v>3</v>
      </c>
      <c r="L17" s="3">
        <v>5.6</v>
      </c>
      <c r="M17" s="3">
        <v>194</v>
      </c>
      <c r="N17" s="3" t="str">
        <f t="shared" si="2"/>
        <v>2021</v>
      </c>
      <c r="O17" s="2">
        <v>522</v>
      </c>
      <c r="AE17" t="s">
        <v>1198</v>
      </c>
      <c r="AF17">
        <v>15.37</v>
      </c>
      <c r="AG17">
        <f t="shared" si="3"/>
        <v>1.1691987536514916</v>
      </c>
      <c r="AH17">
        <f t="shared" si="4"/>
        <v>14.763820407919132</v>
      </c>
      <c r="AI17">
        <f t="shared" si="5"/>
        <v>1.4763820407919133E-2</v>
      </c>
      <c r="AJ17">
        <f t="shared" si="6"/>
        <v>8.1201012243555235E-2</v>
      </c>
    </row>
    <row r="18" spans="1:36" x14ac:dyDescent="0.35">
      <c r="A18" s="3">
        <v>2024</v>
      </c>
      <c r="B18" s="3">
        <v>2</v>
      </c>
      <c r="C18" s="3">
        <v>23</v>
      </c>
      <c r="D18" s="2">
        <v>644</v>
      </c>
      <c r="E18" s="3">
        <v>1</v>
      </c>
      <c r="F18" s="3" t="s">
        <v>225</v>
      </c>
      <c r="G18" s="3" t="str">
        <f t="shared" si="0"/>
        <v>2022</v>
      </c>
      <c r="H18" s="3">
        <f t="shared" si="1"/>
        <v>2</v>
      </c>
      <c r="I18" s="69"/>
      <c r="J18" t="s">
        <v>21</v>
      </c>
      <c r="K18" s="3">
        <v>2</v>
      </c>
      <c r="L18">
        <v>5.9</v>
      </c>
      <c r="M18" s="3">
        <v>197</v>
      </c>
      <c r="N18" s="3" t="str">
        <f t="shared" si="2"/>
        <v>2021</v>
      </c>
      <c r="O18" s="2">
        <v>644</v>
      </c>
      <c r="AE18" t="s">
        <v>1198</v>
      </c>
      <c r="AF18">
        <v>15.17</v>
      </c>
      <c r="AG18">
        <f t="shared" si="3"/>
        <v>1.1522778071662869</v>
      </c>
      <c r="AH18">
        <f t="shared" si="4"/>
        <v>14.19965547187641</v>
      </c>
      <c r="AI18">
        <f t="shared" si="5"/>
        <v>1.419965547187641E-2</v>
      </c>
      <c r="AJ18">
        <f t="shared" si="6"/>
        <v>7.8098105095320253E-2</v>
      </c>
    </row>
    <row r="19" spans="1:36" x14ac:dyDescent="0.35">
      <c r="A19" s="3" t="s">
        <v>28</v>
      </c>
      <c r="B19" s="3" t="s">
        <v>28</v>
      </c>
      <c r="C19" s="3" t="s">
        <v>28</v>
      </c>
      <c r="D19" s="2">
        <v>449</v>
      </c>
      <c r="E19" s="3" t="s">
        <v>28</v>
      </c>
      <c r="F19" s="3" t="s">
        <v>28</v>
      </c>
      <c r="G19" s="3" t="b">
        <f t="shared" si="0"/>
        <v>0</v>
      </c>
      <c r="H19" s="3" t="e">
        <f t="shared" si="1"/>
        <v>#VALUE!</v>
      </c>
      <c r="I19" s="69"/>
      <c r="J19" s="3" t="s">
        <v>28</v>
      </c>
      <c r="K19" s="3" t="s">
        <v>28</v>
      </c>
      <c r="L19" s="3">
        <v>6.9</v>
      </c>
      <c r="M19" s="3">
        <v>199</v>
      </c>
      <c r="N19" s="3" t="b">
        <f t="shared" si="2"/>
        <v>0</v>
      </c>
      <c r="O19" s="2">
        <v>449</v>
      </c>
      <c r="AE19" t="s">
        <v>1198</v>
      </c>
      <c r="AF19">
        <v>15.12</v>
      </c>
      <c r="AG19">
        <f t="shared" si="3"/>
        <v>1.1480127131790838</v>
      </c>
      <c r="AH19">
        <f t="shared" si="4"/>
        <v>14.060886842098967</v>
      </c>
      <c r="AI19">
        <f t="shared" si="5"/>
        <v>1.4060886842098967E-2</v>
      </c>
      <c r="AJ19">
        <f t="shared" si="6"/>
        <v>7.7334877631544313E-2</v>
      </c>
    </row>
    <row r="20" spans="1:36" x14ac:dyDescent="0.35">
      <c r="A20" s="3">
        <v>2019</v>
      </c>
      <c r="B20" s="3">
        <v>11</v>
      </c>
      <c r="C20" s="3">
        <v>27</v>
      </c>
      <c r="D20" s="2">
        <v>57</v>
      </c>
      <c r="E20" s="3">
        <v>4</v>
      </c>
      <c r="F20" s="3" t="s">
        <v>45</v>
      </c>
      <c r="G20" s="3" t="str">
        <f t="shared" si="0"/>
        <v>2009</v>
      </c>
      <c r="H20" s="3">
        <f t="shared" si="1"/>
        <v>10</v>
      </c>
      <c r="I20" s="69"/>
      <c r="J20" s="3" t="s">
        <v>488</v>
      </c>
      <c r="K20" s="3" t="s">
        <v>488</v>
      </c>
      <c r="L20" s="3">
        <v>5.0999999999999996</v>
      </c>
      <c r="M20" s="3">
        <v>200</v>
      </c>
      <c r="N20" s="3" t="str">
        <f t="shared" si="2"/>
        <v>2007</v>
      </c>
      <c r="O20" s="2">
        <v>57</v>
      </c>
      <c r="AE20" t="s">
        <v>1198</v>
      </c>
      <c r="AF20">
        <v>15.08</v>
      </c>
      <c r="AG20">
        <f t="shared" si="3"/>
        <v>1.1445904706604622</v>
      </c>
      <c r="AH20">
        <f t="shared" si="4"/>
        <v>13.950522396246336</v>
      </c>
      <c r="AI20">
        <f t="shared" si="5"/>
        <v>1.3950522396246336E-2</v>
      </c>
      <c r="AJ20">
        <f t="shared" si="6"/>
        <v>7.6727873179354852E-2</v>
      </c>
    </row>
    <row r="21" spans="1:36" x14ac:dyDescent="0.35">
      <c r="A21" s="3">
        <v>2024</v>
      </c>
      <c r="B21" s="3">
        <v>8</v>
      </c>
      <c r="C21" s="3">
        <v>5</v>
      </c>
      <c r="D21" s="2">
        <v>760</v>
      </c>
      <c r="E21" s="3">
        <v>3</v>
      </c>
      <c r="F21" s="3" t="s">
        <v>20</v>
      </c>
      <c r="G21" s="3" t="str">
        <f t="shared" si="0"/>
        <v>2020</v>
      </c>
      <c r="H21" s="3">
        <f t="shared" si="1"/>
        <v>4</v>
      </c>
      <c r="I21" s="69"/>
      <c r="J21" s="6" t="s">
        <v>783</v>
      </c>
      <c r="K21">
        <v>7</v>
      </c>
      <c r="L21">
        <v>4.9000000000000004</v>
      </c>
      <c r="M21" s="3">
        <v>200</v>
      </c>
      <c r="N21" s="3" t="str">
        <f t="shared" si="2"/>
        <v>2018</v>
      </c>
      <c r="O21" s="2">
        <v>760</v>
      </c>
      <c r="AE21" t="s">
        <v>1198</v>
      </c>
      <c r="AF21" s="3">
        <v>14.81</v>
      </c>
      <c r="AG21">
        <f t="shared" si="3"/>
        <v>1.1212501325830391</v>
      </c>
      <c r="AH21">
        <f t="shared" si="4"/>
        <v>13.220568556566162</v>
      </c>
      <c r="AI21">
        <f t="shared" si="5"/>
        <v>1.3220568556566161E-2</v>
      </c>
      <c r="AJ21">
        <f t="shared" si="6"/>
        <v>7.2713127061113894E-2</v>
      </c>
    </row>
    <row r="22" spans="1:36" x14ac:dyDescent="0.35">
      <c r="A22" s="3">
        <v>2024</v>
      </c>
      <c r="B22" s="3">
        <v>1</v>
      </c>
      <c r="C22" s="3">
        <v>19</v>
      </c>
      <c r="D22" s="2">
        <v>577</v>
      </c>
      <c r="E22" s="3">
        <v>1</v>
      </c>
      <c r="F22" s="3" t="s">
        <v>41</v>
      </c>
      <c r="G22" s="3" t="str">
        <f t="shared" si="0"/>
        <v>2013</v>
      </c>
      <c r="H22" s="3">
        <f t="shared" si="1"/>
        <v>11</v>
      </c>
      <c r="I22" s="69"/>
      <c r="J22" t="s">
        <v>509</v>
      </c>
      <c r="K22" s="3" t="s">
        <v>458</v>
      </c>
      <c r="L22">
        <v>19.7</v>
      </c>
      <c r="M22" s="3">
        <v>202</v>
      </c>
      <c r="N22" s="3" t="str">
        <f t="shared" si="2"/>
        <v>2011</v>
      </c>
      <c r="O22" s="2">
        <v>577</v>
      </c>
      <c r="AE22" t="s">
        <v>1198</v>
      </c>
      <c r="AF22">
        <v>14.26</v>
      </c>
      <c r="AG22">
        <f t="shared" si="3"/>
        <v>1.0723593525519894</v>
      </c>
      <c r="AH22">
        <f t="shared" si="4"/>
        <v>11.812976841257267</v>
      </c>
      <c r="AI22">
        <f t="shared" si="5"/>
        <v>1.1812976841257268E-2</v>
      </c>
      <c r="AJ22">
        <f t="shared" si="6"/>
        <v>6.4971372626914978E-2</v>
      </c>
    </row>
    <row r="23" spans="1:36" x14ac:dyDescent="0.35">
      <c r="A23" s="3">
        <v>2016</v>
      </c>
      <c r="B23" s="3">
        <v>9</v>
      </c>
      <c r="C23" s="3">
        <v>2</v>
      </c>
      <c r="D23" s="2">
        <v>297</v>
      </c>
      <c r="E23" s="3">
        <v>3</v>
      </c>
      <c r="F23" s="3" t="s">
        <v>41</v>
      </c>
      <c r="G23" s="3" t="str">
        <f t="shared" si="0"/>
        <v>2013</v>
      </c>
      <c r="H23" s="3">
        <f t="shared" si="1"/>
        <v>3</v>
      </c>
      <c r="I23" s="69"/>
      <c r="J23" s="3" t="s">
        <v>583</v>
      </c>
      <c r="K23" s="3" t="s">
        <v>318</v>
      </c>
      <c r="L23" s="3">
        <v>5.8</v>
      </c>
      <c r="M23" s="3">
        <v>204</v>
      </c>
      <c r="N23" s="3" t="str">
        <f t="shared" si="2"/>
        <v>2011</v>
      </c>
      <c r="O23" s="2">
        <v>297</v>
      </c>
      <c r="AE23" t="s">
        <v>1198</v>
      </c>
      <c r="AF23">
        <v>14.18</v>
      </c>
      <c r="AG23">
        <f t="shared" si="3"/>
        <v>1.0650912839007125</v>
      </c>
      <c r="AH23">
        <f t="shared" si="4"/>
        <v>11.616927631616621</v>
      </c>
      <c r="AI23">
        <f t="shared" si="5"/>
        <v>1.1616927631616621E-2</v>
      </c>
      <c r="AJ23">
        <f t="shared" si="6"/>
        <v>6.389310197389142E-2</v>
      </c>
    </row>
    <row r="24" spans="1:36" x14ac:dyDescent="0.35">
      <c r="A24" s="3">
        <v>2018</v>
      </c>
      <c r="B24" s="3">
        <v>8</v>
      </c>
      <c r="C24" s="3">
        <v>15</v>
      </c>
      <c r="D24" s="2">
        <v>310</v>
      </c>
      <c r="E24" s="3">
        <v>3</v>
      </c>
      <c r="F24" s="3" t="s">
        <v>41</v>
      </c>
      <c r="G24" s="3" t="str">
        <f t="shared" si="0"/>
        <v>2013</v>
      </c>
      <c r="H24" s="3">
        <f t="shared" si="1"/>
        <v>5</v>
      </c>
      <c r="I24" s="69"/>
      <c r="J24" s="3" t="s">
        <v>49</v>
      </c>
      <c r="K24" s="3" t="s">
        <v>318</v>
      </c>
      <c r="L24" s="3">
        <v>6.6</v>
      </c>
      <c r="M24" s="3">
        <v>204</v>
      </c>
      <c r="N24" s="3" t="str">
        <f t="shared" si="2"/>
        <v>2011</v>
      </c>
      <c r="O24" s="2">
        <v>310</v>
      </c>
      <c r="AE24" t="s">
        <v>1198</v>
      </c>
      <c r="AF24">
        <v>12.56</v>
      </c>
      <c r="AG24">
        <f t="shared" si="3"/>
        <v>0.90836448032668216</v>
      </c>
      <c r="AH24">
        <f t="shared" si="4"/>
        <v>8.0977521547490401</v>
      </c>
      <c r="AI24">
        <f t="shared" si="5"/>
        <v>8.0977521547490397E-3</v>
      </c>
      <c r="AJ24">
        <f t="shared" si="6"/>
        <v>4.4537636851119722E-2</v>
      </c>
    </row>
    <row r="25" spans="1:36" x14ac:dyDescent="0.35">
      <c r="A25" s="3">
        <v>2023</v>
      </c>
      <c r="B25" s="3">
        <v>7</v>
      </c>
      <c r="C25" s="3">
        <v>25</v>
      </c>
      <c r="D25" s="2">
        <v>458</v>
      </c>
      <c r="E25" s="3">
        <v>3</v>
      </c>
      <c r="F25" s="3" t="s">
        <v>20</v>
      </c>
      <c r="G25" s="3" t="str">
        <f t="shared" si="0"/>
        <v>2019</v>
      </c>
      <c r="H25" s="3">
        <f t="shared" si="1"/>
        <v>4</v>
      </c>
      <c r="I25" s="69"/>
      <c r="J25" s="3" t="s">
        <v>914</v>
      </c>
      <c r="K25" s="3">
        <v>23</v>
      </c>
      <c r="L25" s="3">
        <v>5.4</v>
      </c>
      <c r="M25" s="3">
        <v>204</v>
      </c>
      <c r="N25" s="3" t="str">
        <f t="shared" si="2"/>
        <v>2018</v>
      </c>
      <c r="O25" s="2">
        <v>458</v>
      </c>
      <c r="AE25" t="s">
        <v>1198</v>
      </c>
      <c r="AF25">
        <v>12.5</v>
      </c>
      <c r="AG25">
        <f t="shared" si="3"/>
        <v>0.90217821569506551</v>
      </c>
      <c r="AH25">
        <f t="shared" si="4"/>
        <v>7.9832221701392543</v>
      </c>
      <c r="AI25">
        <f t="shared" si="5"/>
        <v>7.983222170139255E-3</v>
      </c>
      <c r="AJ25">
        <f t="shared" si="6"/>
        <v>4.3907721935765906E-2</v>
      </c>
    </row>
    <row r="26" spans="1:36" x14ac:dyDescent="0.35">
      <c r="A26" s="3">
        <v>2016</v>
      </c>
      <c r="B26" s="3">
        <v>8</v>
      </c>
      <c r="C26" s="3">
        <v>31</v>
      </c>
      <c r="D26" s="2">
        <v>251</v>
      </c>
      <c r="E26" s="3">
        <v>3</v>
      </c>
      <c r="F26" s="3" t="s">
        <v>45</v>
      </c>
      <c r="G26" s="3" t="str">
        <f t="shared" si="0"/>
        <v>2009</v>
      </c>
      <c r="H26" s="3">
        <f t="shared" si="1"/>
        <v>7</v>
      </c>
      <c r="I26" s="69"/>
      <c r="J26" s="3" t="s">
        <v>657</v>
      </c>
      <c r="K26" s="3" t="s">
        <v>488</v>
      </c>
      <c r="L26" s="3">
        <v>5.6</v>
      </c>
      <c r="M26" s="3">
        <v>205</v>
      </c>
      <c r="N26" s="3" t="str">
        <f t="shared" si="2"/>
        <v>2007</v>
      </c>
      <c r="O26" s="2">
        <v>251</v>
      </c>
      <c r="AE26" t="s">
        <v>1198</v>
      </c>
      <c r="AF26">
        <v>12.39</v>
      </c>
      <c r="AG26">
        <f t="shared" si="3"/>
        <v>0.89075921507687639</v>
      </c>
      <c r="AH26">
        <f t="shared" si="4"/>
        <v>7.7760530552454448</v>
      </c>
      <c r="AI26">
        <f t="shared" si="5"/>
        <v>7.7760530552454452E-3</v>
      </c>
      <c r="AJ26">
        <f t="shared" si="6"/>
        <v>4.2768291803849945E-2</v>
      </c>
    </row>
    <row r="27" spans="1:36" x14ac:dyDescent="0.35">
      <c r="A27" s="3">
        <v>2024</v>
      </c>
      <c r="B27" s="3">
        <v>1</v>
      </c>
      <c r="C27" s="3">
        <v>17</v>
      </c>
      <c r="D27" s="2">
        <v>596</v>
      </c>
      <c r="E27" s="3">
        <v>1</v>
      </c>
      <c r="F27" s="3" t="s">
        <v>41</v>
      </c>
      <c r="G27" s="3" t="str">
        <f t="shared" si="0"/>
        <v>2013</v>
      </c>
      <c r="H27" s="3">
        <f t="shared" si="1"/>
        <v>11</v>
      </c>
      <c r="I27" s="69"/>
      <c r="J27" t="s">
        <v>509</v>
      </c>
      <c r="K27" s="3" t="s">
        <v>458</v>
      </c>
      <c r="L27">
        <v>17.899999999999999</v>
      </c>
      <c r="M27" s="3">
        <v>205</v>
      </c>
      <c r="N27" s="3" t="str">
        <f t="shared" si="2"/>
        <v>2011</v>
      </c>
      <c r="O27" s="2">
        <v>596</v>
      </c>
      <c r="AE27" t="s">
        <v>1198</v>
      </c>
      <c r="AF27">
        <v>10.91</v>
      </c>
      <c r="AG27">
        <f t="shared" si="3"/>
        <v>0.72641728557514051</v>
      </c>
      <c r="AH27">
        <f t="shared" si="4"/>
        <v>5.3261977349717515</v>
      </c>
      <c r="AI27">
        <f t="shared" si="5"/>
        <v>5.3261977349717514E-3</v>
      </c>
      <c r="AJ27">
        <f t="shared" si="6"/>
        <v>2.9294087542344631E-2</v>
      </c>
    </row>
    <row r="28" spans="1:36" x14ac:dyDescent="0.35">
      <c r="A28" s="3">
        <v>2023</v>
      </c>
      <c r="B28" s="3">
        <v>1</v>
      </c>
      <c r="C28" s="3">
        <v>30</v>
      </c>
      <c r="D28" s="2">
        <v>102</v>
      </c>
      <c r="E28" s="15">
        <v>1</v>
      </c>
      <c r="F28" s="3" t="s">
        <v>225</v>
      </c>
      <c r="G28" s="3" t="str">
        <f t="shared" si="0"/>
        <v>2021</v>
      </c>
      <c r="H28" s="3">
        <f t="shared" si="1"/>
        <v>2</v>
      </c>
      <c r="I28" s="69"/>
      <c r="J28" s="3">
        <v>4</v>
      </c>
      <c r="K28" s="3">
        <v>4</v>
      </c>
      <c r="L28" s="3">
        <v>19.7</v>
      </c>
      <c r="M28" s="3">
        <v>208</v>
      </c>
      <c r="N28" s="3" t="str">
        <f t="shared" si="2"/>
        <v>2021</v>
      </c>
      <c r="O28" s="2">
        <v>102</v>
      </c>
      <c r="AE28" t="s">
        <v>1198</v>
      </c>
      <c r="AF28">
        <v>10.6</v>
      </c>
      <c r="AG28">
        <f t="shared" si="3"/>
        <v>0.68917735740311192</v>
      </c>
      <c r="AH28">
        <f t="shared" si="4"/>
        <v>4.8885195619675352</v>
      </c>
      <c r="AI28">
        <f t="shared" si="5"/>
        <v>4.888519561967535E-3</v>
      </c>
      <c r="AJ28">
        <f t="shared" si="6"/>
        <v>2.6886857590821444E-2</v>
      </c>
    </row>
    <row r="29" spans="1:36" x14ac:dyDescent="0.35">
      <c r="A29" s="3">
        <v>2023</v>
      </c>
      <c r="B29" s="3">
        <v>10</v>
      </c>
      <c r="C29" s="3">
        <v>31</v>
      </c>
      <c r="D29" s="2">
        <v>521</v>
      </c>
      <c r="E29" s="3">
        <v>4</v>
      </c>
      <c r="F29" s="3" t="s">
        <v>225</v>
      </c>
      <c r="G29" s="3" t="str">
        <f t="shared" si="0"/>
        <v>2022</v>
      </c>
      <c r="H29" s="3">
        <f t="shared" si="1"/>
        <v>1</v>
      </c>
      <c r="I29" s="69"/>
      <c r="J29" s="3" t="s">
        <v>83</v>
      </c>
      <c r="K29" s="3">
        <v>2</v>
      </c>
      <c r="L29" s="3">
        <v>6.5</v>
      </c>
      <c r="M29" s="3">
        <v>209</v>
      </c>
      <c r="N29" s="3" t="str">
        <f t="shared" si="2"/>
        <v>2021</v>
      </c>
      <c r="O29" s="2">
        <v>521</v>
      </c>
      <c r="AE29" t="s">
        <v>1198</v>
      </c>
      <c r="AF29">
        <v>9.67</v>
      </c>
      <c r="AG29">
        <f t="shared" si="3"/>
        <v>0.57054813245470504</v>
      </c>
      <c r="AH29">
        <f t="shared" si="4"/>
        <v>3.7200444778534525</v>
      </c>
      <c r="AI29">
        <f t="shared" si="5"/>
        <v>3.7200444778534526E-3</v>
      </c>
      <c r="AJ29">
        <f t="shared" si="6"/>
        <v>2.0460244628193989E-2</v>
      </c>
    </row>
    <row r="30" spans="1:36" x14ac:dyDescent="0.35">
      <c r="A30" s="3">
        <v>2019</v>
      </c>
      <c r="B30" s="3">
        <v>11</v>
      </c>
      <c r="C30" s="3">
        <v>27</v>
      </c>
      <c r="D30" s="2">
        <v>56</v>
      </c>
      <c r="E30" s="3">
        <v>4</v>
      </c>
      <c r="F30" s="3" t="s">
        <v>45</v>
      </c>
      <c r="G30" s="3" t="str">
        <f t="shared" si="0"/>
        <v>2009</v>
      </c>
      <c r="H30" s="3">
        <f t="shared" si="1"/>
        <v>10</v>
      </c>
      <c r="I30" s="69"/>
      <c r="J30" s="3" t="s">
        <v>488</v>
      </c>
      <c r="K30" s="3" t="s">
        <v>488</v>
      </c>
      <c r="L30" s="3">
        <v>5.9</v>
      </c>
      <c r="M30" s="3">
        <v>211</v>
      </c>
      <c r="N30" s="3" t="str">
        <f t="shared" si="2"/>
        <v>2007</v>
      </c>
      <c r="O30" s="2">
        <v>56</v>
      </c>
      <c r="AE30" t="s">
        <v>1198</v>
      </c>
      <c r="AF30">
        <v>8.14</v>
      </c>
      <c r="AG30">
        <f t="shared" si="3"/>
        <v>0.34803441722390716</v>
      </c>
      <c r="AH30">
        <f t="shared" si="4"/>
        <v>2.2286117566043089</v>
      </c>
      <c r="AI30">
        <f t="shared" si="5"/>
        <v>2.2286117566043089E-3</v>
      </c>
      <c r="AJ30">
        <f t="shared" si="6"/>
        <v>1.2257364661323699E-2</v>
      </c>
    </row>
    <row r="31" spans="1:36" x14ac:dyDescent="0.35">
      <c r="A31" s="3">
        <v>2016</v>
      </c>
      <c r="B31" s="3">
        <v>11</v>
      </c>
      <c r="C31" s="3">
        <v>16</v>
      </c>
      <c r="D31" s="2">
        <v>178</v>
      </c>
      <c r="E31" s="3">
        <v>4</v>
      </c>
      <c r="F31" s="3" t="s">
        <v>41</v>
      </c>
      <c r="G31" s="3" t="str">
        <f t="shared" si="0"/>
        <v>2013</v>
      </c>
      <c r="H31" s="3">
        <f t="shared" si="1"/>
        <v>3</v>
      </c>
      <c r="I31" s="69"/>
      <c r="J31" s="3" t="s">
        <v>583</v>
      </c>
      <c r="K31" s="3" t="s">
        <v>318</v>
      </c>
      <c r="L31" s="3">
        <v>6.2</v>
      </c>
      <c r="M31" s="3">
        <v>212</v>
      </c>
      <c r="N31" s="3" t="str">
        <f t="shared" si="2"/>
        <v>2011</v>
      </c>
      <c r="O31" s="2">
        <v>178</v>
      </c>
      <c r="AE31" t="s">
        <v>1223</v>
      </c>
      <c r="AF31">
        <v>14.68</v>
      </c>
      <c r="AG31">
        <f>((3.5955)*(LOG(AF31))+(-3.1538))</f>
        <v>1.0411635328380764</v>
      </c>
      <c r="AH31">
        <f>10^(AG31)</f>
        <v>10.99419746108793</v>
      </c>
      <c r="AI31">
        <f t="shared" si="5"/>
        <v>1.0994197461087931E-2</v>
      </c>
      <c r="AJ31">
        <f>5.51*AI31</f>
        <v>6.0578028010594497E-2</v>
      </c>
    </row>
    <row r="32" spans="1:36" x14ac:dyDescent="0.35">
      <c r="A32" s="3">
        <v>2022</v>
      </c>
      <c r="B32" s="3">
        <v>11</v>
      </c>
      <c r="C32" s="3">
        <v>18</v>
      </c>
      <c r="D32" s="2">
        <v>110</v>
      </c>
      <c r="E32" s="15">
        <v>4</v>
      </c>
      <c r="F32" s="3" t="s">
        <v>225</v>
      </c>
      <c r="G32" s="3" t="str">
        <f t="shared" si="0"/>
        <v>2021</v>
      </c>
      <c r="H32" s="3">
        <f t="shared" si="1"/>
        <v>1</v>
      </c>
      <c r="I32" s="69"/>
      <c r="J32" s="3">
        <v>4</v>
      </c>
      <c r="K32" s="3">
        <v>4</v>
      </c>
      <c r="L32" s="3">
        <v>6.6</v>
      </c>
      <c r="M32" s="3">
        <v>213</v>
      </c>
      <c r="N32" s="3" t="str">
        <f t="shared" si="2"/>
        <v>2021</v>
      </c>
      <c r="O32" s="2">
        <v>110</v>
      </c>
      <c r="U32">
        <v>32.43</v>
      </c>
      <c r="AE32" t="s">
        <v>1223</v>
      </c>
      <c r="AF32">
        <v>16.079999999999998</v>
      </c>
      <c r="AG32">
        <f t="shared" ref="AG32:AG33" si="7">((3.5955)*(LOG(AF32))+(-3.1538))</f>
        <v>1.1834014726849005</v>
      </c>
      <c r="AH32">
        <f t="shared" ref="AH32:AH33" si="8">10^(AG32)</f>
        <v>15.254622776931345</v>
      </c>
      <c r="AI32">
        <f t="shared" si="5"/>
        <v>1.5254622776931345E-2</v>
      </c>
      <c r="AJ32">
        <f>5.51*AI32</f>
        <v>8.4052971500891707E-2</v>
      </c>
    </row>
    <row r="33" spans="1:36" x14ac:dyDescent="0.35">
      <c r="A33" s="3">
        <v>2019</v>
      </c>
      <c r="B33" s="3">
        <v>8</v>
      </c>
      <c r="C33" s="3">
        <v>9</v>
      </c>
      <c r="D33" s="2">
        <v>320</v>
      </c>
      <c r="E33" s="3">
        <v>3</v>
      </c>
      <c r="F33" s="3" t="s">
        <v>45</v>
      </c>
      <c r="G33" s="3" t="str">
        <f t="shared" si="0"/>
        <v>2011</v>
      </c>
      <c r="H33" s="3">
        <f t="shared" si="1"/>
        <v>8</v>
      </c>
      <c r="I33" s="69"/>
      <c r="J33" s="3" t="s">
        <v>632</v>
      </c>
      <c r="K33" s="3" t="s">
        <v>317</v>
      </c>
      <c r="L33" s="3">
        <v>5.0999999999999996</v>
      </c>
      <c r="M33" s="3">
        <v>213</v>
      </c>
      <c r="N33" s="3" t="str">
        <f t="shared" si="2"/>
        <v>2007</v>
      </c>
      <c r="O33" s="2">
        <v>320</v>
      </c>
      <c r="AE33" t="s">
        <v>1223</v>
      </c>
      <c r="AF33">
        <v>23.32</v>
      </c>
      <c r="AG33">
        <f t="shared" si="7"/>
        <v>1.7638679874557242</v>
      </c>
      <c r="AH33">
        <f t="shared" si="8"/>
        <v>58.058790932160527</v>
      </c>
      <c r="AI33">
        <f t="shared" si="5"/>
        <v>5.8058790932160528E-2</v>
      </c>
      <c r="AJ33">
        <f t="shared" ref="AJ33" si="9">5.51*AI33</f>
        <v>0.31990393803620448</v>
      </c>
    </row>
    <row r="34" spans="1:36" x14ac:dyDescent="0.35">
      <c r="A34" s="3">
        <v>2023</v>
      </c>
      <c r="B34" s="3">
        <v>11</v>
      </c>
      <c r="C34" s="3">
        <v>3</v>
      </c>
      <c r="D34" s="2">
        <v>528</v>
      </c>
      <c r="E34" s="3">
        <v>4</v>
      </c>
      <c r="F34" s="3" t="s">
        <v>226</v>
      </c>
      <c r="G34" s="3" t="str">
        <f t="shared" ref="G34:G65" si="10">IF(K34="A55","2009",IF(K34="A59","2009",IF(K34="A60","2010",IF(K34="A62","2011",IF(K34="CP","2013",IF(K34="MD","2012",IF(K34="TS","2013",IF(K34="DL","2018",IF(K34="SCU","2018",IF(K34="NCU","2018",IF(K34="C1C","2018",IF(K34="C1E","2018",IF(K34="RS1S","2018",IF(K34="C2B","2018",IF(K34="DB3","2018",IF(AND(K34=6,F34="SRS"),"2018",IF(AND(K34=7,F34="SRS"),"2020",IF(AND(K34=8,F34="SRS"),"2020",IF(K34=23,"2019",IF(AND(K34=7,F34="WCA 3B"),"2017",IF(AND(K34=8,F34="WCA 3B"),"2019",IF(K34=1,"2021",IF(K34=2,"2022",IF(K34=3,"2021",IF(K34=4,"2021",IF(K34=5,"2022",IF(AND(K34=6,F34="WCA 3A"),"2022",IF(K34=9,"2023",IF(K34=10,"2023",IF(K34=37,"2020"))))))))))))))))))))))))))))))</f>
        <v>2017</v>
      </c>
      <c r="H34" s="3">
        <f t="shared" si="1"/>
        <v>6</v>
      </c>
      <c r="I34" s="69"/>
      <c r="J34" s="3" t="s">
        <v>228</v>
      </c>
      <c r="K34" s="3">
        <v>7</v>
      </c>
      <c r="L34" s="3">
        <v>7.9</v>
      </c>
      <c r="M34" s="3">
        <v>213</v>
      </c>
      <c r="N34" s="3" t="str">
        <f t="shared" si="2"/>
        <v>2017</v>
      </c>
      <c r="O34" s="2">
        <v>528</v>
      </c>
      <c r="AE34" t="s">
        <v>1222</v>
      </c>
      <c r="AF34">
        <v>8.67</v>
      </c>
      <c r="AG34">
        <f>((2.7391)*(LOG(AF34))+(-2.053))</f>
        <v>0.51632810989708755</v>
      </c>
      <c r="AH34">
        <f>10^(AG34)</f>
        <v>3.2834326308032686</v>
      </c>
      <c r="AI34">
        <f t="shared" si="5"/>
        <v>3.2834326308032688E-3</v>
      </c>
      <c r="AJ34">
        <f>5.5*AI34</f>
        <v>1.8058879469417977E-2</v>
      </c>
    </row>
    <row r="35" spans="1:36" x14ac:dyDescent="0.35">
      <c r="A35" s="3">
        <v>2023</v>
      </c>
      <c r="B35" s="3">
        <v>8</v>
      </c>
      <c r="C35" s="3">
        <v>2</v>
      </c>
      <c r="D35" s="2">
        <v>430</v>
      </c>
      <c r="E35" s="3">
        <v>3</v>
      </c>
      <c r="F35" s="3" t="s">
        <v>225</v>
      </c>
      <c r="G35" s="3" t="str">
        <f t="shared" si="10"/>
        <v>2022</v>
      </c>
      <c r="H35" s="3">
        <f t="shared" si="1"/>
        <v>1</v>
      </c>
      <c r="I35" s="69"/>
      <c r="J35" s="3" t="s">
        <v>67</v>
      </c>
      <c r="K35" s="3">
        <v>2</v>
      </c>
      <c r="L35" s="3">
        <v>7.3</v>
      </c>
      <c r="M35" s="3">
        <v>216</v>
      </c>
      <c r="N35" s="3" t="str">
        <f t="shared" si="2"/>
        <v>2021</v>
      </c>
      <c r="O35" s="2">
        <v>430</v>
      </c>
      <c r="AE35" t="s">
        <v>1222</v>
      </c>
      <c r="AF35">
        <v>13.81</v>
      </c>
      <c r="AG35">
        <f t="shared" ref="AG35:AG36" si="11">((2.7391)*(LOG(AF35))+(-2.053))</f>
        <v>1.0701045049947293</v>
      </c>
      <c r="AH35">
        <f t="shared" ref="AH35" si="12">10^(AG35)</f>
        <v>11.751803064866603</v>
      </c>
      <c r="AI35">
        <f t="shared" si="5"/>
        <v>1.1751803064866603E-2</v>
      </c>
      <c r="AJ35">
        <f t="shared" ref="AJ35:AJ36" si="13">5.5*AI35</f>
        <v>6.4634916856766311E-2</v>
      </c>
    </row>
    <row r="36" spans="1:36" x14ac:dyDescent="0.35">
      <c r="A36" s="3">
        <v>2023</v>
      </c>
      <c r="B36" s="3">
        <v>11</v>
      </c>
      <c r="C36" s="3">
        <v>20</v>
      </c>
      <c r="D36" s="2">
        <v>525</v>
      </c>
      <c r="E36" s="3">
        <v>4</v>
      </c>
      <c r="F36" s="3" t="s">
        <v>225</v>
      </c>
      <c r="G36" s="3" t="str">
        <f t="shared" si="10"/>
        <v>2023</v>
      </c>
      <c r="H36" s="3">
        <f t="shared" si="1"/>
        <v>0</v>
      </c>
      <c r="I36" s="69"/>
      <c r="J36" s="3" t="s">
        <v>979</v>
      </c>
      <c r="K36" s="3">
        <v>9</v>
      </c>
      <c r="L36" s="3">
        <v>8</v>
      </c>
      <c r="M36" s="3">
        <v>216</v>
      </c>
      <c r="N36" s="3" t="str">
        <f t="shared" si="2"/>
        <v>2021</v>
      </c>
      <c r="O36" s="2">
        <v>525</v>
      </c>
      <c r="AE36" t="s">
        <v>1222</v>
      </c>
      <c r="AF36">
        <v>14.22</v>
      </c>
      <c r="AG36">
        <f t="shared" si="11"/>
        <v>1.1049072844821142</v>
      </c>
      <c r="AH36">
        <f>10^(AG36)</f>
        <v>12.732312357595381</v>
      </c>
      <c r="AI36">
        <f t="shared" si="5"/>
        <v>1.2732312357595381E-2</v>
      </c>
      <c r="AJ36">
        <f t="shared" si="13"/>
        <v>7.0027717966774594E-2</v>
      </c>
    </row>
    <row r="37" spans="1:36" x14ac:dyDescent="0.35">
      <c r="A37" s="3">
        <v>2019</v>
      </c>
      <c r="B37" s="3">
        <v>8</v>
      </c>
      <c r="C37" s="3">
        <v>9</v>
      </c>
      <c r="D37" s="2">
        <v>313</v>
      </c>
      <c r="E37" s="3">
        <v>3</v>
      </c>
      <c r="F37" s="3" t="s">
        <v>45</v>
      </c>
      <c r="G37" s="3" t="str">
        <f t="shared" si="10"/>
        <v>2011</v>
      </c>
      <c r="H37" s="3">
        <f t="shared" si="1"/>
        <v>8</v>
      </c>
      <c r="I37" s="69"/>
      <c r="J37" s="3" t="s">
        <v>317</v>
      </c>
      <c r="K37" s="3" t="s">
        <v>317</v>
      </c>
      <c r="L37" s="3">
        <v>3.5</v>
      </c>
      <c r="M37" s="3">
        <v>217</v>
      </c>
      <c r="N37" s="3" t="str">
        <f t="shared" si="2"/>
        <v>2007</v>
      </c>
      <c r="O37" s="2">
        <v>313</v>
      </c>
      <c r="AE37" t="s">
        <v>1226</v>
      </c>
      <c r="AF37">
        <v>32.43</v>
      </c>
      <c r="AG37">
        <f>((3.3635)*(LOG(AF37))+(-2.9311))</f>
        <v>2.1509700618615444</v>
      </c>
      <c r="AH37">
        <f>10^(AG37)</f>
        <v>141.56961854191391</v>
      </c>
      <c r="AI37">
        <f t="shared" si="5"/>
        <v>0.14156961854191391</v>
      </c>
      <c r="AJ37">
        <f>5.16*AI37</f>
        <v>0.73049923167627584</v>
      </c>
    </row>
    <row r="38" spans="1:36" x14ac:dyDescent="0.35">
      <c r="A38" s="3">
        <v>2018</v>
      </c>
      <c r="B38" s="3">
        <v>8</v>
      </c>
      <c r="C38" s="3">
        <v>16</v>
      </c>
      <c r="D38" s="2">
        <v>325</v>
      </c>
      <c r="E38" s="3">
        <v>3</v>
      </c>
      <c r="F38" s="3" t="s">
        <v>45</v>
      </c>
      <c r="G38" s="3" t="str">
        <f t="shared" si="10"/>
        <v>2011</v>
      </c>
      <c r="H38" s="3">
        <f t="shared" si="1"/>
        <v>7</v>
      </c>
      <c r="I38" s="69"/>
      <c r="J38" s="3" t="s">
        <v>647</v>
      </c>
      <c r="K38" s="3" t="s">
        <v>317</v>
      </c>
      <c r="L38" s="3">
        <v>7.2</v>
      </c>
      <c r="M38" s="3">
        <v>220</v>
      </c>
      <c r="N38" s="3" t="str">
        <f t="shared" si="2"/>
        <v>2007</v>
      </c>
      <c r="O38" s="2">
        <v>325</v>
      </c>
      <c r="S38">
        <v>16.079999999999998</v>
      </c>
      <c r="AE38" t="s">
        <v>1226</v>
      </c>
      <c r="AF38">
        <v>42.39</v>
      </c>
      <c r="AG38">
        <f>((3.3635)*(LOG(AF38))+(-2.9311))</f>
        <v>2.542200501627212</v>
      </c>
      <c r="AH38">
        <f>10^(AG38)</f>
        <v>348.49816976931248</v>
      </c>
      <c r="AI38">
        <f t="shared" si="5"/>
        <v>0.34849816976931247</v>
      </c>
      <c r="AJ38">
        <f>5.16*AI38</f>
        <v>1.7982505560096524</v>
      </c>
    </row>
    <row r="39" spans="1:36" x14ac:dyDescent="0.35">
      <c r="A39" s="3">
        <v>2024</v>
      </c>
      <c r="B39" s="3">
        <v>8</v>
      </c>
      <c r="C39" s="3">
        <v>15</v>
      </c>
      <c r="D39" s="2">
        <v>730</v>
      </c>
      <c r="E39" s="3">
        <v>3</v>
      </c>
      <c r="F39" s="3" t="s">
        <v>225</v>
      </c>
      <c r="G39" s="3" t="str">
        <f t="shared" si="10"/>
        <v>2021</v>
      </c>
      <c r="H39" s="3">
        <f t="shared" si="1"/>
        <v>3</v>
      </c>
      <c r="I39" s="69"/>
      <c r="J39">
        <v>3</v>
      </c>
      <c r="K39">
        <v>3</v>
      </c>
      <c r="L39">
        <v>8.9</v>
      </c>
      <c r="M39" s="3">
        <v>220</v>
      </c>
      <c r="N39" s="3" t="str">
        <f t="shared" si="2"/>
        <v>2021</v>
      </c>
      <c r="O39" s="2">
        <v>730</v>
      </c>
      <c r="AE39" t="s">
        <v>1228</v>
      </c>
      <c r="AF39">
        <v>23.17</v>
      </c>
      <c r="AG39">
        <f>((3.113)*(LOG(AF39))+(-4.624))</f>
        <v>-0.37498525681180617</v>
      </c>
      <c r="AH39">
        <f>10^(AG39)</f>
        <v>0.42171081919058051</v>
      </c>
      <c r="AI39">
        <f>AH39*0.2</f>
        <v>8.4342163838116102E-2</v>
      </c>
      <c r="AJ39">
        <f>5*AI39</f>
        <v>0.42171081919058051</v>
      </c>
    </row>
    <row r="40" spans="1:36" x14ac:dyDescent="0.35">
      <c r="A40" s="3">
        <v>2021</v>
      </c>
      <c r="B40" s="3" t="s">
        <v>28</v>
      </c>
      <c r="C40" s="3" t="s">
        <v>28</v>
      </c>
      <c r="D40" s="2">
        <v>13</v>
      </c>
      <c r="E40" s="3" t="s">
        <v>28</v>
      </c>
      <c r="F40" s="3" t="s">
        <v>45</v>
      </c>
      <c r="G40" s="3" t="str">
        <f t="shared" si="10"/>
        <v>2011</v>
      </c>
      <c r="H40" s="3">
        <f t="shared" si="1"/>
        <v>10</v>
      </c>
      <c r="I40" s="69"/>
      <c r="J40" s="3" t="s">
        <v>317</v>
      </c>
      <c r="K40" s="3" t="s">
        <v>317</v>
      </c>
      <c r="L40" s="3">
        <v>7.4</v>
      </c>
      <c r="M40" s="3">
        <v>221</v>
      </c>
      <c r="N40" s="3" t="str">
        <f t="shared" si="2"/>
        <v>2007</v>
      </c>
      <c r="O40" s="2">
        <v>13</v>
      </c>
    </row>
    <row r="41" spans="1:36" x14ac:dyDescent="0.35">
      <c r="A41" s="3">
        <v>2024</v>
      </c>
      <c r="B41" s="3">
        <v>1</v>
      </c>
      <c r="C41" s="3">
        <v>25</v>
      </c>
      <c r="D41" s="2">
        <v>605</v>
      </c>
      <c r="E41" s="3">
        <v>1</v>
      </c>
      <c r="F41" s="3" t="s">
        <v>20</v>
      </c>
      <c r="G41" s="3" t="str">
        <f t="shared" si="10"/>
        <v>2019</v>
      </c>
      <c r="H41" s="3">
        <f t="shared" si="1"/>
        <v>5</v>
      </c>
      <c r="I41" s="69"/>
      <c r="J41" t="s">
        <v>1048</v>
      </c>
      <c r="K41">
        <v>23</v>
      </c>
      <c r="L41">
        <v>8.1999999999999993</v>
      </c>
      <c r="M41" s="3">
        <v>222</v>
      </c>
      <c r="N41" s="3" t="str">
        <f t="shared" si="2"/>
        <v>2018</v>
      </c>
      <c r="O41" s="2">
        <v>605</v>
      </c>
    </row>
    <row r="42" spans="1:36" x14ac:dyDescent="0.35">
      <c r="A42" s="3">
        <v>2024</v>
      </c>
      <c r="B42" s="3">
        <v>4</v>
      </c>
      <c r="C42" s="3">
        <v>9</v>
      </c>
      <c r="D42" s="2">
        <v>650</v>
      </c>
      <c r="E42" s="3">
        <v>2</v>
      </c>
      <c r="F42" s="3" t="s">
        <v>225</v>
      </c>
      <c r="G42" s="3" t="str">
        <f t="shared" si="10"/>
        <v>2022</v>
      </c>
      <c r="H42" s="3">
        <f t="shared" si="1"/>
        <v>2</v>
      </c>
      <c r="I42" s="69"/>
      <c r="J42" t="s">
        <v>235</v>
      </c>
      <c r="K42" s="3">
        <v>5</v>
      </c>
      <c r="L42">
        <v>8.6</v>
      </c>
      <c r="M42" s="3">
        <v>223</v>
      </c>
      <c r="N42" s="3" t="str">
        <f t="shared" si="2"/>
        <v>2021</v>
      </c>
      <c r="O42" s="2">
        <v>650</v>
      </c>
    </row>
    <row r="43" spans="1:36" x14ac:dyDescent="0.35">
      <c r="A43" s="3">
        <v>2016</v>
      </c>
      <c r="B43" s="3">
        <v>9</v>
      </c>
      <c r="C43" s="3">
        <v>1</v>
      </c>
      <c r="D43" s="2">
        <v>240</v>
      </c>
      <c r="E43" s="3">
        <v>3</v>
      </c>
      <c r="F43" s="3" t="s">
        <v>45</v>
      </c>
      <c r="G43" s="3" t="str">
        <f t="shared" si="10"/>
        <v>2011</v>
      </c>
      <c r="H43" s="3">
        <f t="shared" si="1"/>
        <v>5</v>
      </c>
      <c r="I43" s="69"/>
      <c r="J43" s="3" t="s">
        <v>647</v>
      </c>
      <c r="K43" s="3" t="s">
        <v>317</v>
      </c>
      <c r="L43" s="3">
        <v>0.7</v>
      </c>
      <c r="M43" s="3">
        <v>224</v>
      </c>
      <c r="N43" s="3" t="str">
        <f t="shared" si="2"/>
        <v>2007</v>
      </c>
      <c r="O43" s="2">
        <v>240</v>
      </c>
    </row>
    <row r="44" spans="1:36" x14ac:dyDescent="0.35">
      <c r="A44" s="3">
        <v>2016</v>
      </c>
      <c r="B44" s="3">
        <v>8</v>
      </c>
      <c r="C44" s="3">
        <v>31</v>
      </c>
      <c r="D44" s="2">
        <v>285</v>
      </c>
      <c r="E44" s="3">
        <v>3</v>
      </c>
      <c r="F44" s="3" t="s">
        <v>45</v>
      </c>
      <c r="G44" s="3" t="str">
        <f t="shared" si="10"/>
        <v>2011</v>
      </c>
      <c r="H44" s="3">
        <f t="shared" si="1"/>
        <v>5</v>
      </c>
      <c r="I44" s="69"/>
      <c r="J44" s="3" t="s">
        <v>749</v>
      </c>
      <c r="K44" s="3" t="s">
        <v>317</v>
      </c>
      <c r="L44" s="3">
        <v>10.3</v>
      </c>
      <c r="M44" s="3">
        <v>224</v>
      </c>
      <c r="N44" s="3" t="str">
        <f t="shared" si="2"/>
        <v>2007</v>
      </c>
      <c r="O44" s="2">
        <v>285</v>
      </c>
    </row>
    <row r="45" spans="1:36" x14ac:dyDescent="0.35">
      <c r="A45" s="3">
        <v>2017</v>
      </c>
      <c r="B45" s="3">
        <v>8</v>
      </c>
      <c r="C45" s="3">
        <v>8</v>
      </c>
      <c r="D45" s="2">
        <v>86</v>
      </c>
      <c r="E45" s="15">
        <v>3</v>
      </c>
      <c r="F45" s="3" t="s">
        <v>45</v>
      </c>
      <c r="G45" s="3" t="str">
        <f t="shared" si="10"/>
        <v>2009</v>
      </c>
      <c r="H45" s="3">
        <f t="shared" si="1"/>
        <v>8</v>
      </c>
      <c r="I45" s="69"/>
      <c r="J45" s="3" t="s">
        <v>512</v>
      </c>
      <c r="K45" s="3" t="s">
        <v>512</v>
      </c>
      <c r="L45" s="3">
        <v>7.3</v>
      </c>
      <c r="M45" s="3">
        <v>225</v>
      </c>
      <c r="N45" s="3" t="str">
        <f t="shared" si="2"/>
        <v>2007</v>
      </c>
      <c r="O45" s="2">
        <v>86</v>
      </c>
    </row>
    <row r="46" spans="1:36" x14ac:dyDescent="0.35">
      <c r="A46" s="3">
        <v>2016</v>
      </c>
      <c r="B46" s="3">
        <v>9</v>
      </c>
      <c r="C46" s="3">
        <v>1</v>
      </c>
      <c r="D46" s="2">
        <v>239</v>
      </c>
      <c r="E46" s="3">
        <v>3</v>
      </c>
      <c r="F46" s="3" t="s">
        <v>45</v>
      </c>
      <c r="G46" s="3" t="str">
        <f t="shared" si="10"/>
        <v>2011</v>
      </c>
      <c r="H46" s="3">
        <f t="shared" si="1"/>
        <v>5</v>
      </c>
      <c r="I46" s="69"/>
      <c r="J46" s="3" t="s">
        <v>647</v>
      </c>
      <c r="K46" s="3" t="s">
        <v>317</v>
      </c>
      <c r="L46" s="3">
        <v>8.6</v>
      </c>
      <c r="M46" s="3">
        <v>225</v>
      </c>
      <c r="N46" s="3" t="str">
        <f t="shared" si="2"/>
        <v>2007</v>
      </c>
      <c r="O46" s="2">
        <v>239</v>
      </c>
    </row>
    <row r="47" spans="1:36" x14ac:dyDescent="0.35">
      <c r="A47" s="3">
        <v>2016</v>
      </c>
      <c r="B47" s="3">
        <v>11</v>
      </c>
      <c r="C47" s="3">
        <v>7</v>
      </c>
      <c r="D47" s="2">
        <v>206</v>
      </c>
      <c r="E47" s="3">
        <v>4</v>
      </c>
      <c r="F47" s="3" t="s">
        <v>45</v>
      </c>
      <c r="G47" s="3" t="str">
        <f t="shared" si="10"/>
        <v>2009</v>
      </c>
      <c r="H47" s="3">
        <f t="shared" si="1"/>
        <v>7</v>
      </c>
      <c r="I47" s="69"/>
      <c r="J47" s="3" t="s">
        <v>657</v>
      </c>
      <c r="K47" s="3" t="s">
        <v>488</v>
      </c>
      <c r="L47" s="3">
        <v>7.2</v>
      </c>
      <c r="M47" s="3">
        <v>226</v>
      </c>
      <c r="N47" s="3" t="str">
        <f t="shared" si="2"/>
        <v>2007</v>
      </c>
      <c r="O47" s="2">
        <v>206</v>
      </c>
    </row>
    <row r="48" spans="1:36" x14ac:dyDescent="0.35">
      <c r="A48" s="3">
        <v>2016</v>
      </c>
      <c r="B48" s="3">
        <v>8</v>
      </c>
      <c r="C48" s="3">
        <v>31</v>
      </c>
      <c r="D48" s="2">
        <v>279</v>
      </c>
      <c r="E48" s="3">
        <v>3</v>
      </c>
      <c r="F48" s="3" t="s">
        <v>45</v>
      </c>
      <c r="G48" s="3" t="str">
        <f t="shared" si="10"/>
        <v>2009</v>
      </c>
      <c r="H48" s="3">
        <f t="shared" si="1"/>
        <v>7</v>
      </c>
      <c r="I48" s="69"/>
      <c r="J48" s="3" t="s">
        <v>742</v>
      </c>
      <c r="K48" s="3" t="s">
        <v>488</v>
      </c>
      <c r="L48" s="3">
        <v>8.5</v>
      </c>
      <c r="M48" s="3">
        <v>226</v>
      </c>
      <c r="N48" s="3" t="str">
        <f t="shared" si="2"/>
        <v>2007</v>
      </c>
      <c r="O48" s="2">
        <v>279</v>
      </c>
    </row>
    <row r="49" spans="1:15" x14ac:dyDescent="0.35">
      <c r="A49" s="3">
        <v>2016</v>
      </c>
      <c r="B49" s="3">
        <v>11</v>
      </c>
      <c r="C49" s="3">
        <v>16</v>
      </c>
      <c r="D49" s="2">
        <v>177</v>
      </c>
      <c r="E49" s="3">
        <v>4</v>
      </c>
      <c r="F49" s="3" t="s">
        <v>41</v>
      </c>
      <c r="G49" s="3" t="str">
        <f t="shared" si="10"/>
        <v>2013</v>
      </c>
      <c r="H49" s="3">
        <f t="shared" si="1"/>
        <v>3</v>
      </c>
      <c r="I49" s="69"/>
      <c r="J49" s="3" t="s">
        <v>583</v>
      </c>
      <c r="K49" s="3" t="s">
        <v>318</v>
      </c>
      <c r="L49" s="3">
        <v>0.9</v>
      </c>
      <c r="M49" s="3">
        <v>227</v>
      </c>
      <c r="N49" s="3" t="str">
        <f t="shared" si="2"/>
        <v>2011</v>
      </c>
      <c r="O49" s="2">
        <v>177</v>
      </c>
    </row>
    <row r="50" spans="1:15" x14ac:dyDescent="0.35">
      <c r="A50" s="3">
        <v>2022</v>
      </c>
      <c r="B50" s="3">
        <v>11</v>
      </c>
      <c r="C50" s="3">
        <v>14</v>
      </c>
      <c r="D50" s="2">
        <v>99</v>
      </c>
      <c r="E50" s="15">
        <v>4</v>
      </c>
      <c r="F50" s="3" t="s">
        <v>20</v>
      </c>
      <c r="G50" s="3" t="str">
        <f t="shared" si="10"/>
        <v>2020</v>
      </c>
      <c r="H50" s="3">
        <f t="shared" si="1"/>
        <v>2</v>
      </c>
      <c r="I50" s="69"/>
      <c r="J50" s="3">
        <v>37</v>
      </c>
      <c r="K50" s="3">
        <v>37</v>
      </c>
      <c r="L50" s="3">
        <v>8.4</v>
      </c>
      <c r="M50" s="3">
        <v>228</v>
      </c>
      <c r="N50" s="3" t="str">
        <f t="shared" si="2"/>
        <v>2018</v>
      </c>
      <c r="O50" s="2">
        <v>99</v>
      </c>
    </row>
    <row r="51" spans="1:15" x14ac:dyDescent="0.35">
      <c r="A51" s="3">
        <v>2016</v>
      </c>
      <c r="B51" s="3">
        <v>8</v>
      </c>
      <c r="C51" s="3">
        <v>31</v>
      </c>
      <c r="D51" s="2">
        <v>286</v>
      </c>
      <c r="E51" s="3">
        <v>3</v>
      </c>
      <c r="F51" s="3" t="s">
        <v>45</v>
      </c>
      <c r="G51" s="3" t="str">
        <f t="shared" si="10"/>
        <v>2011</v>
      </c>
      <c r="H51" s="3">
        <f t="shared" si="1"/>
        <v>5</v>
      </c>
      <c r="I51" s="69"/>
      <c r="J51" s="3" t="s">
        <v>749</v>
      </c>
      <c r="K51" s="3" t="s">
        <v>317</v>
      </c>
      <c r="L51" s="3">
        <v>6.8</v>
      </c>
      <c r="M51" s="3">
        <v>230</v>
      </c>
      <c r="N51" s="3" t="str">
        <f t="shared" si="2"/>
        <v>2007</v>
      </c>
      <c r="O51" s="2">
        <v>286</v>
      </c>
    </row>
    <row r="52" spans="1:15" x14ac:dyDescent="0.35">
      <c r="A52" s="3">
        <v>2023</v>
      </c>
      <c r="B52" s="3">
        <v>8</v>
      </c>
      <c r="C52" s="3">
        <v>2</v>
      </c>
      <c r="D52" s="2">
        <v>432</v>
      </c>
      <c r="E52" s="3">
        <v>3</v>
      </c>
      <c r="F52" s="3" t="s">
        <v>225</v>
      </c>
      <c r="G52" s="3" t="str">
        <f t="shared" si="10"/>
        <v>2022</v>
      </c>
      <c r="H52" s="3">
        <f t="shared" si="1"/>
        <v>1</v>
      </c>
      <c r="I52" s="69"/>
      <c r="J52" s="3" t="s">
        <v>67</v>
      </c>
      <c r="K52" s="3">
        <v>2</v>
      </c>
      <c r="L52" s="3">
        <v>33.6</v>
      </c>
      <c r="M52" s="3">
        <v>230</v>
      </c>
      <c r="N52" s="3" t="str">
        <f t="shared" si="2"/>
        <v>2021</v>
      </c>
      <c r="O52" s="2">
        <v>432</v>
      </c>
    </row>
    <row r="53" spans="1:15" x14ac:dyDescent="0.35">
      <c r="A53" s="3">
        <v>2019</v>
      </c>
      <c r="B53" s="3">
        <v>11</v>
      </c>
      <c r="C53" s="3">
        <v>27</v>
      </c>
      <c r="D53" s="2">
        <v>55</v>
      </c>
      <c r="E53" s="3">
        <v>4</v>
      </c>
      <c r="F53" s="3" t="s">
        <v>45</v>
      </c>
      <c r="G53" s="3" t="str">
        <f t="shared" si="10"/>
        <v>2009</v>
      </c>
      <c r="H53" s="3">
        <f t="shared" si="1"/>
        <v>10</v>
      </c>
      <c r="I53" s="69"/>
      <c r="J53" s="3" t="s">
        <v>488</v>
      </c>
      <c r="K53" s="3" t="s">
        <v>488</v>
      </c>
      <c r="L53" s="3">
        <v>8.9</v>
      </c>
      <c r="M53" s="3">
        <v>231</v>
      </c>
      <c r="N53" s="3" t="str">
        <f t="shared" si="2"/>
        <v>2007</v>
      </c>
      <c r="O53" s="2">
        <v>55</v>
      </c>
    </row>
    <row r="54" spans="1:15" x14ac:dyDescent="0.35">
      <c r="A54" s="3">
        <v>2016</v>
      </c>
      <c r="B54" s="3">
        <v>8</v>
      </c>
      <c r="C54" s="3">
        <v>31</v>
      </c>
      <c r="D54" s="2">
        <v>250</v>
      </c>
      <c r="E54" s="3">
        <v>3</v>
      </c>
      <c r="F54" s="3" t="s">
        <v>45</v>
      </c>
      <c r="G54" s="3" t="str">
        <f t="shared" si="10"/>
        <v>2009</v>
      </c>
      <c r="H54" s="3">
        <f t="shared" si="1"/>
        <v>7</v>
      </c>
      <c r="I54" s="69"/>
      <c r="J54" s="3" t="s">
        <v>657</v>
      </c>
      <c r="K54" s="3" t="s">
        <v>488</v>
      </c>
      <c r="L54" s="3">
        <v>7.6</v>
      </c>
      <c r="M54" s="3">
        <v>232</v>
      </c>
      <c r="N54" s="3" t="str">
        <f t="shared" si="2"/>
        <v>2007</v>
      </c>
      <c r="O54" s="2">
        <v>250</v>
      </c>
    </row>
    <row r="55" spans="1:15" x14ac:dyDescent="0.35">
      <c r="A55" s="3" t="s">
        <v>28</v>
      </c>
      <c r="B55" s="3" t="s">
        <v>28</v>
      </c>
      <c r="C55" s="3" t="s">
        <v>28</v>
      </c>
      <c r="D55" s="2">
        <v>302</v>
      </c>
      <c r="E55" s="3" t="s">
        <v>28</v>
      </c>
      <c r="F55" s="3" t="s">
        <v>28</v>
      </c>
      <c r="G55" s="3" t="b">
        <f t="shared" si="10"/>
        <v>0</v>
      </c>
      <c r="H55" s="3" t="e">
        <f t="shared" si="1"/>
        <v>#VALUE!</v>
      </c>
      <c r="I55" s="69"/>
      <c r="J55" s="3" t="s">
        <v>28</v>
      </c>
      <c r="K55" s="3" t="s">
        <v>28</v>
      </c>
      <c r="L55" s="3">
        <v>9.1</v>
      </c>
      <c r="M55" s="3">
        <v>233</v>
      </c>
      <c r="N55" s="3" t="b">
        <f t="shared" si="2"/>
        <v>0</v>
      </c>
      <c r="O55" s="2">
        <v>302</v>
      </c>
    </row>
    <row r="56" spans="1:15" x14ac:dyDescent="0.35">
      <c r="A56" s="3">
        <v>2024</v>
      </c>
      <c r="B56" s="3">
        <v>1</v>
      </c>
      <c r="C56" s="3">
        <v>23</v>
      </c>
      <c r="D56" s="2">
        <v>609</v>
      </c>
      <c r="E56" s="3">
        <v>1</v>
      </c>
      <c r="F56" s="3" t="s">
        <v>20</v>
      </c>
      <c r="G56" s="3" t="str">
        <f t="shared" si="10"/>
        <v>2020</v>
      </c>
      <c r="H56" s="3">
        <f t="shared" si="1"/>
        <v>4</v>
      </c>
      <c r="I56" s="69"/>
      <c r="J56" t="s">
        <v>64</v>
      </c>
      <c r="K56">
        <v>7</v>
      </c>
      <c r="L56">
        <v>29.8</v>
      </c>
      <c r="M56" s="3">
        <v>233</v>
      </c>
      <c r="N56" s="3" t="str">
        <f t="shared" si="2"/>
        <v>2018</v>
      </c>
      <c r="O56" s="2">
        <v>609</v>
      </c>
    </row>
    <row r="57" spans="1:15" x14ac:dyDescent="0.35">
      <c r="A57" s="3">
        <v>2016</v>
      </c>
      <c r="B57" s="3">
        <v>9</v>
      </c>
      <c r="C57" s="3">
        <v>2</v>
      </c>
      <c r="D57" s="2">
        <v>295</v>
      </c>
      <c r="E57" s="3">
        <v>3</v>
      </c>
      <c r="F57" s="3" t="s">
        <v>41</v>
      </c>
      <c r="G57" s="3" t="str">
        <f t="shared" si="10"/>
        <v>2013</v>
      </c>
      <c r="H57" s="3">
        <f t="shared" si="1"/>
        <v>3</v>
      </c>
      <c r="I57" s="69"/>
      <c r="J57" s="3" t="s">
        <v>583</v>
      </c>
      <c r="K57" s="3" t="s">
        <v>318</v>
      </c>
      <c r="L57" s="3">
        <v>11.6</v>
      </c>
      <c r="M57" s="3">
        <v>235</v>
      </c>
      <c r="N57" s="3" t="str">
        <f t="shared" si="2"/>
        <v>2011</v>
      </c>
      <c r="O57" s="2">
        <v>295</v>
      </c>
    </row>
    <row r="58" spans="1:15" x14ac:dyDescent="0.35">
      <c r="A58" s="3">
        <v>2023</v>
      </c>
      <c r="B58" s="3">
        <v>11</v>
      </c>
      <c r="C58" s="3">
        <v>3</v>
      </c>
      <c r="D58" s="2">
        <v>506</v>
      </c>
      <c r="E58" s="3">
        <v>4</v>
      </c>
      <c r="F58" s="3" t="s">
        <v>226</v>
      </c>
      <c r="G58" s="3" t="str">
        <f t="shared" si="10"/>
        <v>2017</v>
      </c>
      <c r="H58" s="3">
        <f t="shared" si="1"/>
        <v>6</v>
      </c>
      <c r="I58" s="69"/>
      <c r="J58" s="3" t="s">
        <v>783</v>
      </c>
      <c r="K58" s="3">
        <v>7</v>
      </c>
      <c r="L58" s="3">
        <v>10.199999999999999</v>
      </c>
      <c r="M58" s="3">
        <v>235</v>
      </c>
      <c r="N58" s="3" t="str">
        <f t="shared" si="2"/>
        <v>2017</v>
      </c>
      <c r="O58" s="2">
        <v>506</v>
      </c>
    </row>
    <row r="59" spans="1:15" x14ac:dyDescent="0.35">
      <c r="A59" s="3">
        <v>2024</v>
      </c>
      <c r="B59" s="3">
        <v>2</v>
      </c>
      <c r="C59" s="3">
        <v>23</v>
      </c>
      <c r="D59" s="2">
        <v>643</v>
      </c>
      <c r="E59" s="3">
        <v>1</v>
      </c>
      <c r="F59" s="3" t="s">
        <v>225</v>
      </c>
      <c r="G59" s="3" t="str">
        <f t="shared" si="10"/>
        <v>2022</v>
      </c>
      <c r="H59" s="3">
        <f t="shared" si="1"/>
        <v>2</v>
      </c>
      <c r="I59" s="69"/>
      <c r="J59" t="s">
        <v>21</v>
      </c>
      <c r="K59" s="3">
        <v>2</v>
      </c>
      <c r="L59">
        <v>10.6</v>
      </c>
      <c r="M59" s="3">
        <v>235</v>
      </c>
      <c r="N59" s="3" t="str">
        <f t="shared" si="2"/>
        <v>2021</v>
      </c>
      <c r="O59" s="2">
        <v>643</v>
      </c>
    </row>
    <row r="60" spans="1:15" x14ac:dyDescent="0.35">
      <c r="A60" s="3">
        <v>2023</v>
      </c>
      <c r="B60" s="3">
        <v>7</v>
      </c>
      <c r="C60" s="3">
        <v>18</v>
      </c>
      <c r="D60" s="2">
        <v>342</v>
      </c>
      <c r="E60" s="3">
        <v>3</v>
      </c>
      <c r="F60" s="3" t="s">
        <v>41</v>
      </c>
      <c r="G60" s="3" t="str">
        <f t="shared" si="10"/>
        <v>2012</v>
      </c>
      <c r="H60" s="3">
        <f t="shared" si="1"/>
        <v>11</v>
      </c>
      <c r="I60" s="69"/>
      <c r="J60" s="3" t="s">
        <v>551</v>
      </c>
      <c r="K60" s="3" t="s">
        <v>461</v>
      </c>
      <c r="L60" s="3">
        <v>9.4</v>
      </c>
      <c r="M60" s="3">
        <v>237</v>
      </c>
      <c r="N60" s="3" t="str">
        <f t="shared" si="2"/>
        <v>2011</v>
      </c>
      <c r="O60" s="2">
        <v>342</v>
      </c>
    </row>
    <row r="61" spans="1:15" x14ac:dyDescent="0.35">
      <c r="A61" s="3">
        <v>2016</v>
      </c>
      <c r="B61" s="3">
        <v>9</v>
      </c>
      <c r="C61" s="3">
        <v>8</v>
      </c>
      <c r="D61" s="2">
        <v>223</v>
      </c>
      <c r="E61" s="3">
        <v>3</v>
      </c>
      <c r="F61" s="3" t="s">
        <v>41</v>
      </c>
      <c r="G61" s="3" t="str">
        <f t="shared" si="10"/>
        <v>2013</v>
      </c>
      <c r="H61" s="3">
        <f t="shared" si="1"/>
        <v>3</v>
      </c>
      <c r="I61" s="69"/>
      <c r="J61" s="3" t="s">
        <v>669</v>
      </c>
      <c r="K61" s="3" t="s">
        <v>458</v>
      </c>
      <c r="L61" s="3">
        <v>0.9</v>
      </c>
      <c r="M61" s="3">
        <v>238</v>
      </c>
      <c r="N61" s="3" t="str">
        <f t="shared" si="2"/>
        <v>2011</v>
      </c>
      <c r="O61" s="2">
        <v>223</v>
      </c>
    </row>
    <row r="62" spans="1:15" x14ac:dyDescent="0.35">
      <c r="A62" s="3">
        <v>2024</v>
      </c>
      <c r="B62" s="3">
        <v>2</v>
      </c>
      <c r="C62" s="3">
        <v>23</v>
      </c>
      <c r="D62" s="2">
        <v>634</v>
      </c>
      <c r="E62" s="3">
        <v>1</v>
      </c>
      <c r="F62" s="3" t="s">
        <v>225</v>
      </c>
      <c r="G62" s="3" t="str">
        <f t="shared" si="10"/>
        <v>2022</v>
      </c>
      <c r="H62" s="3">
        <f t="shared" si="1"/>
        <v>2</v>
      </c>
      <c r="I62" s="69"/>
      <c r="J62" t="s">
        <v>21</v>
      </c>
      <c r="K62" s="3">
        <v>2</v>
      </c>
      <c r="L62">
        <v>13.9</v>
      </c>
      <c r="M62" s="3">
        <v>238</v>
      </c>
      <c r="N62" s="3" t="str">
        <f t="shared" si="2"/>
        <v>2021</v>
      </c>
      <c r="O62" s="2">
        <v>634</v>
      </c>
    </row>
    <row r="63" spans="1:15" x14ac:dyDescent="0.35">
      <c r="A63" s="3">
        <v>2016</v>
      </c>
      <c r="B63" s="3">
        <v>9</v>
      </c>
      <c r="C63" s="3">
        <v>2</v>
      </c>
      <c r="D63" s="2">
        <v>289</v>
      </c>
      <c r="E63" s="3">
        <v>3</v>
      </c>
      <c r="F63" s="3" t="s">
        <v>41</v>
      </c>
      <c r="G63" s="3" t="str">
        <f t="shared" si="10"/>
        <v>2013</v>
      </c>
      <c r="H63" s="3">
        <f t="shared" si="1"/>
        <v>3</v>
      </c>
      <c r="I63" s="69"/>
      <c r="J63" s="3" t="s">
        <v>755</v>
      </c>
      <c r="K63" s="3" t="s">
        <v>458</v>
      </c>
      <c r="L63" s="3">
        <v>1</v>
      </c>
      <c r="M63" s="3">
        <v>239</v>
      </c>
      <c r="N63" s="3" t="str">
        <f t="shared" si="2"/>
        <v>2011</v>
      </c>
      <c r="O63" s="2">
        <v>289</v>
      </c>
    </row>
    <row r="64" spans="1:15" x14ac:dyDescent="0.35">
      <c r="A64" s="3">
        <v>2022</v>
      </c>
      <c r="B64" s="3">
        <v>11</v>
      </c>
      <c r="C64" s="3">
        <v>14</v>
      </c>
      <c r="D64" s="2">
        <v>121</v>
      </c>
      <c r="E64" s="15">
        <v>4</v>
      </c>
      <c r="F64" s="3" t="s">
        <v>20</v>
      </c>
      <c r="G64" s="3" t="str">
        <f t="shared" si="10"/>
        <v>2020</v>
      </c>
      <c r="H64" s="3">
        <f t="shared" si="1"/>
        <v>2</v>
      </c>
      <c r="I64" s="69"/>
      <c r="J64" s="3">
        <v>8</v>
      </c>
      <c r="K64" s="3">
        <v>8</v>
      </c>
      <c r="L64" s="3">
        <v>9.8000000000000007</v>
      </c>
      <c r="M64" s="3">
        <v>240</v>
      </c>
      <c r="N64" s="3" t="str">
        <f t="shared" si="2"/>
        <v>2018</v>
      </c>
      <c r="O64" s="2">
        <v>121</v>
      </c>
    </row>
    <row r="65" spans="1:16" x14ac:dyDescent="0.35">
      <c r="A65" s="3">
        <v>2016</v>
      </c>
      <c r="B65" s="3">
        <v>11</v>
      </c>
      <c r="C65" s="3">
        <v>7</v>
      </c>
      <c r="D65" s="2">
        <v>210</v>
      </c>
      <c r="E65" s="3">
        <v>4</v>
      </c>
      <c r="F65" s="3" t="s">
        <v>45</v>
      </c>
      <c r="G65" s="3" t="str">
        <f t="shared" si="10"/>
        <v>2009</v>
      </c>
      <c r="H65" s="3">
        <f t="shared" si="1"/>
        <v>7</v>
      </c>
      <c r="I65" s="69"/>
      <c r="J65" s="3" t="s">
        <v>662</v>
      </c>
      <c r="K65" s="3" t="s">
        <v>488</v>
      </c>
      <c r="L65" s="3">
        <v>9.6999999999999993</v>
      </c>
      <c r="M65" s="3">
        <v>240</v>
      </c>
      <c r="N65" s="3" t="str">
        <f t="shared" si="2"/>
        <v>2007</v>
      </c>
      <c r="O65" s="2">
        <v>210</v>
      </c>
    </row>
    <row r="66" spans="1:16" x14ac:dyDescent="0.35">
      <c r="A66" s="3">
        <v>2016</v>
      </c>
      <c r="B66" s="3">
        <v>11</v>
      </c>
      <c r="C66" s="3">
        <v>7</v>
      </c>
      <c r="D66" s="2">
        <v>255</v>
      </c>
      <c r="E66" s="3">
        <v>4</v>
      </c>
      <c r="F66" s="3" t="s">
        <v>45</v>
      </c>
      <c r="G66" s="3" t="str">
        <f t="shared" ref="G66:G69" si="14">IF(K66="A55","2009",IF(K66="A59","2009",IF(K66="A60","2010",IF(K66="A62","2011",IF(K66="CP","2013",IF(K66="MD","2012",IF(K66="TS","2013",IF(K66="DL","2018",IF(K66="SCU","2018",IF(K66="NCU","2018",IF(K66="C1C","2018",IF(K66="C1E","2018",IF(K66="RS1S","2018",IF(K66="C2B","2018",IF(K66="DB3","2018",IF(AND(K66=6,F66="SRS"),"2018",IF(AND(K66=7,F66="SRS"),"2020",IF(AND(K66=8,F66="SRS"),"2020",IF(K66=23,"2019",IF(AND(K66=7,F66="WCA 3B"),"2017",IF(AND(K66=8,F66="WCA 3B"),"2019",IF(K66=1,"2021",IF(K66=2,"2022",IF(K66=3,"2021",IF(K66=4,"2021",IF(K66=5,"2022",IF(AND(K66=6,F66="WCA 3A"),"2022",IF(K66=9,"2023",IF(K66=10,"2023",IF(K66=37,"2020"))))))))))))))))))))))))))))))</f>
        <v>2009</v>
      </c>
      <c r="H66" s="3">
        <f t="shared" ref="H66:H129" si="15">SUM(A66-G66)</f>
        <v>7</v>
      </c>
      <c r="I66" s="69"/>
      <c r="J66" s="3" t="s">
        <v>711</v>
      </c>
      <c r="K66" s="3" t="s">
        <v>512</v>
      </c>
      <c r="L66" s="3">
        <v>11.5</v>
      </c>
      <c r="M66" s="3">
        <v>240</v>
      </c>
      <c r="N66" s="3" t="str">
        <f t="shared" ref="N66:N129" si="16">IF(F66="PHD", "2007", IF(F66="TSL", "2011", IF(F66 = "SRS", "2018", IF(F66="WCA 3B", "2017", IF(F66="WCA 3A", "2021")))))</f>
        <v>2007</v>
      </c>
      <c r="O66" s="2">
        <v>255</v>
      </c>
    </row>
    <row r="67" spans="1:16" x14ac:dyDescent="0.35">
      <c r="A67" s="3">
        <v>2016</v>
      </c>
      <c r="B67" s="3">
        <v>8</v>
      </c>
      <c r="C67" s="3">
        <v>31</v>
      </c>
      <c r="D67" s="2">
        <v>282</v>
      </c>
      <c r="E67" s="3">
        <v>3</v>
      </c>
      <c r="F67" s="3" t="s">
        <v>45</v>
      </c>
      <c r="G67" s="3" t="str">
        <f t="shared" si="14"/>
        <v>2009</v>
      </c>
      <c r="H67" s="3">
        <f t="shared" si="15"/>
        <v>7</v>
      </c>
      <c r="I67" s="69"/>
      <c r="J67" s="3" t="s">
        <v>742</v>
      </c>
      <c r="K67" s="3" t="s">
        <v>488</v>
      </c>
      <c r="L67" s="3">
        <v>8.9</v>
      </c>
      <c r="M67" s="3">
        <v>240</v>
      </c>
      <c r="N67" s="3" t="str">
        <f t="shared" si="16"/>
        <v>2007</v>
      </c>
      <c r="O67" s="2">
        <v>282</v>
      </c>
    </row>
    <row r="68" spans="1:16" x14ac:dyDescent="0.35">
      <c r="A68" s="3">
        <v>2024</v>
      </c>
      <c r="B68" s="3">
        <v>1</v>
      </c>
      <c r="C68" s="3">
        <v>26</v>
      </c>
      <c r="D68" s="2">
        <v>574</v>
      </c>
      <c r="E68" s="3">
        <v>1</v>
      </c>
      <c r="F68" s="3" t="s">
        <v>225</v>
      </c>
      <c r="G68" s="3" t="str">
        <f t="shared" si="14"/>
        <v>2021</v>
      </c>
      <c r="H68" s="3">
        <f t="shared" si="15"/>
        <v>3</v>
      </c>
      <c r="I68" s="69"/>
      <c r="J68" t="s">
        <v>1018</v>
      </c>
      <c r="K68">
        <v>1</v>
      </c>
      <c r="L68">
        <v>11.1</v>
      </c>
      <c r="M68" s="3">
        <v>240</v>
      </c>
      <c r="N68" s="3" t="str">
        <f t="shared" si="16"/>
        <v>2021</v>
      </c>
      <c r="O68" s="2">
        <v>574</v>
      </c>
    </row>
    <row r="69" spans="1:16" x14ac:dyDescent="0.35">
      <c r="A69" s="3">
        <v>2019</v>
      </c>
      <c r="B69" s="3">
        <v>11</v>
      </c>
      <c r="C69" s="3">
        <v>27</v>
      </c>
      <c r="D69" s="2">
        <v>53</v>
      </c>
      <c r="E69" s="3">
        <v>4</v>
      </c>
      <c r="F69" s="3" t="s">
        <v>45</v>
      </c>
      <c r="G69" s="3" t="str">
        <f t="shared" si="14"/>
        <v>2009</v>
      </c>
      <c r="H69" s="3">
        <f t="shared" si="15"/>
        <v>10</v>
      </c>
      <c r="I69" s="69"/>
      <c r="J69" s="3" t="s">
        <v>488</v>
      </c>
      <c r="K69" s="3" t="s">
        <v>488</v>
      </c>
      <c r="L69" s="3">
        <v>8.4</v>
      </c>
      <c r="M69" s="3">
        <v>243</v>
      </c>
      <c r="N69" s="3" t="str">
        <f t="shared" si="16"/>
        <v>2007</v>
      </c>
      <c r="O69" s="2">
        <v>53</v>
      </c>
    </row>
    <row r="70" spans="1:16" x14ac:dyDescent="0.35">
      <c r="A70" s="3">
        <v>2017</v>
      </c>
      <c r="B70" s="3">
        <v>11</v>
      </c>
      <c r="C70" s="3">
        <v>14</v>
      </c>
      <c r="D70" s="2">
        <v>68</v>
      </c>
      <c r="E70" s="15">
        <v>4</v>
      </c>
      <c r="F70" s="3" t="s">
        <v>41</v>
      </c>
      <c r="G70" s="3" t="s">
        <v>28</v>
      </c>
      <c r="H70" s="3" t="e">
        <f t="shared" si="15"/>
        <v>#VALUE!</v>
      </c>
      <c r="I70" s="69"/>
      <c r="J70" s="3" t="s">
        <v>28</v>
      </c>
      <c r="K70" s="3" t="s">
        <v>28</v>
      </c>
      <c r="L70" s="3">
        <v>7.3</v>
      </c>
      <c r="M70" s="3">
        <v>245</v>
      </c>
      <c r="N70" s="3" t="str">
        <f t="shared" si="16"/>
        <v>2011</v>
      </c>
      <c r="O70" s="2">
        <v>68</v>
      </c>
    </row>
    <row r="71" spans="1:16" x14ac:dyDescent="0.35">
      <c r="A71" s="3">
        <v>2016</v>
      </c>
      <c r="B71" s="3">
        <v>8</v>
      </c>
      <c r="C71" s="3">
        <v>31</v>
      </c>
      <c r="D71" s="2">
        <v>249</v>
      </c>
      <c r="E71" s="3">
        <v>3</v>
      </c>
      <c r="F71" s="3" t="s">
        <v>45</v>
      </c>
      <c r="G71" s="3" t="str">
        <f t="shared" ref="G71:G134" si="17">IF(K71="A55","2009",IF(K71="A59","2009",IF(K71="A60","2010",IF(K71="A62","2011",IF(K71="CP","2013",IF(K71="MD","2012",IF(K71="TS","2013",IF(K71="DL","2018",IF(K71="SCU","2018",IF(K71="NCU","2018",IF(K71="C1C","2018",IF(K71="C1E","2018",IF(K71="RS1S","2018",IF(K71="C2B","2018",IF(K71="DB3","2018",IF(AND(K71=6,F71="SRS"),"2018",IF(AND(K71=7,F71="SRS"),"2020",IF(AND(K71=8,F71="SRS"),"2020",IF(K71=23,"2019",IF(AND(K71=7,F71="WCA 3B"),"2017",IF(AND(K71=8,F71="WCA 3B"),"2019",IF(K71=1,"2021",IF(K71=2,"2022",IF(K71=3,"2021",IF(K71=4,"2021",IF(K71=5,"2022",IF(AND(K71=6,F71="WCA 3A"),"2022",IF(K71=9,"2023",IF(K71=10,"2023",IF(K71=37,"2020"))))))))))))))))))))))))))))))</f>
        <v>2009</v>
      </c>
      <c r="H71" s="3">
        <f t="shared" si="15"/>
        <v>7</v>
      </c>
      <c r="I71" s="69"/>
      <c r="J71" s="3" t="s">
        <v>657</v>
      </c>
      <c r="K71" s="3" t="s">
        <v>488</v>
      </c>
      <c r="L71" s="3">
        <v>8.8000000000000007</v>
      </c>
      <c r="M71" s="3">
        <v>249</v>
      </c>
      <c r="N71" s="3" t="str">
        <f t="shared" si="16"/>
        <v>2007</v>
      </c>
      <c r="O71" s="2">
        <v>249</v>
      </c>
      <c r="P71">
        <v>12.39</v>
      </c>
    </row>
    <row r="72" spans="1:16" x14ac:dyDescent="0.35">
      <c r="A72" s="3">
        <v>2016</v>
      </c>
      <c r="B72" s="3">
        <v>9</v>
      </c>
      <c r="C72" s="3">
        <v>2</v>
      </c>
      <c r="D72" s="2">
        <v>294</v>
      </c>
      <c r="E72" s="3">
        <v>3</v>
      </c>
      <c r="F72" s="3" t="s">
        <v>41</v>
      </c>
      <c r="G72" s="3" t="str">
        <f t="shared" si="17"/>
        <v>2013</v>
      </c>
      <c r="H72" s="3">
        <f t="shared" si="15"/>
        <v>3</v>
      </c>
      <c r="I72" s="69"/>
      <c r="J72" s="3" t="s">
        <v>583</v>
      </c>
      <c r="K72" s="3" t="s">
        <v>318</v>
      </c>
      <c r="L72" s="3">
        <v>15.6</v>
      </c>
      <c r="M72" s="3">
        <v>250</v>
      </c>
      <c r="N72" s="3" t="str">
        <f t="shared" si="16"/>
        <v>2011</v>
      </c>
      <c r="O72" s="2">
        <v>294</v>
      </c>
    </row>
    <row r="73" spans="1:16" x14ac:dyDescent="0.35">
      <c r="A73" s="3">
        <v>2024</v>
      </c>
      <c r="B73" s="3">
        <v>1</v>
      </c>
      <c r="C73" s="3">
        <v>19</v>
      </c>
      <c r="D73" s="2">
        <v>576</v>
      </c>
      <c r="E73" s="3">
        <v>1</v>
      </c>
      <c r="F73" s="3" t="s">
        <v>41</v>
      </c>
      <c r="G73" s="3" t="str">
        <f t="shared" si="17"/>
        <v>2013</v>
      </c>
      <c r="H73" s="3">
        <f t="shared" si="15"/>
        <v>11</v>
      </c>
      <c r="I73" s="69"/>
      <c r="J73" t="s">
        <v>509</v>
      </c>
      <c r="K73" s="3" t="s">
        <v>458</v>
      </c>
      <c r="L73">
        <v>35.299999999999997</v>
      </c>
      <c r="M73" s="3">
        <v>250</v>
      </c>
      <c r="N73" s="3" t="str">
        <f t="shared" si="16"/>
        <v>2011</v>
      </c>
      <c r="O73" s="2">
        <v>576</v>
      </c>
    </row>
    <row r="74" spans="1:16" x14ac:dyDescent="0.35">
      <c r="A74" s="3">
        <v>2016</v>
      </c>
      <c r="B74" s="3">
        <v>9</v>
      </c>
      <c r="C74" s="3">
        <v>1</v>
      </c>
      <c r="D74" s="2">
        <v>241</v>
      </c>
      <c r="E74" s="3">
        <v>3</v>
      </c>
      <c r="F74" s="3" t="s">
        <v>45</v>
      </c>
      <c r="G74" s="3" t="str">
        <f t="shared" si="17"/>
        <v>2011</v>
      </c>
      <c r="H74" s="3">
        <f t="shared" si="15"/>
        <v>5</v>
      </c>
      <c r="I74" s="69"/>
      <c r="J74" s="3" t="s">
        <v>647</v>
      </c>
      <c r="K74" s="3" t="s">
        <v>317</v>
      </c>
      <c r="L74" s="3">
        <v>10.7</v>
      </c>
      <c r="M74" s="3">
        <v>251</v>
      </c>
      <c r="N74" s="3" t="str">
        <f t="shared" si="16"/>
        <v>2007</v>
      </c>
      <c r="O74" s="2">
        <v>241</v>
      </c>
    </row>
    <row r="75" spans="1:16" x14ac:dyDescent="0.35">
      <c r="A75" s="3">
        <v>2018</v>
      </c>
      <c r="B75" s="3">
        <v>8</v>
      </c>
      <c r="C75" s="3">
        <v>17</v>
      </c>
      <c r="D75" s="2">
        <v>277</v>
      </c>
      <c r="E75" s="3">
        <v>3</v>
      </c>
      <c r="F75" s="3" t="s">
        <v>45</v>
      </c>
      <c r="G75" s="3" t="str">
        <f t="shared" si="17"/>
        <v>2009</v>
      </c>
      <c r="H75" s="3">
        <f t="shared" si="15"/>
        <v>9</v>
      </c>
      <c r="I75" s="69"/>
      <c r="J75" s="3" t="s">
        <v>740</v>
      </c>
      <c r="K75" s="3" t="s">
        <v>488</v>
      </c>
      <c r="L75" s="3">
        <v>8.1</v>
      </c>
      <c r="M75" s="3">
        <v>251</v>
      </c>
      <c r="N75" s="3" t="str">
        <f t="shared" si="16"/>
        <v>2007</v>
      </c>
      <c r="O75" s="2">
        <v>277</v>
      </c>
    </row>
    <row r="76" spans="1:16" x14ac:dyDescent="0.35">
      <c r="A76" s="3">
        <v>2022</v>
      </c>
      <c r="B76" s="3">
        <v>11</v>
      </c>
      <c r="C76" s="3">
        <v>15</v>
      </c>
      <c r="D76" s="2">
        <v>107</v>
      </c>
      <c r="E76" s="15">
        <v>4</v>
      </c>
      <c r="F76" s="3" t="s">
        <v>20</v>
      </c>
      <c r="G76" s="3" t="str">
        <f t="shared" si="17"/>
        <v>2020</v>
      </c>
      <c r="H76" s="3">
        <f t="shared" si="15"/>
        <v>2</v>
      </c>
      <c r="I76" s="69"/>
      <c r="J76" s="3">
        <v>7</v>
      </c>
      <c r="K76" s="3">
        <v>7</v>
      </c>
      <c r="L76" s="3">
        <v>14.8</v>
      </c>
      <c r="M76" s="3">
        <v>252</v>
      </c>
      <c r="N76" s="3" t="str">
        <f t="shared" si="16"/>
        <v>2018</v>
      </c>
      <c r="O76" s="2">
        <v>107</v>
      </c>
    </row>
    <row r="77" spans="1:16" x14ac:dyDescent="0.35">
      <c r="A77" s="3">
        <v>2016</v>
      </c>
      <c r="B77" s="3">
        <v>8</v>
      </c>
      <c r="C77" s="3">
        <v>31</v>
      </c>
      <c r="D77" s="2">
        <v>281</v>
      </c>
      <c r="E77" s="3">
        <v>3</v>
      </c>
      <c r="F77" s="3" t="s">
        <v>45</v>
      </c>
      <c r="G77" s="3" t="str">
        <f t="shared" si="17"/>
        <v>2009</v>
      </c>
      <c r="H77" s="3">
        <f t="shared" si="15"/>
        <v>7</v>
      </c>
      <c r="I77" s="69"/>
      <c r="J77" s="3" t="s">
        <v>742</v>
      </c>
      <c r="K77" s="3" t="s">
        <v>488</v>
      </c>
      <c r="L77" s="3">
        <v>12.6</v>
      </c>
      <c r="M77" s="3">
        <v>252</v>
      </c>
      <c r="N77" s="3" t="str">
        <f t="shared" si="16"/>
        <v>2007</v>
      </c>
      <c r="O77" s="2">
        <v>281</v>
      </c>
    </row>
    <row r="78" spans="1:16" x14ac:dyDescent="0.35">
      <c r="A78" s="3">
        <v>2016</v>
      </c>
      <c r="B78" s="3">
        <v>8</v>
      </c>
      <c r="C78" s="3">
        <v>31</v>
      </c>
      <c r="D78" s="2">
        <v>280</v>
      </c>
      <c r="E78" s="3">
        <v>3</v>
      </c>
      <c r="F78" s="3" t="s">
        <v>45</v>
      </c>
      <c r="G78" s="3" t="str">
        <f t="shared" si="17"/>
        <v>2009</v>
      </c>
      <c r="H78" s="3">
        <f t="shared" si="15"/>
        <v>7</v>
      </c>
      <c r="I78" s="69"/>
      <c r="J78" s="3" t="s">
        <v>742</v>
      </c>
      <c r="K78" s="3" t="s">
        <v>488</v>
      </c>
      <c r="L78" s="3">
        <v>9.8000000000000007</v>
      </c>
      <c r="M78" s="3">
        <v>253</v>
      </c>
      <c r="N78" s="3" t="str">
        <f t="shared" si="16"/>
        <v>2007</v>
      </c>
      <c r="O78" s="2">
        <v>280</v>
      </c>
    </row>
    <row r="79" spans="1:16" x14ac:dyDescent="0.35">
      <c r="A79" s="3">
        <v>2016</v>
      </c>
      <c r="B79" s="3">
        <v>11</v>
      </c>
      <c r="C79" s="3">
        <v>7</v>
      </c>
      <c r="D79" s="2">
        <v>231</v>
      </c>
      <c r="E79" s="3">
        <v>4</v>
      </c>
      <c r="F79" s="3" t="s">
        <v>45</v>
      </c>
      <c r="G79" s="3" t="str">
        <f t="shared" si="17"/>
        <v>2009</v>
      </c>
      <c r="H79" s="3">
        <f t="shared" si="15"/>
        <v>7</v>
      </c>
      <c r="I79" s="69"/>
      <c r="J79" s="3" t="s">
        <v>671</v>
      </c>
      <c r="K79" s="3" t="s">
        <v>512</v>
      </c>
      <c r="L79" s="3">
        <v>12.7</v>
      </c>
      <c r="M79" s="3">
        <v>254</v>
      </c>
      <c r="N79" s="3" t="str">
        <f t="shared" si="16"/>
        <v>2007</v>
      </c>
      <c r="O79" s="2">
        <v>231</v>
      </c>
    </row>
    <row r="80" spans="1:16" x14ac:dyDescent="0.35">
      <c r="A80" s="3">
        <v>2023</v>
      </c>
      <c r="B80" s="3">
        <v>7</v>
      </c>
      <c r="C80" s="3">
        <v>31</v>
      </c>
      <c r="D80" s="2">
        <v>453</v>
      </c>
      <c r="E80" s="3">
        <v>3</v>
      </c>
      <c r="F80" s="3" t="s">
        <v>225</v>
      </c>
      <c r="G80" s="3" t="str">
        <f t="shared" si="17"/>
        <v>2022</v>
      </c>
      <c r="H80" s="3">
        <f t="shared" si="15"/>
        <v>1</v>
      </c>
      <c r="I80" s="69"/>
      <c r="J80" s="3" t="s">
        <v>67</v>
      </c>
      <c r="K80" s="3">
        <v>2</v>
      </c>
      <c r="L80" s="3">
        <v>13.8</v>
      </c>
      <c r="M80" s="3">
        <v>254</v>
      </c>
      <c r="N80" s="3" t="str">
        <f t="shared" si="16"/>
        <v>2021</v>
      </c>
      <c r="O80" s="2">
        <v>453</v>
      </c>
    </row>
    <row r="81" spans="1:15" x14ac:dyDescent="0.35">
      <c r="A81" s="3">
        <v>2024</v>
      </c>
      <c r="B81" s="3">
        <v>4</v>
      </c>
      <c r="C81" s="3">
        <v>8</v>
      </c>
      <c r="D81" s="2">
        <v>671</v>
      </c>
      <c r="E81" s="3">
        <v>2</v>
      </c>
      <c r="F81" s="3" t="s">
        <v>225</v>
      </c>
      <c r="G81" s="3" t="str">
        <f t="shared" si="17"/>
        <v>2022</v>
      </c>
      <c r="H81" s="3">
        <f t="shared" si="15"/>
        <v>2</v>
      </c>
      <c r="I81" s="69"/>
      <c r="J81" t="s">
        <v>1093</v>
      </c>
      <c r="K81">
        <v>2</v>
      </c>
      <c r="L81">
        <v>12.5</v>
      </c>
      <c r="M81" s="3">
        <v>254</v>
      </c>
      <c r="N81" s="3" t="str">
        <f t="shared" si="16"/>
        <v>2021</v>
      </c>
      <c r="O81" s="2">
        <v>671</v>
      </c>
    </row>
    <row r="82" spans="1:15" x14ac:dyDescent="0.35">
      <c r="A82" s="3">
        <v>2016</v>
      </c>
      <c r="B82" s="3">
        <v>9</v>
      </c>
      <c r="C82" s="3">
        <v>8</v>
      </c>
      <c r="D82" s="2">
        <v>224</v>
      </c>
      <c r="E82" s="3">
        <v>3</v>
      </c>
      <c r="F82" s="3" t="s">
        <v>41</v>
      </c>
      <c r="G82" s="3" t="str">
        <f t="shared" si="17"/>
        <v>2013</v>
      </c>
      <c r="H82" s="3">
        <f t="shared" si="15"/>
        <v>3</v>
      </c>
      <c r="I82" s="69"/>
      <c r="J82" s="3" t="s">
        <v>669</v>
      </c>
      <c r="K82" s="3" t="s">
        <v>458</v>
      </c>
      <c r="L82" s="3">
        <v>12.8</v>
      </c>
      <c r="M82" s="3">
        <v>255</v>
      </c>
      <c r="N82" s="3" t="str">
        <f t="shared" si="16"/>
        <v>2011</v>
      </c>
      <c r="O82" s="2">
        <v>224</v>
      </c>
    </row>
    <row r="83" spans="1:15" x14ac:dyDescent="0.35">
      <c r="A83" s="3">
        <v>2022</v>
      </c>
      <c r="B83" s="3">
        <v>11</v>
      </c>
      <c r="C83" s="3">
        <v>15</v>
      </c>
      <c r="D83" s="2">
        <v>108</v>
      </c>
      <c r="E83" s="15">
        <v>4</v>
      </c>
      <c r="F83" s="3" t="s">
        <v>20</v>
      </c>
      <c r="G83" s="3" t="str">
        <f t="shared" si="17"/>
        <v>2020</v>
      </c>
      <c r="H83" s="3">
        <f t="shared" si="15"/>
        <v>2</v>
      </c>
      <c r="I83" s="69"/>
      <c r="J83" s="3">
        <v>7</v>
      </c>
      <c r="K83" s="3">
        <v>7</v>
      </c>
      <c r="L83" s="3">
        <v>11.2</v>
      </c>
      <c r="M83" s="3">
        <v>257</v>
      </c>
      <c r="N83" s="3" t="str">
        <f t="shared" si="16"/>
        <v>2018</v>
      </c>
      <c r="O83" s="2">
        <v>108</v>
      </c>
    </row>
    <row r="84" spans="1:15" x14ac:dyDescent="0.35">
      <c r="A84" s="3">
        <v>2017</v>
      </c>
      <c r="B84" s="3">
        <v>8</v>
      </c>
      <c r="C84" s="3">
        <v>3</v>
      </c>
      <c r="D84" s="2">
        <v>137</v>
      </c>
      <c r="E84" s="15">
        <v>3</v>
      </c>
      <c r="F84" s="3" t="s">
        <v>41</v>
      </c>
      <c r="G84" s="3" t="str">
        <f t="shared" si="17"/>
        <v>2013</v>
      </c>
      <c r="H84" s="3">
        <f t="shared" si="15"/>
        <v>4</v>
      </c>
      <c r="I84" s="69"/>
      <c r="J84" s="3" t="s">
        <v>583</v>
      </c>
      <c r="K84" s="3" t="s">
        <v>318</v>
      </c>
      <c r="L84" s="3">
        <v>9.9</v>
      </c>
      <c r="M84" s="3">
        <v>257</v>
      </c>
      <c r="N84" s="3" t="str">
        <f t="shared" si="16"/>
        <v>2011</v>
      </c>
      <c r="O84" s="2">
        <v>137</v>
      </c>
    </row>
    <row r="85" spans="1:15" x14ac:dyDescent="0.35">
      <c r="A85" s="3">
        <v>2016</v>
      </c>
      <c r="B85" s="3">
        <v>8</v>
      </c>
      <c r="C85" s="3">
        <v>31</v>
      </c>
      <c r="D85" s="2">
        <v>276</v>
      </c>
      <c r="E85" s="3">
        <v>3</v>
      </c>
      <c r="F85" s="3" t="s">
        <v>45</v>
      </c>
      <c r="G85" s="3" t="str">
        <f t="shared" si="17"/>
        <v>2009</v>
      </c>
      <c r="H85" s="3">
        <f t="shared" si="15"/>
        <v>7</v>
      </c>
      <c r="I85" s="69"/>
      <c r="J85" s="3" t="s">
        <v>644</v>
      </c>
      <c r="K85" s="3" t="s">
        <v>488</v>
      </c>
      <c r="L85" s="3">
        <v>1.3</v>
      </c>
      <c r="M85" s="3">
        <v>257</v>
      </c>
      <c r="N85" s="3" t="str">
        <f t="shared" si="16"/>
        <v>2007</v>
      </c>
      <c r="O85" s="2">
        <v>276</v>
      </c>
    </row>
    <row r="86" spans="1:15" x14ac:dyDescent="0.35">
      <c r="A86" s="3">
        <v>2017</v>
      </c>
      <c r="B86" s="3">
        <v>8</v>
      </c>
      <c r="C86" s="3">
        <v>8</v>
      </c>
      <c r="D86" s="2">
        <v>85</v>
      </c>
      <c r="E86" s="15">
        <v>3</v>
      </c>
      <c r="F86" s="3" t="s">
        <v>45</v>
      </c>
      <c r="G86" s="3" t="str">
        <f t="shared" si="17"/>
        <v>2009</v>
      </c>
      <c r="H86" s="3">
        <f t="shared" si="15"/>
        <v>8</v>
      </c>
      <c r="I86" s="69"/>
      <c r="J86" s="3" t="s">
        <v>512</v>
      </c>
      <c r="K86" s="3" t="s">
        <v>512</v>
      </c>
      <c r="L86" s="3">
        <v>1.1000000000000001</v>
      </c>
      <c r="M86" s="3">
        <v>258</v>
      </c>
      <c r="N86" s="3" t="str">
        <f t="shared" si="16"/>
        <v>2007</v>
      </c>
      <c r="O86" s="2">
        <v>85</v>
      </c>
    </row>
    <row r="87" spans="1:15" x14ac:dyDescent="0.35">
      <c r="A87" s="3">
        <v>2018</v>
      </c>
      <c r="B87" s="3">
        <v>8</v>
      </c>
      <c r="C87" s="3">
        <v>16</v>
      </c>
      <c r="D87" s="2">
        <v>329</v>
      </c>
      <c r="E87" s="3">
        <v>3</v>
      </c>
      <c r="F87" s="3" t="s">
        <v>45</v>
      </c>
      <c r="G87" s="3" t="str">
        <f t="shared" si="17"/>
        <v>2011</v>
      </c>
      <c r="H87" s="3">
        <f t="shared" si="15"/>
        <v>7</v>
      </c>
      <c r="I87" s="69"/>
      <c r="J87" s="3" t="s">
        <v>632</v>
      </c>
      <c r="K87" s="3" t="s">
        <v>317</v>
      </c>
      <c r="L87" s="3">
        <v>11.6</v>
      </c>
      <c r="M87" s="3">
        <v>258</v>
      </c>
      <c r="N87" s="3" t="str">
        <f t="shared" si="16"/>
        <v>2007</v>
      </c>
      <c r="O87" s="2">
        <v>329</v>
      </c>
    </row>
    <row r="88" spans="1:15" x14ac:dyDescent="0.35">
      <c r="A88" s="3">
        <v>2024</v>
      </c>
      <c r="B88" s="3">
        <v>8</v>
      </c>
      <c r="C88" s="3">
        <v>13</v>
      </c>
      <c r="D88" s="2">
        <v>717</v>
      </c>
      <c r="E88" s="3">
        <v>3</v>
      </c>
      <c r="F88" s="3" t="s">
        <v>225</v>
      </c>
      <c r="G88" s="3" t="str">
        <f t="shared" si="17"/>
        <v>2022</v>
      </c>
      <c r="H88" s="3">
        <f t="shared" si="15"/>
        <v>2</v>
      </c>
      <c r="I88" s="69"/>
      <c r="J88" t="s">
        <v>67</v>
      </c>
      <c r="K88">
        <v>2</v>
      </c>
      <c r="L88">
        <v>12</v>
      </c>
      <c r="M88" s="3">
        <v>258</v>
      </c>
      <c r="N88" s="3" t="str">
        <f t="shared" si="16"/>
        <v>2021</v>
      </c>
      <c r="O88" s="2">
        <v>717</v>
      </c>
    </row>
    <row r="89" spans="1:15" x14ac:dyDescent="0.35">
      <c r="A89" s="3">
        <v>2016</v>
      </c>
      <c r="B89" s="3">
        <v>9</v>
      </c>
      <c r="C89" s="3">
        <v>2</v>
      </c>
      <c r="D89" s="2">
        <v>222</v>
      </c>
      <c r="E89" s="3">
        <v>3</v>
      </c>
      <c r="F89" s="3" t="s">
        <v>41</v>
      </c>
      <c r="G89" s="3" t="str">
        <f t="shared" si="17"/>
        <v>2013</v>
      </c>
      <c r="H89" s="3">
        <f t="shared" si="15"/>
        <v>3</v>
      </c>
      <c r="I89" s="69"/>
      <c r="J89" s="3" t="s">
        <v>42</v>
      </c>
      <c r="K89" s="3" t="s">
        <v>318</v>
      </c>
      <c r="L89" s="3">
        <v>13.7</v>
      </c>
      <c r="M89" s="3">
        <v>259</v>
      </c>
      <c r="N89" s="3" t="str">
        <f t="shared" si="16"/>
        <v>2011</v>
      </c>
      <c r="O89" s="2">
        <v>222</v>
      </c>
    </row>
    <row r="90" spans="1:15" x14ac:dyDescent="0.35">
      <c r="A90" s="3">
        <v>2019</v>
      </c>
      <c r="B90" s="3">
        <v>8</v>
      </c>
      <c r="C90" s="3">
        <v>9</v>
      </c>
      <c r="D90" s="2">
        <v>321</v>
      </c>
      <c r="E90" s="3">
        <v>3</v>
      </c>
      <c r="F90" s="3" t="s">
        <v>45</v>
      </c>
      <c r="G90" s="3" t="str">
        <f t="shared" si="17"/>
        <v>2011</v>
      </c>
      <c r="H90" s="3">
        <f t="shared" si="15"/>
        <v>8</v>
      </c>
      <c r="I90" s="69"/>
      <c r="J90" s="3" t="s">
        <v>46</v>
      </c>
      <c r="K90" s="3" t="s">
        <v>317</v>
      </c>
      <c r="L90" s="3">
        <v>9.8000000000000007</v>
      </c>
      <c r="M90" s="3">
        <v>259</v>
      </c>
      <c r="N90" s="3" t="str">
        <f t="shared" si="16"/>
        <v>2007</v>
      </c>
      <c r="O90" s="2">
        <v>321</v>
      </c>
    </row>
    <row r="91" spans="1:15" x14ac:dyDescent="0.35">
      <c r="A91" s="3">
        <v>2021</v>
      </c>
      <c r="B91" s="3">
        <v>10</v>
      </c>
      <c r="C91" s="3" t="s">
        <v>28</v>
      </c>
      <c r="D91" s="2">
        <v>30</v>
      </c>
      <c r="E91" s="3">
        <v>4</v>
      </c>
      <c r="F91" s="3" t="s">
        <v>41</v>
      </c>
      <c r="G91" s="3" t="str">
        <f t="shared" si="17"/>
        <v>2013</v>
      </c>
      <c r="H91" s="3">
        <f t="shared" si="15"/>
        <v>8</v>
      </c>
      <c r="I91" s="69"/>
      <c r="J91" s="3" t="s">
        <v>318</v>
      </c>
      <c r="K91" s="3" t="s">
        <v>318</v>
      </c>
      <c r="L91" s="3">
        <v>12.4</v>
      </c>
      <c r="M91" s="3">
        <v>260</v>
      </c>
      <c r="N91" s="3" t="str">
        <f t="shared" si="16"/>
        <v>2011</v>
      </c>
      <c r="O91" s="2">
        <v>30</v>
      </c>
    </row>
    <row r="92" spans="1:15" x14ac:dyDescent="0.35">
      <c r="A92" s="3">
        <v>2024</v>
      </c>
      <c r="B92" s="3">
        <v>1</v>
      </c>
      <c r="C92" s="3">
        <v>19</v>
      </c>
      <c r="D92" s="2">
        <v>578</v>
      </c>
      <c r="E92" s="3">
        <v>1</v>
      </c>
      <c r="F92" s="3" t="s">
        <v>41</v>
      </c>
      <c r="G92" s="3" t="str">
        <f t="shared" si="17"/>
        <v>2013</v>
      </c>
      <c r="H92" s="3">
        <f t="shared" si="15"/>
        <v>11</v>
      </c>
      <c r="I92" s="69"/>
      <c r="J92" t="s">
        <v>509</v>
      </c>
      <c r="K92" s="3" t="s">
        <v>458</v>
      </c>
      <c r="L92">
        <v>41.3</v>
      </c>
      <c r="M92" s="3">
        <v>260</v>
      </c>
      <c r="N92" s="3" t="str">
        <f t="shared" si="16"/>
        <v>2011</v>
      </c>
      <c r="O92" s="2">
        <v>578</v>
      </c>
    </row>
    <row r="93" spans="1:15" x14ac:dyDescent="0.35">
      <c r="A93" s="3">
        <v>2024</v>
      </c>
      <c r="B93" s="3">
        <v>2</v>
      </c>
      <c r="C93" s="3">
        <v>23</v>
      </c>
      <c r="D93" s="2">
        <v>635</v>
      </c>
      <c r="E93" s="3">
        <v>1</v>
      </c>
      <c r="F93" s="3" t="s">
        <v>225</v>
      </c>
      <c r="G93" s="3" t="str">
        <f t="shared" si="17"/>
        <v>2022</v>
      </c>
      <c r="H93" s="3">
        <f t="shared" si="15"/>
        <v>2</v>
      </c>
      <c r="I93" s="69"/>
      <c r="J93" t="s">
        <v>21</v>
      </c>
      <c r="K93" s="3">
        <v>2</v>
      </c>
      <c r="L93">
        <v>13.2</v>
      </c>
      <c r="M93" s="3">
        <v>260</v>
      </c>
      <c r="N93" s="3" t="str">
        <f t="shared" si="16"/>
        <v>2021</v>
      </c>
      <c r="O93" s="2">
        <v>635</v>
      </c>
    </row>
    <row r="94" spans="1:15" x14ac:dyDescent="0.35">
      <c r="A94" s="3">
        <v>2023</v>
      </c>
      <c r="B94" s="3">
        <v>7</v>
      </c>
      <c r="C94" s="3">
        <v>31</v>
      </c>
      <c r="D94" s="2">
        <v>419</v>
      </c>
      <c r="E94" s="3">
        <v>3</v>
      </c>
      <c r="F94" s="3" t="s">
        <v>225</v>
      </c>
      <c r="G94" s="3" t="str">
        <f t="shared" si="17"/>
        <v>2022</v>
      </c>
      <c r="H94" s="3">
        <f t="shared" si="15"/>
        <v>1</v>
      </c>
      <c r="I94" s="69"/>
      <c r="J94" s="3" t="s">
        <v>58</v>
      </c>
      <c r="K94" s="3">
        <v>2</v>
      </c>
      <c r="L94" s="3">
        <v>18.600000000000001</v>
      </c>
      <c r="M94" s="3">
        <v>260.39999999999998</v>
      </c>
      <c r="N94" s="3" t="str">
        <f t="shared" si="16"/>
        <v>2021</v>
      </c>
      <c r="O94" s="2">
        <v>419</v>
      </c>
    </row>
    <row r="95" spans="1:15" x14ac:dyDescent="0.35">
      <c r="A95" s="3">
        <v>2016</v>
      </c>
      <c r="B95" s="3">
        <v>11</v>
      </c>
      <c r="C95" s="3">
        <v>7</v>
      </c>
      <c r="D95" s="2">
        <v>253</v>
      </c>
      <c r="E95" s="3">
        <v>4</v>
      </c>
      <c r="F95" s="3" t="s">
        <v>45</v>
      </c>
      <c r="G95" s="3" t="str">
        <f t="shared" si="17"/>
        <v>2009</v>
      </c>
      <c r="H95" s="3">
        <f t="shared" si="15"/>
        <v>7</v>
      </c>
      <c r="I95" s="69"/>
      <c r="J95" s="3" t="s">
        <v>711</v>
      </c>
      <c r="K95" s="3" t="s">
        <v>512</v>
      </c>
      <c r="L95" s="3">
        <v>12.9</v>
      </c>
      <c r="M95" s="3">
        <v>261</v>
      </c>
      <c r="N95" s="3" t="str">
        <f t="shared" si="16"/>
        <v>2007</v>
      </c>
      <c r="O95" s="2">
        <v>253</v>
      </c>
    </row>
    <row r="96" spans="1:15" x14ac:dyDescent="0.35">
      <c r="A96" s="3">
        <v>2023</v>
      </c>
      <c r="B96" s="3">
        <v>11</v>
      </c>
      <c r="C96" s="3">
        <v>14</v>
      </c>
      <c r="D96" s="2">
        <v>517</v>
      </c>
      <c r="E96" s="3">
        <v>4</v>
      </c>
      <c r="F96" s="3" t="s">
        <v>225</v>
      </c>
      <c r="G96" s="3" t="str">
        <f t="shared" si="17"/>
        <v>2021</v>
      </c>
      <c r="H96" s="3">
        <f t="shared" si="15"/>
        <v>2</v>
      </c>
      <c r="I96" s="69"/>
      <c r="J96" s="3" t="s">
        <v>227</v>
      </c>
      <c r="K96" s="3">
        <v>4</v>
      </c>
      <c r="L96" s="3">
        <v>15.7</v>
      </c>
      <c r="M96" s="3">
        <v>261</v>
      </c>
      <c r="N96" s="3" t="str">
        <f t="shared" si="16"/>
        <v>2021</v>
      </c>
      <c r="O96" s="2">
        <v>517</v>
      </c>
    </row>
    <row r="97" spans="1:15" x14ac:dyDescent="0.35">
      <c r="A97" s="3">
        <v>2023</v>
      </c>
      <c r="B97" s="3">
        <v>11</v>
      </c>
      <c r="C97" s="3">
        <v>3</v>
      </c>
      <c r="D97" s="2">
        <v>535</v>
      </c>
      <c r="E97" s="3">
        <v>4</v>
      </c>
      <c r="F97" s="3" t="s">
        <v>226</v>
      </c>
      <c r="G97" s="3" t="str">
        <f t="shared" si="17"/>
        <v>2017</v>
      </c>
      <c r="H97" s="3">
        <f t="shared" si="15"/>
        <v>6</v>
      </c>
      <c r="I97" s="69"/>
      <c r="J97" t="s">
        <v>988</v>
      </c>
      <c r="K97" s="3">
        <v>7</v>
      </c>
      <c r="L97" s="3">
        <v>11.5</v>
      </c>
      <c r="M97" s="3">
        <v>261</v>
      </c>
      <c r="N97" s="3" t="str">
        <f t="shared" si="16"/>
        <v>2017</v>
      </c>
      <c r="O97" s="2">
        <v>535</v>
      </c>
    </row>
    <row r="98" spans="1:15" x14ac:dyDescent="0.35">
      <c r="A98" s="3">
        <v>2023</v>
      </c>
      <c r="B98" s="3">
        <v>11</v>
      </c>
      <c r="C98" s="3">
        <v>9</v>
      </c>
      <c r="D98" s="2">
        <v>548</v>
      </c>
      <c r="E98" s="3">
        <v>4</v>
      </c>
      <c r="F98" s="3" t="s">
        <v>20</v>
      </c>
      <c r="G98" s="3" t="str">
        <f t="shared" si="17"/>
        <v>2020</v>
      </c>
      <c r="H98" s="3">
        <f t="shared" si="15"/>
        <v>3</v>
      </c>
      <c r="I98" s="69"/>
      <c r="J98" t="s">
        <v>64</v>
      </c>
      <c r="K98">
        <v>7</v>
      </c>
      <c r="L98">
        <v>12.8</v>
      </c>
      <c r="M98" s="3">
        <v>261</v>
      </c>
      <c r="N98" s="3" t="str">
        <f t="shared" si="16"/>
        <v>2018</v>
      </c>
      <c r="O98" s="2">
        <v>548</v>
      </c>
    </row>
    <row r="99" spans="1:15" x14ac:dyDescent="0.35">
      <c r="A99" s="3">
        <v>2023</v>
      </c>
      <c r="B99" s="3">
        <v>7</v>
      </c>
      <c r="C99" s="3">
        <v>28</v>
      </c>
      <c r="D99" s="2">
        <v>437</v>
      </c>
      <c r="E99" s="3">
        <v>3</v>
      </c>
      <c r="F99" s="3" t="s">
        <v>225</v>
      </c>
      <c r="G99" s="3" t="str">
        <f t="shared" si="17"/>
        <v>2021</v>
      </c>
      <c r="H99" s="3">
        <f t="shared" si="15"/>
        <v>2</v>
      </c>
      <c r="I99" s="69"/>
      <c r="J99" s="3" t="s">
        <v>898</v>
      </c>
      <c r="K99" s="3">
        <v>4</v>
      </c>
      <c r="L99" s="3">
        <v>35.5</v>
      </c>
      <c r="M99" s="3">
        <v>262</v>
      </c>
      <c r="N99" s="3" t="str">
        <f t="shared" si="16"/>
        <v>2021</v>
      </c>
      <c r="O99" s="2">
        <v>437</v>
      </c>
    </row>
    <row r="100" spans="1:15" x14ac:dyDescent="0.35">
      <c r="A100" s="3">
        <v>2016</v>
      </c>
      <c r="B100" s="3">
        <v>8</v>
      </c>
      <c r="C100" s="3">
        <v>31</v>
      </c>
      <c r="D100" s="2">
        <v>248</v>
      </c>
      <c r="E100" s="3">
        <v>3</v>
      </c>
      <c r="F100" s="3" t="s">
        <v>45</v>
      </c>
      <c r="G100" s="3" t="str">
        <f t="shared" si="17"/>
        <v>2009</v>
      </c>
      <c r="H100" s="3">
        <f t="shared" si="15"/>
        <v>7</v>
      </c>
      <c r="I100" s="69"/>
      <c r="J100" s="3" t="s">
        <v>657</v>
      </c>
      <c r="K100" s="3" t="s">
        <v>488</v>
      </c>
      <c r="L100" s="3">
        <v>1.4</v>
      </c>
      <c r="M100" s="3">
        <v>264</v>
      </c>
      <c r="N100" s="3" t="str">
        <f t="shared" si="16"/>
        <v>2007</v>
      </c>
      <c r="O100" s="2">
        <v>248</v>
      </c>
    </row>
    <row r="101" spans="1:15" x14ac:dyDescent="0.35">
      <c r="A101" s="3">
        <v>2016</v>
      </c>
      <c r="B101" s="3">
        <v>8</v>
      </c>
      <c r="C101" s="3">
        <v>31</v>
      </c>
      <c r="D101" s="2">
        <v>274</v>
      </c>
      <c r="E101" s="3">
        <v>3</v>
      </c>
      <c r="F101" s="3" t="s">
        <v>45</v>
      </c>
      <c r="G101" s="3" t="str">
        <f t="shared" si="17"/>
        <v>2009</v>
      </c>
      <c r="H101" s="3">
        <f t="shared" si="15"/>
        <v>7</v>
      </c>
      <c r="I101" s="69"/>
      <c r="J101" s="3" t="s">
        <v>644</v>
      </c>
      <c r="K101" s="3" t="s">
        <v>488</v>
      </c>
      <c r="L101" s="3">
        <v>1.4</v>
      </c>
      <c r="M101" s="3">
        <v>264</v>
      </c>
      <c r="N101" s="3" t="str">
        <f t="shared" si="16"/>
        <v>2007</v>
      </c>
      <c r="O101" s="2">
        <v>274</v>
      </c>
    </row>
    <row r="102" spans="1:15" x14ac:dyDescent="0.35">
      <c r="A102" s="3">
        <v>2017</v>
      </c>
      <c r="B102" s="3">
        <v>8</v>
      </c>
      <c r="C102" s="3">
        <v>3</v>
      </c>
      <c r="D102" s="2">
        <v>138</v>
      </c>
      <c r="E102" s="15">
        <v>3</v>
      </c>
      <c r="F102" s="3" t="s">
        <v>41</v>
      </c>
      <c r="G102" s="3" t="str">
        <f t="shared" si="17"/>
        <v>2013</v>
      </c>
      <c r="H102" s="3">
        <f t="shared" si="15"/>
        <v>4</v>
      </c>
      <c r="I102" s="69"/>
      <c r="J102" s="3" t="s">
        <v>583</v>
      </c>
      <c r="K102" s="3" t="s">
        <v>318</v>
      </c>
      <c r="L102" s="3">
        <v>11.1</v>
      </c>
      <c r="M102" s="3">
        <v>266</v>
      </c>
      <c r="N102" s="3" t="str">
        <f t="shared" si="16"/>
        <v>2011</v>
      </c>
      <c r="O102" s="2">
        <v>138</v>
      </c>
    </row>
    <row r="103" spans="1:15" x14ac:dyDescent="0.35">
      <c r="A103" s="3">
        <v>2023</v>
      </c>
      <c r="B103" s="3">
        <v>7</v>
      </c>
      <c r="C103" s="3">
        <v>31</v>
      </c>
      <c r="D103" s="2">
        <v>454</v>
      </c>
      <c r="E103" s="3">
        <v>3</v>
      </c>
      <c r="F103" s="3" t="s">
        <v>225</v>
      </c>
      <c r="G103" s="3" t="str">
        <f t="shared" si="17"/>
        <v>2022</v>
      </c>
      <c r="H103" s="3">
        <f t="shared" si="15"/>
        <v>1</v>
      </c>
      <c r="I103" s="69"/>
      <c r="J103" s="3" t="s">
        <v>67</v>
      </c>
      <c r="K103" s="3">
        <v>2</v>
      </c>
      <c r="L103" s="3">
        <v>16.100000000000001</v>
      </c>
      <c r="M103" s="3">
        <v>266</v>
      </c>
      <c r="N103" s="3" t="str">
        <f t="shared" si="16"/>
        <v>2021</v>
      </c>
      <c r="O103" s="2">
        <v>454</v>
      </c>
    </row>
    <row r="104" spans="1:15" x14ac:dyDescent="0.35">
      <c r="A104" s="3">
        <v>2023</v>
      </c>
      <c r="B104" s="3">
        <v>11</v>
      </c>
      <c r="C104" s="3">
        <v>17</v>
      </c>
      <c r="D104" s="2">
        <v>514</v>
      </c>
      <c r="E104" s="3">
        <v>4</v>
      </c>
      <c r="F104" s="3" t="s">
        <v>225</v>
      </c>
      <c r="G104" s="3" t="str">
        <f t="shared" si="17"/>
        <v>2022</v>
      </c>
      <c r="H104" s="3">
        <f t="shared" si="15"/>
        <v>1</v>
      </c>
      <c r="I104" s="69"/>
      <c r="J104" s="3" t="s">
        <v>896</v>
      </c>
      <c r="K104" s="3">
        <v>5</v>
      </c>
      <c r="L104" s="3">
        <v>16.899999999999999</v>
      </c>
      <c r="M104" s="3">
        <v>267</v>
      </c>
      <c r="N104" s="3" t="str">
        <f t="shared" si="16"/>
        <v>2021</v>
      </c>
      <c r="O104" s="2">
        <v>514</v>
      </c>
    </row>
    <row r="105" spans="1:15" x14ac:dyDescent="0.35">
      <c r="A105" s="3">
        <v>2024</v>
      </c>
      <c r="B105" s="3">
        <v>1</v>
      </c>
      <c r="C105" s="3">
        <v>16</v>
      </c>
      <c r="D105" s="2">
        <v>592</v>
      </c>
      <c r="E105" s="3">
        <v>1</v>
      </c>
      <c r="F105" s="3" t="s">
        <v>45</v>
      </c>
      <c r="G105" s="3" t="str">
        <f t="shared" si="17"/>
        <v>2011</v>
      </c>
      <c r="H105" s="3">
        <f t="shared" si="15"/>
        <v>13</v>
      </c>
      <c r="I105" s="69"/>
      <c r="J105" t="s">
        <v>990</v>
      </c>
      <c r="K105" s="3" t="s">
        <v>317</v>
      </c>
      <c r="L105">
        <v>16.600000000000001</v>
      </c>
      <c r="M105" s="3">
        <v>267</v>
      </c>
      <c r="N105" s="3" t="str">
        <f t="shared" si="16"/>
        <v>2007</v>
      </c>
      <c r="O105" s="2">
        <v>592</v>
      </c>
    </row>
    <row r="106" spans="1:15" x14ac:dyDescent="0.35">
      <c r="A106" s="3">
        <v>2016</v>
      </c>
      <c r="B106" s="3">
        <v>9</v>
      </c>
      <c r="C106" s="3">
        <v>1</v>
      </c>
      <c r="D106" s="2">
        <v>244</v>
      </c>
      <c r="E106" s="3">
        <v>3</v>
      </c>
      <c r="F106" s="3" t="s">
        <v>45</v>
      </c>
      <c r="G106" s="3" t="str">
        <f t="shared" si="17"/>
        <v>2011</v>
      </c>
      <c r="H106" s="3">
        <f t="shared" si="15"/>
        <v>5</v>
      </c>
      <c r="I106" s="69"/>
      <c r="J106" s="3" t="s">
        <v>647</v>
      </c>
      <c r="K106" s="3" t="s">
        <v>317</v>
      </c>
      <c r="L106" s="3">
        <v>15.2</v>
      </c>
      <c r="M106" s="3">
        <v>268</v>
      </c>
      <c r="N106" s="3" t="str">
        <f t="shared" si="16"/>
        <v>2007</v>
      </c>
      <c r="O106" s="2">
        <v>244</v>
      </c>
    </row>
    <row r="107" spans="1:15" x14ac:dyDescent="0.35">
      <c r="A107" s="3">
        <v>2023</v>
      </c>
      <c r="B107" s="3">
        <v>8</v>
      </c>
      <c r="C107" s="3">
        <v>2</v>
      </c>
      <c r="D107" s="2">
        <v>424</v>
      </c>
      <c r="E107" s="3">
        <v>3</v>
      </c>
      <c r="F107" s="3" t="s">
        <v>226</v>
      </c>
      <c r="G107" s="3" t="str">
        <f t="shared" si="17"/>
        <v>2017</v>
      </c>
      <c r="H107" s="3">
        <f t="shared" si="15"/>
        <v>6</v>
      </c>
      <c r="I107" s="69"/>
      <c r="J107" s="3" t="s">
        <v>64</v>
      </c>
      <c r="K107" s="3">
        <v>7</v>
      </c>
      <c r="L107" s="3">
        <v>17.899999999999999</v>
      </c>
      <c r="M107" s="3">
        <v>269</v>
      </c>
      <c r="N107" s="3" t="str">
        <f t="shared" si="16"/>
        <v>2017</v>
      </c>
      <c r="O107" s="2">
        <v>424</v>
      </c>
    </row>
    <row r="108" spans="1:15" x14ac:dyDescent="0.35">
      <c r="A108" s="3">
        <v>2021</v>
      </c>
      <c r="B108" s="3">
        <v>10</v>
      </c>
      <c r="C108" s="3">
        <v>11</v>
      </c>
      <c r="D108" s="2">
        <v>487</v>
      </c>
      <c r="E108" s="3">
        <v>4</v>
      </c>
      <c r="F108" s="3" t="s">
        <v>226</v>
      </c>
      <c r="G108" s="3" t="str">
        <f t="shared" si="17"/>
        <v>2018</v>
      </c>
      <c r="H108" s="3">
        <f t="shared" si="15"/>
        <v>3</v>
      </c>
      <c r="I108" s="69"/>
      <c r="J108" s="3" t="s">
        <v>51</v>
      </c>
      <c r="K108" s="3" t="s">
        <v>942</v>
      </c>
      <c r="L108" s="16">
        <v>35</v>
      </c>
      <c r="M108" s="3">
        <v>269</v>
      </c>
      <c r="N108" s="3" t="str">
        <f t="shared" si="16"/>
        <v>2017</v>
      </c>
      <c r="O108" s="2">
        <v>487</v>
      </c>
    </row>
    <row r="109" spans="1:15" x14ac:dyDescent="0.35">
      <c r="A109" s="3">
        <v>2016</v>
      </c>
      <c r="B109" s="3">
        <v>11</v>
      </c>
      <c r="C109" s="3">
        <v>8</v>
      </c>
      <c r="D109" s="2">
        <v>188</v>
      </c>
      <c r="E109" s="3">
        <v>4</v>
      </c>
      <c r="F109" s="3" t="s">
        <v>45</v>
      </c>
      <c r="G109" s="3" t="str">
        <f t="shared" si="17"/>
        <v>2011</v>
      </c>
      <c r="H109" s="3">
        <f t="shared" si="15"/>
        <v>5</v>
      </c>
      <c r="I109" s="69"/>
      <c r="J109" s="3" t="s">
        <v>46</v>
      </c>
      <c r="K109" s="3" t="s">
        <v>317</v>
      </c>
      <c r="L109" s="3">
        <v>12.3</v>
      </c>
      <c r="M109" s="3">
        <v>270</v>
      </c>
      <c r="N109" s="3" t="str">
        <f t="shared" si="16"/>
        <v>2007</v>
      </c>
      <c r="O109" s="2">
        <v>188</v>
      </c>
    </row>
    <row r="110" spans="1:15" x14ac:dyDescent="0.35">
      <c r="A110" s="3">
        <v>2022</v>
      </c>
      <c r="B110" s="3">
        <v>11</v>
      </c>
      <c r="C110" s="3">
        <v>1</v>
      </c>
      <c r="D110" s="2">
        <v>408</v>
      </c>
      <c r="E110" s="3">
        <v>4</v>
      </c>
      <c r="F110" s="3" t="s">
        <v>41</v>
      </c>
      <c r="G110" s="3" t="str">
        <f t="shared" si="17"/>
        <v>2013</v>
      </c>
      <c r="H110" s="3">
        <f t="shared" si="15"/>
        <v>9</v>
      </c>
      <c r="I110" s="69"/>
      <c r="J110" s="3" t="s">
        <v>583</v>
      </c>
      <c r="K110" s="3" t="s">
        <v>318</v>
      </c>
      <c r="L110" s="3">
        <v>9.3000000000000007</v>
      </c>
      <c r="M110" s="3">
        <v>270</v>
      </c>
      <c r="N110" s="3" t="str">
        <f t="shared" si="16"/>
        <v>2011</v>
      </c>
      <c r="O110" s="2">
        <v>408</v>
      </c>
    </row>
    <row r="111" spans="1:15" x14ac:dyDescent="0.35">
      <c r="A111" s="3">
        <v>2023</v>
      </c>
      <c r="B111" s="3">
        <v>11</v>
      </c>
      <c r="C111" s="3">
        <v>3</v>
      </c>
      <c r="D111" s="2">
        <v>529</v>
      </c>
      <c r="E111" s="3">
        <v>4</v>
      </c>
      <c r="F111" s="3" t="s">
        <v>226</v>
      </c>
      <c r="G111" s="3" t="str">
        <f t="shared" si="17"/>
        <v>2017</v>
      </c>
      <c r="H111" s="3">
        <f t="shared" si="15"/>
        <v>6</v>
      </c>
      <c r="I111" s="69"/>
      <c r="J111" s="3" t="s">
        <v>228</v>
      </c>
      <c r="K111" s="3">
        <v>7</v>
      </c>
      <c r="L111" s="3">
        <v>15.3</v>
      </c>
      <c r="M111" s="3">
        <v>270</v>
      </c>
      <c r="N111" s="3" t="str">
        <f t="shared" si="16"/>
        <v>2017</v>
      </c>
      <c r="O111" s="2">
        <v>529</v>
      </c>
    </row>
    <row r="112" spans="1:15" x14ac:dyDescent="0.35">
      <c r="A112" s="3">
        <v>2024</v>
      </c>
      <c r="B112" s="3">
        <v>8</v>
      </c>
      <c r="C112" s="3">
        <v>8</v>
      </c>
      <c r="D112" s="2">
        <v>697</v>
      </c>
      <c r="E112" s="3">
        <v>3</v>
      </c>
      <c r="F112" s="3" t="s">
        <v>45</v>
      </c>
      <c r="G112" s="3" t="str">
        <f t="shared" si="17"/>
        <v>2009</v>
      </c>
      <c r="H112" s="3">
        <f t="shared" si="15"/>
        <v>15</v>
      </c>
      <c r="I112" s="69"/>
      <c r="J112" t="s">
        <v>742</v>
      </c>
      <c r="K112" t="s">
        <v>488</v>
      </c>
      <c r="L112">
        <v>14.7</v>
      </c>
      <c r="M112" s="3">
        <v>270</v>
      </c>
      <c r="N112" s="3" t="str">
        <f t="shared" si="16"/>
        <v>2007</v>
      </c>
      <c r="O112" s="2">
        <v>697</v>
      </c>
    </row>
    <row r="113" spans="1:17" x14ac:dyDescent="0.35">
      <c r="A113" s="3">
        <v>2023</v>
      </c>
      <c r="B113" s="3">
        <v>7</v>
      </c>
      <c r="C113" s="3">
        <v>26</v>
      </c>
      <c r="D113" s="2">
        <v>444</v>
      </c>
      <c r="E113" s="3">
        <v>3</v>
      </c>
      <c r="F113" s="3" t="s">
        <v>225</v>
      </c>
      <c r="G113" s="3" t="str">
        <f t="shared" si="17"/>
        <v>2021</v>
      </c>
      <c r="H113" s="3">
        <f t="shared" si="15"/>
        <v>2</v>
      </c>
      <c r="I113" s="69"/>
      <c r="J113" s="3" t="s">
        <v>227</v>
      </c>
      <c r="K113" s="3">
        <v>4</v>
      </c>
      <c r="L113" s="3">
        <v>16.5</v>
      </c>
      <c r="M113" s="3">
        <v>271</v>
      </c>
      <c r="N113" s="3" t="str">
        <f t="shared" si="16"/>
        <v>2021</v>
      </c>
      <c r="O113" s="2">
        <v>444</v>
      </c>
    </row>
    <row r="114" spans="1:17" x14ac:dyDescent="0.35">
      <c r="A114" s="3">
        <v>2018</v>
      </c>
      <c r="B114" s="3">
        <v>8</v>
      </c>
      <c r="C114" s="3">
        <v>15</v>
      </c>
      <c r="D114" s="2">
        <v>308</v>
      </c>
      <c r="E114" s="3">
        <v>3</v>
      </c>
      <c r="F114" s="3" t="s">
        <v>41</v>
      </c>
      <c r="G114" s="3" t="str">
        <f t="shared" si="17"/>
        <v>2013</v>
      </c>
      <c r="H114" s="3">
        <f t="shared" si="15"/>
        <v>5</v>
      </c>
      <c r="I114" s="69"/>
      <c r="J114" s="3" t="s">
        <v>49</v>
      </c>
      <c r="K114" s="3" t="s">
        <v>318</v>
      </c>
      <c r="L114" s="3">
        <v>23.7</v>
      </c>
      <c r="M114" s="3">
        <v>272</v>
      </c>
      <c r="N114" s="3" t="str">
        <f t="shared" si="16"/>
        <v>2011</v>
      </c>
      <c r="O114" s="2">
        <v>308</v>
      </c>
    </row>
    <row r="115" spans="1:17" x14ac:dyDescent="0.35">
      <c r="A115" s="3">
        <v>2023</v>
      </c>
      <c r="B115" s="3">
        <v>7</v>
      </c>
      <c r="C115" s="3">
        <v>19</v>
      </c>
      <c r="D115" s="2">
        <v>361</v>
      </c>
      <c r="E115" s="3">
        <v>3</v>
      </c>
      <c r="F115" s="3" t="s">
        <v>41</v>
      </c>
      <c r="G115" s="3" t="str">
        <f t="shared" si="17"/>
        <v>2013</v>
      </c>
      <c r="H115" s="3">
        <f t="shared" si="15"/>
        <v>10</v>
      </c>
      <c r="I115" s="69"/>
      <c r="J115" s="3" t="s">
        <v>42</v>
      </c>
      <c r="K115" s="3" t="s">
        <v>318</v>
      </c>
      <c r="L115" s="3">
        <v>13.2</v>
      </c>
      <c r="M115" s="3">
        <v>273</v>
      </c>
      <c r="N115" s="3" t="str">
        <f t="shared" si="16"/>
        <v>2011</v>
      </c>
      <c r="O115" s="2">
        <v>361</v>
      </c>
    </row>
    <row r="116" spans="1:17" x14ac:dyDescent="0.35">
      <c r="A116" s="3">
        <v>2023</v>
      </c>
      <c r="B116" s="3">
        <v>7</v>
      </c>
      <c r="C116" s="3">
        <v>21</v>
      </c>
      <c r="D116" s="2">
        <v>413</v>
      </c>
      <c r="E116" s="3">
        <v>3</v>
      </c>
      <c r="F116" s="3" t="s">
        <v>20</v>
      </c>
      <c r="G116" s="3" t="str">
        <f t="shared" si="17"/>
        <v>2020</v>
      </c>
      <c r="H116" s="3">
        <f t="shared" si="15"/>
        <v>3</v>
      </c>
      <c r="I116" s="69"/>
      <c r="J116" s="3" t="s">
        <v>55</v>
      </c>
      <c r="K116" s="3">
        <v>8</v>
      </c>
      <c r="L116" s="3">
        <v>15.1</v>
      </c>
      <c r="M116" s="3">
        <v>273</v>
      </c>
      <c r="N116" s="3" t="str">
        <f t="shared" si="16"/>
        <v>2018</v>
      </c>
      <c r="O116" s="2">
        <v>413</v>
      </c>
    </row>
    <row r="117" spans="1:17" x14ac:dyDescent="0.35">
      <c r="A117" s="3">
        <v>2023</v>
      </c>
      <c r="B117" s="3">
        <v>11</v>
      </c>
      <c r="C117" s="3">
        <v>7</v>
      </c>
      <c r="D117" s="2">
        <v>498</v>
      </c>
      <c r="E117" s="3">
        <v>4</v>
      </c>
      <c r="F117" s="3" t="s">
        <v>41</v>
      </c>
      <c r="G117" s="3" t="str">
        <f t="shared" si="17"/>
        <v>2013</v>
      </c>
      <c r="H117" s="3">
        <f t="shared" si="15"/>
        <v>10</v>
      </c>
      <c r="I117" s="69"/>
      <c r="J117" s="3" t="s">
        <v>49</v>
      </c>
      <c r="K117" s="3" t="s">
        <v>318</v>
      </c>
      <c r="L117" s="3">
        <v>16.3</v>
      </c>
      <c r="M117" s="3">
        <v>275</v>
      </c>
      <c r="N117" s="3" t="str">
        <f t="shared" si="16"/>
        <v>2011</v>
      </c>
      <c r="O117" s="2">
        <v>498</v>
      </c>
      <c r="P117">
        <v>12.56</v>
      </c>
    </row>
    <row r="118" spans="1:17" x14ac:dyDescent="0.35">
      <c r="A118" s="3">
        <v>2024</v>
      </c>
      <c r="B118">
        <v>8</v>
      </c>
      <c r="C118" s="3">
        <v>20</v>
      </c>
      <c r="D118" s="2">
        <v>834</v>
      </c>
      <c r="E118" s="3">
        <v>3</v>
      </c>
      <c r="F118" s="3" t="s">
        <v>226</v>
      </c>
      <c r="G118" s="3" t="str">
        <f t="shared" si="17"/>
        <v>2017</v>
      </c>
      <c r="H118" s="3">
        <f t="shared" si="15"/>
        <v>7</v>
      </c>
      <c r="I118" s="69"/>
      <c r="J118" t="s">
        <v>64</v>
      </c>
      <c r="K118">
        <v>7</v>
      </c>
      <c r="L118">
        <v>17.899999999999999</v>
      </c>
      <c r="M118" s="3">
        <v>276</v>
      </c>
      <c r="N118" s="3" t="str">
        <f t="shared" si="16"/>
        <v>2017</v>
      </c>
      <c r="O118" s="2">
        <v>834</v>
      </c>
    </row>
    <row r="119" spans="1:17" x14ac:dyDescent="0.35">
      <c r="A119" s="3">
        <v>2024</v>
      </c>
      <c r="B119" s="3">
        <v>1</v>
      </c>
      <c r="C119" s="3">
        <v>19</v>
      </c>
      <c r="D119" s="2">
        <v>582</v>
      </c>
      <c r="E119" s="3">
        <v>1</v>
      </c>
      <c r="F119" s="3" t="s">
        <v>41</v>
      </c>
      <c r="G119" s="3" t="str">
        <f t="shared" si="17"/>
        <v>2013</v>
      </c>
      <c r="H119" s="3">
        <f t="shared" si="15"/>
        <v>11</v>
      </c>
      <c r="I119" s="69"/>
      <c r="J119" t="s">
        <v>42</v>
      </c>
      <c r="K119" s="3" t="s">
        <v>318</v>
      </c>
      <c r="L119">
        <v>17</v>
      </c>
      <c r="M119" s="3">
        <v>277</v>
      </c>
      <c r="N119" s="3" t="str">
        <f t="shared" si="16"/>
        <v>2011</v>
      </c>
      <c r="O119" s="2">
        <v>582</v>
      </c>
    </row>
    <row r="120" spans="1:17" x14ac:dyDescent="0.35">
      <c r="A120" s="3">
        <v>2019</v>
      </c>
      <c r="B120" s="3">
        <v>2</v>
      </c>
      <c r="C120" s="3">
        <v>21</v>
      </c>
      <c r="D120" s="2">
        <v>169</v>
      </c>
      <c r="E120" s="3">
        <v>1</v>
      </c>
      <c r="F120" s="3" t="s">
        <v>45</v>
      </c>
      <c r="G120" s="3" t="str">
        <f t="shared" si="17"/>
        <v>2011</v>
      </c>
      <c r="H120" s="3">
        <f t="shared" si="15"/>
        <v>8</v>
      </c>
      <c r="I120" s="69"/>
      <c r="J120" s="3" t="s">
        <v>615</v>
      </c>
      <c r="K120" s="3" t="s">
        <v>317</v>
      </c>
      <c r="L120" s="3">
        <v>17.399999999999999</v>
      </c>
      <c r="M120" s="3">
        <v>278</v>
      </c>
      <c r="N120" s="3" t="str">
        <f t="shared" si="16"/>
        <v>2007</v>
      </c>
      <c r="O120" s="2">
        <v>169</v>
      </c>
    </row>
    <row r="121" spans="1:17" x14ac:dyDescent="0.35">
      <c r="A121" s="3">
        <v>2023</v>
      </c>
      <c r="B121" s="3">
        <v>8</v>
      </c>
      <c r="C121" s="3">
        <v>1</v>
      </c>
      <c r="D121" s="2">
        <v>435</v>
      </c>
      <c r="E121" s="3">
        <v>3</v>
      </c>
      <c r="F121" s="3" t="s">
        <v>225</v>
      </c>
      <c r="G121" s="3" t="str">
        <f t="shared" si="17"/>
        <v>2022</v>
      </c>
      <c r="H121" s="3">
        <f t="shared" si="15"/>
        <v>1</v>
      </c>
      <c r="I121" s="69"/>
      <c r="J121" s="3" t="s">
        <v>896</v>
      </c>
      <c r="K121" s="3">
        <v>5</v>
      </c>
      <c r="L121" s="3">
        <v>22.8</v>
      </c>
      <c r="M121" s="3">
        <v>278</v>
      </c>
      <c r="N121" s="3" t="str">
        <f t="shared" si="16"/>
        <v>2021</v>
      </c>
      <c r="O121" s="2">
        <v>435</v>
      </c>
    </row>
    <row r="122" spans="1:17" x14ac:dyDescent="0.35">
      <c r="A122" s="3">
        <v>2016</v>
      </c>
      <c r="B122" s="3">
        <v>8</v>
      </c>
      <c r="C122" s="3">
        <v>30</v>
      </c>
      <c r="D122" s="2">
        <v>215</v>
      </c>
      <c r="E122" s="3">
        <v>3</v>
      </c>
      <c r="F122" s="3" t="s">
        <v>45</v>
      </c>
      <c r="G122" s="3" t="str">
        <f t="shared" si="17"/>
        <v>2009</v>
      </c>
      <c r="H122" s="3">
        <f t="shared" si="15"/>
        <v>7</v>
      </c>
      <c r="I122" s="69"/>
      <c r="J122" s="3" t="s">
        <v>671</v>
      </c>
      <c r="K122" s="3" t="s">
        <v>512</v>
      </c>
      <c r="L122" s="3">
        <v>17.5</v>
      </c>
      <c r="M122" s="3">
        <v>280</v>
      </c>
      <c r="N122" s="3" t="str">
        <f t="shared" si="16"/>
        <v>2007</v>
      </c>
      <c r="O122" s="2">
        <v>215</v>
      </c>
    </row>
    <row r="123" spans="1:17" x14ac:dyDescent="0.35">
      <c r="A123" s="3">
        <v>2016</v>
      </c>
      <c r="B123" s="3">
        <v>9</v>
      </c>
      <c r="C123" s="3">
        <v>2</v>
      </c>
      <c r="D123" s="2">
        <v>219</v>
      </c>
      <c r="E123" s="3">
        <v>3</v>
      </c>
      <c r="F123" s="3" t="s">
        <v>41</v>
      </c>
      <c r="G123" s="3" t="str">
        <f t="shared" si="17"/>
        <v>2013</v>
      </c>
      <c r="H123" s="3">
        <f t="shared" si="15"/>
        <v>3</v>
      </c>
      <c r="I123" s="69"/>
      <c r="J123" s="3" t="s">
        <v>49</v>
      </c>
      <c r="K123" s="3" t="s">
        <v>318</v>
      </c>
      <c r="L123" s="3">
        <v>1.7</v>
      </c>
      <c r="M123" s="3">
        <v>280</v>
      </c>
      <c r="N123" s="3" t="str">
        <f t="shared" si="16"/>
        <v>2011</v>
      </c>
      <c r="O123" s="2">
        <v>219</v>
      </c>
    </row>
    <row r="124" spans="1:17" x14ac:dyDescent="0.35">
      <c r="A124" s="3">
        <v>2016</v>
      </c>
      <c r="B124" s="3">
        <v>8</v>
      </c>
      <c r="C124" s="3">
        <v>30</v>
      </c>
      <c r="D124" s="2">
        <v>271</v>
      </c>
      <c r="E124" s="3">
        <v>3</v>
      </c>
      <c r="F124" s="3" t="s">
        <v>45</v>
      </c>
      <c r="G124" s="3" t="str">
        <f t="shared" si="17"/>
        <v>2009</v>
      </c>
      <c r="H124" s="3">
        <f t="shared" si="15"/>
        <v>7</v>
      </c>
      <c r="I124" s="69"/>
      <c r="J124" s="3" t="s">
        <v>731</v>
      </c>
      <c r="K124" s="3" t="s">
        <v>512</v>
      </c>
      <c r="L124" s="3">
        <v>17.899999999999999</v>
      </c>
      <c r="M124" s="3">
        <v>280</v>
      </c>
      <c r="N124" s="3" t="str">
        <f t="shared" si="16"/>
        <v>2007</v>
      </c>
      <c r="O124" s="2">
        <v>271</v>
      </c>
    </row>
    <row r="125" spans="1:17" x14ac:dyDescent="0.35">
      <c r="A125" s="3">
        <v>2023</v>
      </c>
      <c r="B125" s="3">
        <v>8</v>
      </c>
      <c r="C125" s="3">
        <v>2</v>
      </c>
      <c r="D125" s="2">
        <v>441</v>
      </c>
      <c r="E125" s="3">
        <v>3</v>
      </c>
      <c r="F125" s="3" t="s">
        <v>226</v>
      </c>
      <c r="G125" s="3" t="str">
        <f t="shared" si="17"/>
        <v>2017</v>
      </c>
      <c r="H125" s="3">
        <f t="shared" si="15"/>
        <v>6</v>
      </c>
      <c r="I125" s="69"/>
      <c r="J125" s="3" t="s">
        <v>228</v>
      </c>
      <c r="K125" s="3">
        <v>7</v>
      </c>
      <c r="L125" s="3">
        <v>19.899999999999999</v>
      </c>
      <c r="M125" s="3">
        <v>280</v>
      </c>
      <c r="N125" s="3" t="str">
        <f t="shared" si="16"/>
        <v>2017</v>
      </c>
      <c r="O125" s="2">
        <v>441</v>
      </c>
    </row>
    <row r="126" spans="1:17" x14ac:dyDescent="0.35">
      <c r="A126" s="3">
        <v>2024</v>
      </c>
      <c r="B126" s="3">
        <v>1</v>
      </c>
      <c r="C126" s="3">
        <v>22</v>
      </c>
      <c r="D126" s="2">
        <v>588</v>
      </c>
      <c r="E126" s="3">
        <v>1</v>
      </c>
      <c r="F126" s="3" t="s">
        <v>20</v>
      </c>
      <c r="G126" s="3" t="str">
        <f t="shared" si="17"/>
        <v>2020</v>
      </c>
      <c r="H126" s="3">
        <f t="shared" si="15"/>
        <v>4</v>
      </c>
      <c r="I126" s="69"/>
      <c r="J126" t="s">
        <v>55</v>
      </c>
      <c r="K126">
        <v>8</v>
      </c>
      <c r="L126">
        <v>52.9</v>
      </c>
      <c r="M126" s="3">
        <v>280</v>
      </c>
      <c r="N126" s="3" t="str">
        <f t="shared" si="16"/>
        <v>2018</v>
      </c>
      <c r="O126" s="2">
        <v>588</v>
      </c>
    </row>
    <row r="127" spans="1:17" x14ac:dyDescent="0.35">
      <c r="A127" s="3">
        <v>2011</v>
      </c>
      <c r="B127" s="3">
        <v>11</v>
      </c>
      <c r="C127" s="3">
        <v>14</v>
      </c>
      <c r="D127" s="2">
        <v>614</v>
      </c>
      <c r="E127" s="3">
        <v>4</v>
      </c>
      <c r="F127" s="3" t="s">
        <v>45</v>
      </c>
      <c r="G127" s="3" t="str">
        <f t="shared" si="17"/>
        <v>2009</v>
      </c>
      <c r="H127" s="3">
        <f t="shared" si="15"/>
        <v>2</v>
      </c>
      <c r="I127" s="69"/>
      <c r="J127" t="s">
        <v>667</v>
      </c>
      <c r="K127" s="3" t="s">
        <v>512</v>
      </c>
      <c r="L127">
        <v>22</v>
      </c>
      <c r="M127" s="3">
        <v>280</v>
      </c>
      <c r="N127" s="3" t="str">
        <f t="shared" si="16"/>
        <v>2007</v>
      </c>
      <c r="O127" s="2">
        <v>614</v>
      </c>
      <c r="Q127" s="2">
        <v>24</v>
      </c>
    </row>
    <row r="128" spans="1:17" x14ac:dyDescent="0.35">
      <c r="A128" s="3">
        <v>2021</v>
      </c>
      <c r="B128" s="3">
        <v>10</v>
      </c>
      <c r="C128" s="3" t="s">
        <v>28</v>
      </c>
      <c r="D128" s="2">
        <v>31</v>
      </c>
      <c r="E128" s="3">
        <v>4</v>
      </c>
      <c r="F128" s="3" t="s">
        <v>41</v>
      </c>
      <c r="G128" s="3" t="str">
        <f t="shared" si="17"/>
        <v>2013</v>
      </c>
      <c r="H128" s="3">
        <f t="shared" si="15"/>
        <v>8</v>
      </c>
      <c r="I128" s="69"/>
      <c r="J128" s="3" t="s">
        <v>318</v>
      </c>
      <c r="K128" s="3" t="s">
        <v>318</v>
      </c>
      <c r="L128" s="3">
        <v>16.5</v>
      </c>
      <c r="M128" s="3">
        <v>281</v>
      </c>
      <c r="N128" s="3" t="str">
        <f t="shared" si="16"/>
        <v>2011</v>
      </c>
      <c r="O128" s="2">
        <v>31</v>
      </c>
    </row>
    <row r="129" spans="1:18" x14ac:dyDescent="0.35">
      <c r="A129" s="3">
        <v>2016</v>
      </c>
      <c r="B129" s="3">
        <v>9</v>
      </c>
      <c r="C129" s="3">
        <v>1</v>
      </c>
      <c r="D129" s="2">
        <v>266</v>
      </c>
      <c r="E129" s="3">
        <v>3</v>
      </c>
      <c r="F129" s="3" t="s">
        <v>45</v>
      </c>
      <c r="G129" s="3" t="str">
        <f t="shared" si="17"/>
        <v>2011</v>
      </c>
      <c r="H129" s="3">
        <f t="shared" si="15"/>
        <v>5</v>
      </c>
      <c r="I129" s="69"/>
      <c r="J129" s="3" t="s">
        <v>718</v>
      </c>
      <c r="K129" s="3" t="s">
        <v>317</v>
      </c>
      <c r="L129" s="3">
        <v>13.7</v>
      </c>
      <c r="M129" s="3">
        <v>281</v>
      </c>
      <c r="N129" s="3" t="str">
        <f t="shared" si="16"/>
        <v>2007</v>
      </c>
      <c r="O129" s="2">
        <v>266</v>
      </c>
    </row>
    <row r="130" spans="1:18" x14ac:dyDescent="0.35">
      <c r="A130" s="3">
        <v>2023</v>
      </c>
      <c r="B130" s="3">
        <v>11</v>
      </c>
      <c r="C130" s="3">
        <v>9</v>
      </c>
      <c r="D130" s="2">
        <v>501</v>
      </c>
      <c r="E130" s="3">
        <v>4</v>
      </c>
      <c r="F130" s="3" t="s">
        <v>20</v>
      </c>
      <c r="G130" s="3" t="str">
        <f t="shared" si="17"/>
        <v>2020</v>
      </c>
      <c r="H130" s="3">
        <f t="shared" ref="H130:H193" si="18">SUM(A130-G130)</f>
        <v>3</v>
      </c>
      <c r="I130" s="69"/>
      <c r="J130" s="3" t="s">
        <v>783</v>
      </c>
      <c r="K130" s="3">
        <v>7</v>
      </c>
      <c r="L130" s="3">
        <v>17</v>
      </c>
      <c r="M130" s="3">
        <v>281</v>
      </c>
      <c r="N130" s="3" t="str">
        <f t="shared" ref="N130:N193" si="19">IF(F130="PHD", "2007", IF(F130="TSL", "2011", IF(F130 = "SRS", "2018", IF(F130="WCA 3B", "2017", IF(F130="WCA 3A", "2021")))))</f>
        <v>2018</v>
      </c>
      <c r="O130" s="2">
        <v>501</v>
      </c>
    </row>
    <row r="131" spans="1:18" x14ac:dyDescent="0.35">
      <c r="A131" s="3">
        <v>2019</v>
      </c>
      <c r="B131" s="3">
        <v>11</v>
      </c>
      <c r="C131" s="3">
        <v>27</v>
      </c>
      <c r="D131" s="2">
        <v>54</v>
      </c>
      <c r="E131" s="3">
        <v>4</v>
      </c>
      <c r="F131" s="3" t="s">
        <v>45</v>
      </c>
      <c r="G131" s="3" t="str">
        <f t="shared" si="17"/>
        <v>2009</v>
      </c>
      <c r="H131" s="3">
        <f t="shared" si="18"/>
        <v>10</v>
      </c>
      <c r="I131" s="69"/>
      <c r="J131" s="3" t="s">
        <v>488</v>
      </c>
      <c r="K131" s="3" t="s">
        <v>488</v>
      </c>
      <c r="L131" s="3">
        <v>16.100000000000001</v>
      </c>
      <c r="M131" s="3">
        <v>282</v>
      </c>
      <c r="N131" s="3" t="str">
        <f t="shared" si="19"/>
        <v>2007</v>
      </c>
      <c r="O131" s="2">
        <v>54</v>
      </c>
      <c r="R131">
        <v>13.81</v>
      </c>
    </row>
    <row r="132" spans="1:18" x14ac:dyDescent="0.35">
      <c r="A132" s="3">
        <v>2023</v>
      </c>
      <c r="B132" s="3">
        <v>7</v>
      </c>
      <c r="C132" s="3">
        <v>17</v>
      </c>
      <c r="D132" s="2">
        <v>349</v>
      </c>
      <c r="E132" s="3">
        <v>3</v>
      </c>
      <c r="F132" s="3" t="s">
        <v>45</v>
      </c>
      <c r="G132" s="3" t="str">
        <f t="shared" si="17"/>
        <v>2011</v>
      </c>
      <c r="H132" s="3">
        <f t="shared" si="18"/>
        <v>12</v>
      </c>
      <c r="I132" s="69"/>
      <c r="J132" s="3" t="s">
        <v>236</v>
      </c>
      <c r="K132" s="3" t="s">
        <v>317</v>
      </c>
      <c r="L132" s="3">
        <v>17.7</v>
      </c>
      <c r="M132" s="3">
        <v>282</v>
      </c>
      <c r="N132" s="3" t="str">
        <f t="shared" si="19"/>
        <v>2007</v>
      </c>
      <c r="O132" s="2">
        <v>349</v>
      </c>
    </row>
    <row r="133" spans="1:18" x14ac:dyDescent="0.35">
      <c r="A133" s="3">
        <v>2022</v>
      </c>
      <c r="B133" s="3">
        <v>11</v>
      </c>
      <c r="C133" s="3">
        <v>1</v>
      </c>
      <c r="D133" s="2">
        <v>409</v>
      </c>
      <c r="E133" s="3">
        <v>4</v>
      </c>
      <c r="F133" s="3" t="s">
        <v>41</v>
      </c>
      <c r="G133" s="3" t="str">
        <f t="shared" si="17"/>
        <v>2013</v>
      </c>
      <c r="H133" s="3">
        <f t="shared" si="18"/>
        <v>9</v>
      </c>
      <c r="I133" s="69"/>
      <c r="J133" s="3" t="s">
        <v>583</v>
      </c>
      <c r="K133" s="3" t="s">
        <v>318</v>
      </c>
      <c r="L133" s="3">
        <v>12.8</v>
      </c>
      <c r="M133" s="3">
        <v>282</v>
      </c>
      <c r="N133" s="3" t="str">
        <f t="shared" si="19"/>
        <v>2011</v>
      </c>
      <c r="O133" s="2">
        <v>409</v>
      </c>
    </row>
    <row r="134" spans="1:18" x14ac:dyDescent="0.35">
      <c r="A134" s="3">
        <v>2019</v>
      </c>
      <c r="B134" s="3">
        <v>8</v>
      </c>
      <c r="C134" s="3">
        <v>9</v>
      </c>
      <c r="D134" s="2">
        <v>319</v>
      </c>
      <c r="E134" s="3">
        <v>3</v>
      </c>
      <c r="F134" s="3" t="s">
        <v>45</v>
      </c>
      <c r="G134" s="3" t="str">
        <f t="shared" si="17"/>
        <v>2011</v>
      </c>
      <c r="H134" s="3">
        <f t="shared" si="18"/>
        <v>8</v>
      </c>
      <c r="I134" s="69"/>
      <c r="J134" s="3" t="s">
        <v>632</v>
      </c>
      <c r="K134" s="3" t="s">
        <v>317</v>
      </c>
      <c r="L134" s="3">
        <v>11.1</v>
      </c>
      <c r="M134" s="3">
        <v>283</v>
      </c>
      <c r="N134" s="3" t="str">
        <f t="shared" si="19"/>
        <v>2007</v>
      </c>
      <c r="O134" s="2">
        <v>319</v>
      </c>
    </row>
    <row r="135" spans="1:18" x14ac:dyDescent="0.35">
      <c r="A135" s="3">
        <v>2023</v>
      </c>
      <c r="B135" s="3">
        <v>7</v>
      </c>
      <c r="C135" s="3">
        <v>19</v>
      </c>
      <c r="D135" s="2">
        <v>360</v>
      </c>
      <c r="E135" s="3">
        <v>3</v>
      </c>
      <c r="F135" s="3" t="s">
        <v>41</v>
      </c>
      <c r="G135" s="3" t="str">
        <f t="shared" ref="G135:G198" si="20">IF(K135="A55","2009",IF(K135="A59","2009",IF(K135="A60","2010",IF(K135="A62","2011",IF(K135="CP","2013",IF(K135="MD","2012",IF(K135="TS","2013",IF(K135="DL","2018",IF(K135="SCU","2018",IF(K135="NCU","2018",IF(K135="C1C","2018",IF(K135="C1E","2018",IF(K135="RS1S","2018",IF(K135="C2B","2018",IF(K135="DB3","2018",IF(AND(K135=6,F135="SRS"),"2018",IF(AND(K135=7,F135="SRS"),"2020",IF(AND(K135=8,F135="SRS"),"2020",IF(K135=23,"2019",IF(AND(K135=7,F135="WCA 3B"),"2017",IF(AND(K135=8,F135="WCA 3B"),"2019",IF(K135=1,"2021",IF(K135=2,"2022",IF(K135=3,"2021",IF(K135=4,"2021",IF(K135=5,"2022",IF(AND(K135=6,F135="WCA 3A"),"2022",IF(K135=9,"2023",IF(K135=10,"2023",IF(K135=37,"2020"))))))))))))))))))))))))))))))</f>
        <v>2013</v>
      </c>
      <c r="H135" s="3">
        <f t="shared" si="18"/>
        <v>10</v>
      </c>
      <c r="I135" s="69"/>
      <c r="J135" s="3" t="s">
        <v>42</v>
      </c>
      <c r="K135" s="3" t="s">
        <v>318</v>
      </c>
      <c r="L135" s="3">
        <v>14.7</v>
      </c>
      <c r="M135" s="3">
        <v>283</v>
      </c>
      <c r="N135" s="3" t="str">
        <f t="shared" si="19"/>
        <v>2011</v>
      </c>
      <c r="O135" s="2">
        <v>360</v>
      </c>
    </row>
    <row r="136" spans="1:18" x14ac:dyDescent="0.35">
      <c r="A136" s="3">
        <v>2016</v>
      </c>
      <c r="B136" s="3">
        <v>8</v>
      </c>
      <c r="C136" s="3">
        <v>30</v>
      </c>
      <c r="D136" s="2">
        <v>214</v>
      </c>
      <c r="E136" s="3">
        <v>3</v>
      </c>
      <c r="F136" s="3" t="s">
        <v>45</v>
      </c>
      <c r="G136" s="3" t="str">
        <f t="shared" si="20"/>
        <v>2009</v>
      </c>
      <c r="H136" s="3">
        <f t="shared" si="18"/>
        <v>7</v>
      </c>
      <c r="I136" s="69"/>
      <c r="J136" s="3" t="s">
        <v>671</v>
      </c>
      <c r="K136" s="3" t="s">
        <v>512</v>
      </c>
      <c r="L136" s="3">
        <v>19.2</v>
      </c>
      <c r="M136" s="3">
        <v>284</v>
      </c>
      <c r="N136" s="3" t="str">
        <f t="shared" si="19"/>
        <v>2007</v>
      </c>
      <c r="O136" s="2">
        <v>214</v>
      </c>
    </row>
    <row r="137" spans="1:18" x14ac:dyDescent="0.35">
      <c r="A137" s="3">
        <v>2016</v>
      </c>
      <c r="B137" s="3">
        <v>8</v>
      </c>
      <c r="C137" s="3">
        <v>30</v>
      </c>
      <c r="D137" s="2">
        <v>272</v>
      </c>
      <c r="E137" s="3">
        <v>3</v>
      </c>
      <c r="F137" s="3" t="s">
        <v>45</v>
      </c>
      <c r="G137" s="3" t="str">
        <f t="shared" si="20"/>
        <v>2009</v>
      </c>
      <c r="H137" s="3">
        <f t="shared" si="18"/>
        <v>7</v>
      </c>
      <c r="I137" s="69"/>
      <c r="J137" s="3" t="s">
        <v>731</v>
      </c>
      <c r="K137" s="3" t="s">
        <v>512</v>
      </c>
      <c r="L137" s="3">
        <v>19.3</v>
      </c>
      <c r="M137" s="3">
        <v>284</v>
      </c>
      <c r="N137" s="3" t="str">
        <f t="shared" si="19"/>
        <v>2007</v>
      </c>
      <c r="O137" s="2">
        <v>272</v>
      </c>
    </row>
    <row r="138" spans="1:18" x14ac:dyDescent="0.35">
      <c r="A138" s="3">
        <v>2019</v>
      </c>
      <c r="B138" s="3">
        <v>2</v>
      </c>
      <c r="C138" s="3">
        <v>21</v>
      </c>
      <c r="D138" s="2">
        <v>159</v>
      </c>
      <c r="E138" s="3">
        <v>1</v>
      </c>
      <c r="F138" s="3" t="s">
        <v>45</v>
      </c>
      <c r="G138" s="3" t="str">
        <f t="shared" si="20"/>
        <v>2011</v>
      </c>
      <c r="H138" s="3">
        <f t="shared" si="18"/>
        <v>8</v>
      </c>
      <c r="I138" s="69"/>
      <c r="J138" s="3" t="s">
        <v>602</v>
      </c>
      <c r="K138" s="3" t="s">
        <v>317</v>
      </c>
      <c r="L138" s="3">
        <v>16.7</v>
      </c>
      <c r="M138" s="3">
        <v>285</v>
      </c>
      <c r="N138" s="3" t="str">
        <f t="shared" si="19"/>
        <v>2007</v>
      </c>
      <c r="O138" s="2">
        <v>159</v>
      </c>
    </row>
    <row r="139" spans="1:18" x14ac:dyDescent="0.35">
      <c r="A139" s="3">
        <v>2016</v>
      </c>
      <c r="B139" s="3">
        <v>9</v>
      </c>
      <c r="C139" s="3">
        <v>1</v>
      </c>
      <c r="D139" s="2">
        <v>264</v>
      </c>
      <c r="E139" s="3">
        <v>3</v>
      </c>
      <c r="F139" s="3" t="s">
        <v>45</v>
      </c>
      <c r="G139" s="3" t="str">
        <f t="shared" si="20"/>
        <v>2011</v>
      </c>
      <c r="H139" s="3">
        <f t="shared" si="18"/>
        <v>5</v>
      </c>
      <c r="I139" s="69"/>
      <c r="J139" s="3" t="s">
        <v>718</v>
      </c>
      <c r="K139" s="3" t="s">
        <v>317</v>
      </c>
      <c r="L139" s="3">
        <v>16.2</v>
      </c>
      <c r="M139" s="3">
        <v>285</v>
      </c>
      <c r="N139" s="3" t="str">
        <f t="shared" si="19"/>
        <v>2007</v>
      </c>
      <c r="O139" s="2">
        <v>264</v>
      </c>
      <c r="Q139" s="2">
        <v>184</v>
      </c>
    </row>
    <row r="140" spans="1:18" x14ac:dyDescent="0.35">
      <c r="A140" s="3">
        <v>2019</v>
      </c>
      <c r="B140" s="3">
        <v>8</v>
      </c>
      <c r="C140" s="3">
        <v>9</v>
      </c>
      <c r="D140" s="2">
        <v>318</v>
      </c>
      <c r="E140" s="3">
        <v>3</v>
      </c>
      <c r="F140" s="3" t="s">
        <v>45</v>
      </c>
      <c r="G140" s="3" t="str">
        <f t="shared" si="20"/>
        <v>2011</v>
      </c>
      <c r="H140" s="3">
        <f t="shared" si="18"/>
        <v>8</v>
      </c>
      <c r="I140" s="69"/>
      <c r="J140" s="3" t="s">
        <v>632</v>
      </c>
      <c r="K140" s="3" t="s">
        <v>317</v>
      </c>
      <c r="L140" s="3">
        <v>13.3</v>
      </c>
      <c r="M140" s="3">
        <v>285</v>
      </c>
      <c r="N140" s="3" t="str">
        <f t="shared" si="19"/>
        <v>2007</v>
      </c>
      <c r="O140" s="2">
        <v>318</v>
      </c>
    </row>
    <row r="141" spans="1:18" x14ac:dyDescent="0.35">
      <c r="A141" s="3">
        <v>2011</v>
      </c>
      <c r="B141" s="3">
        <v>11</v>
      </c>
      <c r="C141" s="3">
        <v>14</v>
      </c>
      <c r="D141" s="2">
        <v>619</v>
      </c>
      <c r="E141" s="3">
        <v>4</v>
      </c>
      <c r="F141" s="3" t="s">
        <v>45</v>
      </c>
      <c r="G141" s="3" t="str">
        <f t="shared" si="20"/>
        <v>2009</v>
      </c>
      <c r="H141" s="3">
        <f t="shared" si="18"/>
        <v>2</v>
      </c>
      <c r="I141" s="69"/>
      <c r="J141" t="s">
        <v>667</v>
      </c>
      <c r="K141" s="3" t="s">
        <v>512</v>
      </c>
      <c r="L141">
        <v>21.4</v>
      </c>
      <c r="M141" s="3">
        <v>285</v>
      </c>
      <c r="N141" s="3" t="str">
        <f t="shared" si="19"/>
        <v>2007</v>
      </c>
      <c r="O141" s="2">
        <v>619</v>
      </c>
    </row>
    <row r="142" spans="1:18" x14ac:dyDescent="0.35">
      <c r="A142" s="3">
        <v>2024</v>
      </c>
      <c r="B142" s="3">
        <v>4</v>
      </c>
      <c r="C142" s="3">
        <v>5</v>
      </c>
      <c r="D142" s="2">
        <v>653</v>
      </c>
      <c r="E142" s="3">
        <v>2</v>
      </c>
      <c r="F142" s="3" t="s">
        <v>225</v>
      </c>
      <c r="G142" s="3" t="str">
        <f t="shared" si="20"/>
        <v>2021</v>
      </c>
      <c r="H142" s="3">
        <f t="shared" si="18"/>
        <v>3</v>
      </c>
      <c r="I142" s="69"/>
      <c r="J142" t="s">
        <v>1018</v>
      </c>
      <c r="K142" s="3">
        <v>1</v>
      </c>
      <c r="L142">
        <v>20.3</v>
      </c>
      <c r="M142" s="3">
        <v>286</v>
      </c>
      <c r="N142" s="3" t="str">
        <f t="shared" si="19"/>
        <v>2021</v>
      </c>
      <c r="O142" s="2">
        <v>653</v>
      </c>
    </row>
    <row r="143" spans="1:18" x14ac:dyDescent="0.35">
      <c r="A143" s="3">
        <v>2018</v>
      </c>
      <c r="B143" s="3">
        <v>8</v>
      </c>
      <c r="C143" s="3">
        <v>15</v>
      </c>
      <c r="D143" s="2">
        <v>333</v>
      </c>
      <c r="E143" s="3">
        <v>3</v>
      </c>
      <c r="F143" s="3" t="s">
        <v>41</v>
      </c>
      <c r="G143" s="3" t="str">
        <f t="shared" si="20"/>
        <v>2013</v>
      </c>
      <c r="H143" s="3">
        <f t="shared" si="18"/>
        <v>5</v>
      </c>
      <c r="I143" s="69"/>
      <c r="J143" s="3" t="s">
        <v>42</v>
      </c>
      <c r="K143" s="3" t="s">
        <v>318</v>
      </c>
      <c r="L143" s="3">
        <v>17.399999999999999</v>
      </c>
      <c r="M143" s="3">
        <v>287</v>
      </c>
      <c r="N143" s="3" t="str">
        <f t="shared" si="19"/>
        <v>2011</v>
      </c>
      <c r="O143" s="2">
        <v>333</v>
      </c>
    </row>
    <row r="144" spans="1:18" x14ac:dyDescent="0.35">
      <c r="A144" s="3">
        <v>2024</v>
      </c>
      <c r="B144">
        <v>8</v>
      </c>
      <c r="C144" s="3">
        <v>19</v>
      </c>
      <c r="D144" s="2">
        <v>811</v>
      </c>
      <c r="E144" s="3">
        <v>3</v>
      </c>
      <c r="F144" s="3" t="s">
        <v>225</v>
      </c>
      <c r="G144" s="3" t="str">
        <f t="shared" si="20"/>
        <v>2021</v>
      </c>
      <c r="H144" s="3">
        <f t="shared" si="18"/>
        <v>3</v>
      </c>
      <c r="I144" s="69"/>
      <c r="J144">
        <v>3</v>
      </c>
      <c r="K144">
        <v>3</v>
      </c>
      <c r="L144">
        <v>20.7</v>
      </c>
      <c r="M144" s="3">
        <v>287</v>
      </c>
      <c r="N144" s="3" t="str">
        <f t="shared" si="19"/>
        <v>2021</v>
      </c>
      <c r="O144" s="2">
        <v>811</v>
      </c>
    </row>
    <row r="145" spans="1:15" x14ac:dyDescent="0.35">
      <c r="A145" s="3">
        <v>2017</v>
      </c>
      <c r="B145" s="3">
        <v>8</v>
      </c>
      <c r="C145" s="3">
        <v>8</v>
      </c>
      <c r="D145" s="2">
        <v>126</v>
      </c>
      <c r="E145" s="15">
        <v>3</v>
      </c>
      <c r="F145" s="3" t="s">
        <v>45</v>
      </c>
      <c r="G145" s="3" t="str">
        <f t="shared" si="20"/>
        <v>2009</v>
      </c>
      <c r="H145" s="3">
        <f t="shared" si="18"/>
        <v>8</v>
      </c>
      <c r="I145" s="69"/>
      <c r="J145" s="3" t="s">
        <v>512</v>
      </c>
      <c r="K145" s="3" t="s">
        <v>512</v>
      </c>
      <c r="L145" s="3">
        <v>16.399999999999999</v>
      </c>
      <c r="M145" s="3">
        <v>288</v>
      </c>
      <c r="N145" s="3" t="str">
        <f t="shared" si="19"/>
        <v>2007</v>
      </c>
      <c r="O145" s="2">
        <v>126</v>
      </c>
    </row>
    <row r="146" spans="1:15" x14ac:dyDescent="0.35">
      <c r="A146" s="3">
        <v>2019</v>
      </c>
      <c r="B146" s="3">
        <v>2</v>
      </c>
      <c r="C146" s="3">
        <v>20</v>
      </c>
      <c r="D146" s="2">
        <v>162</v>
      </c>
      <c r="E146" s="3">
        <v>1</v>
      </c>
      <c r="F146" s="3" t="s">
        <v>45</v>
      </c>
      <c r="G146" s="3" t="str">
        <f t="shared" si="20"/>
        <v>2011</v>
      </c>
      <c r="H146" s="3">
        <f t="shared" si="18"/>
        <v>8</v>
      </c>
      <c r="I146" s="69"/>
      <c r="J146" s="3" t="s">
        <v>610</v>
      </c>
      <c r="K146" s="3" t="s">
        <v>317</v>
      </c>
      <c r="L146" s="3">
        <v>18.5</v>
      </c>
      <c r="M146" s="3">
        <v>289</v>
      </c>
      <c r="N146" s="3" t="str">
        <f t="shared" si="19"/>
        <v>2007</v>
      </c>
      <c r="O146" s="2">
        <v>162</v>
      </c>
    </row>
    <row r="147" spans="1:15" x14ac:dyDescent="0.35">
      <c r="A147" s="3">
        <v>2022</v>
      </c>
      <c r="B147" s="3">
        <v>11</v>
      </c>
      <c r="C147" s="3">
        <v>15</v>
      </c>
      <c r="D147" s="2">
        <v>100</v>
      </c>
      <c r="E147" s="15">
        <v>4</v>
      </c>
      <c r="F147" s="3" t="s">
        <v>20</v>
      </c>
      <c r="G147" s="3" t="str">
        <f t="shared" si="20"/>
        <v>2018</v>
      </c>
      <c r="H147" s="3">
        <f t="shared" si="18"/>
        <v>4</v>
      </c>
      <c r="I147" s="69"/>
      <c r="J147" s="3">
        <v>6</v>
      </c>
      <c r="K147" s="3">
        <v>6</v>
      </c>
      <c r="L147" s="3">
        <v>20.5</v>
      </c>
      <c r="M147" s="3">
        <v>290</v>
      </c>
      <c r="N147" s="3" t="str">
        <f t="shared" si="19"/>
        <v>2018</v>
      </c>
      <c r="O147" s="2">
        <v>100</v>
      </c>
    </row>
    <row r="148" spans="1:15" x14ac:dyDescent="0.35">
      <c r="A148" s="3">
        <v>2016</v>
      </c>
      <c r="B148" s="3">
        <v>11</v>
      </c>
      <c r="C148" s="3">
        <v>8</v>
      </c>
      <c r="D148" s="2">
        <v>199</v>
      </c>
      <c r="E148" s="3">
        <v>4</v>
      </c>
      <c r="F148" s="3" t="s">
        <v>41</v>
      </c>
      <c r="G148" s="3" t="str">
        <f t="shared" si="20"/>
        <v>2012</v>
      </c>
      <c r="H148" s="3">
        <f t="shared" si="18"/>
        <v>4</v>
      </c>
      <c r="I148" s="69"/>
      <c r="J148" s="3" t="s">
        <v>551</v>
      </c>
      <c r="K148" s="3" t="s">
        <v>461</v>
      </c>
      <c r="L148" s="3">
        <v>22.1</v>
      </c>
      <c r="M148" s="3">
        <v>290</v>
      </c>
      <c r="N148" s="3" t="str">
        <f t="shared" si="19"/>
        <v>2011</v>
      </c>
      <c r="O148" s="2">
        <v>199</v>
      </c>
    </row>
    <row r="149" spans="1:15" x14ac:dyDescent="0.35">
      <c r="A149" s="3">
        <v>2016</v>
      </c>
      <c r="B149" s="3">
        <v>9</v>
      </c>
      <c r="C149" s="3">
        <v>1</v>
      </c>
      <c r="D149" s="2">
        <v>261</v>
      </c>
      <c r="E149" s="3">
        <v>3</v>
      </c>
      <c r="F149" s="3" t="s">
        <v>45</v>
      </c>
      <c r="G149" s="3" t="str">
        <f t="shared" si="20"/>
        <v>2011</v>
      </c>
      <c r="H149" s="3">
        <f t="shared" si="18"/>
        <v>5</v>
      </c>
      <c r="I149" s="69"/>
      <c r="J149" s="3" t="s">
        <v>718</v>
      </c>
      <c r="K149" s="3" t="s">
        <v>317</v>
      </c>
      <c r="L149" s="3">
        <v>1.7</v>
      </c>
      <c r="M149" s="3">
        <v>290</v>
      </c>
      <c r="N149" s="3" t="str">
        <f t="shared" si="19"/>
        <v>2007</v>
      </c>
      <c r="O149" s="2">
        <v>261</v>
      </c>
    </row>
    <row r="150" spans="1:15" x14ac:dyDescent="0.35">
      <c r="A150" s="3">
        <v>2023</v>
      </c>
      <c r="B150" s="3">
        <v>8</v>
      </c>
      <c r="C150" s="3">
        <v>2</v>
      </c>
      <c r="D150" s="2">
        <v>440</v>
      </c>
      <c r="E150" s="3">
        <v>3</v>
      </c>
      <c r="F150" s="3" t="s">
        <v>226</v>
      </c>
      <c r="G150" s="3" t="str">
        <f t="shared" si="20"/>
        <v>2017</v>
      </c>
      <c r="H150" s="3">
        <f t="shared" si="18"/>
        <v>6</v>
      </c>
      <c r="I150" s="69"/>
      <c r="J150" s="3" t="s">
        <v>228</v>
      </c>
      <c r="K150" s="3">
        <v>7</v>
      </c>
      <c r="L150" s="3">
        <v>25.1</v>
      </c>
      <c r="M150" s="3">
        <v>290</v>
      </c>
      <c r="N150" s="3" t="str">
        <f t="shared" si="19"/>
        <v>2017</v>
      </c>
      <c r="O150" s="2">
        <v>440</v>
      </c>
    </row>
    <row r="151" spans="1:15" x14ac:dyDescent="0.35">
      <c r="A151" s="3">
        <v>2023</v>
      </c>
      <c r="B151" s="3">
        <v>11</v>
      </c>
      <c r="C151" s="3">
        <v>9</v>
      </c>
      <c r="D151" s="2">
        <v>502</v>
      </c>
      <c r="E151" s="3">
        <v>4</v>
      </c>
      <c r="F151" s="3" t="s">
        <v>20</v>
      </c>
      <c r="G151" s="3" t="str">
        <f t="shared" si="20"/>
        <v>2020</v>
      </c>
      <c r="H151" s="3">
        <f t="shared" si="18"/>
        <v>3</v>
      </c>
      <c r="I151" s="69"/>
      <c r="J151" s="3" t="s">
        <v>783</v>
      </c>
      <c r="K151" s="3">
        <v>7</v>
      </c>
      <c r="L151" s="3">
        <v>20.100000000000001</v>
      </c>
      <c r="M151" s="3">
        <v>290</v>
      </c>
      <c r="N151" s="3" t="str">
        <f t="shared" si="19"/>
        <v>2018</v>
      </c>
      <c r="O151" s="2">
        <v>502</v>
      </c>
    </row>
    <row r="152" spans="1:15" x14ac:dyDescent="0.35">
      <c r="A152" s="3">
        <v>2024</v>
      </c>
      <c r="B152" s="3">
        <v>2</v>
      </c>
      <c r="C152" s="3">
        <v>23</v>
      </c>
      <c r="D152" s="2">
        <v>631</v>
      </c>
      <c r="E152" s="3">
        <v>1</v>
      </c>
      <c r="F152" s="3" t="s">
        <v>225</v>
      </c>
      <c r="G152" s="3" t="str">
        <f t="shared" si="20"/>
        <v>2022</v>
      </c>
      <c r="H152" s="3">
        <f t="shared" si="18"/>
        <v>2</v>
      </c>
      <c r="I152" s="69"/>
      <c r="J152" t="s">
        <v>21</v>
      </c>
      <c r="K152" s="3">
        <v>2</v>
      </c>
      <c r="L152">
        <v>19.399999999999999</v>
      </c>
      <c r="M152" s="3">
        <v>290</v>
      </c>
      <c r="N152" s="3" t="str">
        <f t="shared" si="19"/>
        <v>2021</v>
      </c>
      <c r="O152" s="2">
        <v>631</v>
      </c>
    </row>
    <row r="153" spans="1:15" x14ac:dyDescent="0.35">
      <c r="A153" s="3">
        <v>2024</v>
      </c>
      <c r="B153" s="3">
        <v>6</v>
      </c>
      <c r="C153" s="3">
        <v>19</v>
      </c>
      <c r="D153" s="2">
        <v>804</v>
      </c>
      <c r="E153" s="3">
        <v>3</v>
      </c>
      <c r="F153" s="3" t="s">
        <v>225</v>
      </c>
      <c r="G153" s="3" t="str">
        <f t="shared" si="20"/>
        <v>2021</v>
      </c>
      <c r="H153" s="3">
        <f t="shared" si="18"/>
        <v>3</v>
      </c>
      <c r="I153" s="69"/>
      <c r="J153" t="s">
        <v>1162</v>
      </c>
      <c r="K153">
        <v>3</v>
      </c>
      <c r="L153">
        <v>20.5</v>
      </c>
      <c r="M153" s="3">
        <v>290</v>
      </c>
      <c r="N153" s="3" t="str">
        <f t="shared" si="19"/>
        <v>2021</v>
      </c>
      <c r="O153" s="2">
        <v>804</v>
      </c>
    </row>
    <row r="154" spans="1:15" x14ac:dyDescent="0.35">
      <c r="A154" s="3">
        <v>2017</v>
      </c>
      <c r="B154" s="3">
        <v>8</v>
      </c>
      <c r="C154" s="3">
        <v>8</v>
      </c>
      <c r="D154" s="2">
        <v>87</v>
      </c>
      <c r="E154" s="15">
        <v>3</v>
      </c>
      <c r="F154" s="3" t="s">
        <v>45</v>
      </c>
      <c r="G154" s="3" t="str">
        <f t="shared" si="20"/>
        <v>2009</v>
      </c>
      <c r="H154" s="3">
        <f t="shared" si="18"/>
        <v>8</v>
      </c>
      <c r="I154" s="69"/>
      <c r="J154" s="3" t="s">
        <v>512</v>
      </c>
      <c r="K154" s="3" t="s">
        <v>512</v>
      </c>
      <c r="L154" s="3">
        <v>17.600000000000001</v>
      </c>
      <c r="M154" s="3">
        <v>291</v>
      </c>
      <c r="N154" s="3" t="str">
        <f t="shared" si="19"/>
        <v>2007</v>
      </c>
      <c r="O154" s="2">
        <v>87</v>
      </c>
    </row>
    <row r="155" spans="1:15" x14ac:dyDescent="0.35">
      <c r="A155" s="3">
        <v>2016</v>
      </c>
      <c r="B155" s="3">
        <v>9</v>
      </c>
      <c r="C155" s="3">
        <v>2</v>
      </c>
      <c r="D155" s="2">
        <v>216</v>
      </c>
      <c r="E155" s="3">
        <v>3</v>
      </c>
      <c r="F155" s="3" t="s">
        <v>41</v>
      </c>
      <c r="G155" s="3" t="str">
        <f t="shared" si="20"/>
        <v>2013</v>
      </c>
      <c r="H155" s="3">
        <f t="shared" si="18"/>
        <v>3</v>
      </c>
      <c r="I155" s="69"/>
      <c r="J155" s="3" t="s">
        <v>49</v>
      </c>
      <c r="K155" s="3" t="s">
        <v>318</v>
      </c>
      <c r="L155" s="3">
        <v>19.100000000000001</v>
      </c>
      <c r="M155" s="3">
        <v>291</v>
      </c>
      <c r="N155" s="3" t="str">
        <f t="shared" si="19"/>
        <v>2011</v>
      </c>
      <c r="O155" s="2">
        <v>216</v>
      </c>
    </row>
    <row r="156" spans="1:15" x14ac:dyDescent="0.35">
      <c r="A156" s="3">
        <v>2017</v>
      </c>
      <c r="B156" s="3">
        <v>8</v>
      </c>
      <c r="C156" s="3">
        <v>8</v>
      </c>
      <c r="D156" s="2">
        <v>74</v>
      </c>
      <c r="E156" s="15">
        <v>3</v>
      </c>
      <c r="F156" s="3" t="s">
        <v>45</v>
      </c>
      <c r="G156" s="3" t="str">
        <f t="shared" si="20"/>
        <v>2009</v>
      </c>
      <c r="H156" s="3">
        <f t="shared" si="18"/>
        <v>8</v>
      </c>
      <c r="I156" s="69"/>
      <c r="J156" s="3" t="s">
        <v>512</v>
      </c>
      <c r="K156" s="3" t="s">
        <v>512</v>
      </c>
      <c r="L156" s="3">
        <v>20.7</v>
      </c>
      <c r="M156" s="3">
        <v>292</v>
      </c>
      <c r="N156" s="3" t="str">
        <f t="shared" si="19"/>
        <v>2007</v>
      </c>
      <c r="O156" s="2">
        <v>74</v>
      </c>
    </row>
    <row r="157" spans="1:15" x14ac:dyDescent="0.35">
      <c r="A157" s="3">
        <v>2019</v>
      </c>
      <c r="B157" s="3">
        <v>2</v>
      </c>
      <c r="C157" s="3">
        <v>21</v>
      </c>
      <c r="D157" s="2">
        <v>164</v>
      </c>
      <c r="E157" s="3">
        <v>1</v>
      </c>
      <c r="F157" s="3" t="s">
        <v>45</v>
      </c>
      <c r="G157" s="3" t="str">
        <f t="shared" si="20"/>
        <v>2011</v>
      </c>
      <c r="H157" s="3">
        <f t="shared" si="18"/>
        <v>8</v>
      </c>
      <c r="I157" s="69"/>
      <c r="J157" s="3" t="s">
        <v>236</v>
      </c>
      <c r="K157" s="3" t="s">
        <v>317</v>
      </c>
      <c r="L157" s="3">
        <v>2</v>
      </c>
      <c r="M157" s="3">
        <v>292</v>
      </c>
      <c r="N157" s="3" t="str">
        <f t="shared" si="19"/>
        <v>2007</v>
      </c>
      <c r="O157" s="2">
        <v>164</v>
      </c>
    </row>
    <row r="158" spans="1:15" x14ac:dyDescent="0.35">
      <c r="A158" s="3">
        <v>2023</v>
      </c>
      <c r="B158" s="3">
        <v>7</v>
      </c>
      <c r="C158" s="3">
        <v>17</v>
      </c>
      <c r="D158" s="2">
        <v>400</v>
      </c>
      <c r="E158" s="3">
        <v>3</v>
      </c>
      <c r="F158" s="3" t="s">
        <v>45</v>
      </c>
      <c r="G158" s="3" t="str">
        <f t="shared" si="20"/>
        <v>2011</v>
      </c>
      <c r="H158" s="3">
        <f t="shared" si="18"/>
        <v>12</v>
      </c>
      <c r="I158" s="69"/>
      <c r="J158" s="3" t="s">
        <v>865</v>
      </c>
      <c r="K158" s="3" t="s">
        <v>317</v>
      </c>
      <c r="L158" s="3">
        <v>16.5</v>
      </c>
      <c r="M158" s="3">
        <v>292</v>
      </c>
      <c r="N158" s="3" t="str">
        <f t="shared" si="19"/>
        <v>2007</v>
      </c>
      <c r="O158" s="2">
        <v>400</v>
      </c>
    </row>
    <row r="159" spans="1:15" x14ac:dyDescent="0.35">
      <c r="A159" s="3">
        <v>2023</v>
      </c>
      <c r="B159" s="3">
        <v>7</v>
      </c>
      <c r="C159" s="3">
        <v>25</v>
      </c>
      <c r="D159" s="2">
        <v>452</v>
      </c>
      <c r="E159" s="3">
        <v>3</v>
      </c>
      <c r="F159" s="3" t="s">
        <v>20</v>
      </c>
      <c r="G159" s="3" t="str">
        <f t="shared" si="20"/>
        <v>2018</v>
      </c>
      <c r="H159" s="3">
        <f t="shared" si="18"/>
        <v>5</v>
      </c>
      <c r="I159" s="69"/>
      <c r="J159" s="3" t="s">
        <v>234</v>
      </c>
      <c r="K159" s="3">
        <v>6</v>
      </c>
      <c r="L159" s="3">
        <v>18.899999999999999</v>
      </c>
      <c r="M159" s="3">
        <v>292</v>
      </c>
      <c r="N159" s="3" t="str">
        <f t="shared" si="19"/>
        <v>2018</v>
      </c>
      <c r="O159" s="2">
        <v>452</v>
      </c>
    </row>
    <row r="160" spans="1:15" x14ac:dyDescent="0.35">
      <c r="A160" s="3">
        <v>2023</v>
      </c>
      <c r="B160" s="3">
        <v>7</v>
      </c>
      <c r="C160" s="3">
        <v>25</v>
      </c>
      <c r="D160" s="2">
        <v>452</v>
      </c>
      <c r="E160" s="3">
        <v>3</v>
      </c>
      <c r="F160" s="3" t="s">
        <v>20</v>
      </c>
      <c r="G160" s="3" t="str">
        <f t="shared" si="20"/>
        <v>2018</v>
      </c>
      <c r="H160" s="3">
        <f t="shared" si="18"/>
        <v>5</v>
      </c>
      <c r="I160" s="69"/>
      <c r="J160" s="3" t="s">
        <v>234</v>
      </c>
      <c r="K160" s="3">
        <v>6</v>
      </c>
      <c r="L160" s="3">
        <v>18.899999999999999</v>
      </c>
      <c r="M160" s="3">
        <v>292</v>
      </c>
      <c r="N160" s="3" t="str">
        <f t="shared" si="19"/>
        <v>2018</v>
      </c>
      <c r="O160" s="2">
        <v>452</v>
      </c>
    </row>
    <row r="161" spans="1:15" x14ac:dyDescent="0.35">
      <c r="A161" s="3">
        <v>2023</v>
      </c>
      <c r="B161" s="3">
        <v>11</v>
      </c>
      <c r="C161" s="3">
        <v>2</v>
      </c>
      <c r="D161" s="2">
        <v>537</v>
      </c>
      <c r="E161" s="3">
        <v>4</v>
      </c>
      <c r="F161" s="3" t="s">
        <v>45</v>
      </c>
      <c r="G161" s="3" t="str">
        <f t="shared" si="20"/>
        <v>2011</v>
      </c>
      <c r="H161" s="3">
        <f t="shared" si="18"/>
        <v>12</v>
      </c>
      <c r="I161" s="69"/>
      <c r="J161" t="s">
        <v>990</v>
      </c>
      <c r="K161" s="3" t="s">
        <v>317</v>
      </c>
      <c r="L161" s="3">
        <v>19.899999999999999</v>
      </c>
      <c r="M161" s="3">
        <v>292</v>
      </c>
      <c r="N161" s="3" t="str">
        <f t="shared" si="19"/>
        <v>2007</v>
      </c>
      <c r="O161" s="2">
        <v>537</v>
      </c>
    </row>
    <row r="162" spans="1:15" x14ac:dyDescent="0.35">
      <c r="A162" s="3">
        <v>2016</v>
      </c>
      <c r="B162" s="3">
        <v>9</v>
      </c>
      <c r="C162" s="3">
        <v>2</v>
      </c>
      <c r="D162" s="2">
        <v>218</v>
      </c>
      <c r="E162" s="3">
        <v>3</v>
      </c>
      <c r="F162" s="3" t="s">
        <v>41</v>
      </c>
      <c r="G162" s="3" t="str">
        <f t="shared" si="20"/>
        <v>2013</v>
      </c>
      <c r="H162" s="3">
        <f t="shared" si="18"/>
        <v>3</v>
      </c>
      <c r="I162" s="69"/>
      <c r="J162" s="3" t="s">
        <v>49</v>
      </c>
      <c r="K162" s="3" t="s">
        <v>318</v>
      </c>
      <c r="L162" s="3">
        <v>1.9</v>
      </c>
      <c r="M162" s="3">
        <v>293</v>
      </c>
      <c r="N162" s="3" t="str">
        <f t="shared" si="19"/>
        <v>2011</v>
      </c>
      <c r="O162" s="2">
        <v>218</v>
      </c>
    </row>
    <row r="163" spans="1:15" x14ac:dyDescent="0.35">
      <c r="A163" s="3">
        <v>2016</v>
      </c>
      <c r="B163" s="3">
        <v>8</v>
      </c>
      <c r="C163" s="3">
        <v>30</v>
      </c>
      <c r="D163" s="2">
        <v>270</v>
      </c>
      <c r="E163" s="3">
        <v>3</v>
      </c>
      <c r="F163" s="3" t="s">
        <v>45</v>
      </c>
      <c r="G163" s="3" t="str">
        <f t="shared" si="20"/>
        <v>2009</v>
      </c>
      <c r="H163" s="3">
        <f t="shared" si="18"/>
        <v>7</v>
      </c>
      <c r="I163" s="69"/>
      <c r="J163" s="3" t="s">
        <v>731</v>
      </c>
      <c r="K163" s="3" t="s">
        <v>512</v>
      </c>
      <c r="L163" s="3">
        <v>18.399999999999999</v>
      </c>
      <c r="M163" s="3">
        <v>293</v>
      </c>
      <c r="N163" s="3" t="str">
        <f t="shared" si="19"/>
        <v>2007</v>
      </c>
      <c r="O163" s="2">
        <v>270</v>
      </c>
    </row>
    <row r="164" spans="1:15" x14ac:dyDescent="0.35">
      <c r="A164" s="3">
        <v>2023</v>
      </c>
      <c r="B164" s="3">
        <v>8</v>
      </c>
      <c r="C164" s="3">
        <v>2</v>
      </c>
      <c r="D164" s="2">
        <v>431</v>
      </c>
      <c r="E164" s="3">
        <v>3</v>
      </c>
      <c r="F164" s="3" t="s">
        <v>225</v>
      </c>
      <c r="G164" s="3" t="str">
        <f t="shared" si="20"/>
        <v>2022</v>
      </c>
      <c r="H164" s="3">
        <f t="shared" si="18"/>
        <v>1</v>
      </c>
      <c r="I164" s="69"/>
      <c r="J164" s="3" t="s">
        <v>67</v>
      </c>
      <c r="K164" s="3">
        <v>2</v>
      </c>
      <c r="L164" s="3">
        <v>21.1</v>
      </c>
      <c r="M164" s="3">
        <v>293</v>
      </c>
      <c r="N164" s="3" t="str">
        <f t="shared" si="19"/>
        <v>2021</v>
      </c>
      <c r="O164" s="2">
        <v>431</v>
      </c>
    </row>
    <row r="165" spans="1:15" x14ac:dyDescent="0.35">
      <c r="A165" s="3">
        <v>2016</v>
      </c>
      <c r="B165" s="3">
        <v>9</v>
      </c>
      <c r="C165" s="3">
        <v>1</v>
      </c>
      <c r="D165" s="2">
        <v>221</v>
      </c>
      <c r="E165" s="3">
        <v>3</v>
      </c>
      <c r="F165" s="3" t="s">
        <v>41</v>
      </c>
      <c r="G165" s="3" t="str">
        <f t="shared" si="20"/>
        <v>2012</v>
      </c>
      <c r="H165" s="3">
        <f t="shared" si="18"/>
        <v>4</v>
      </c>
      <c r="I165" s="69"/>
      <c r="J165" s="3" t="s">
        <v>551</v>
      </c>
      <c r="K165" s="3" t="s">
        <v>461</v>
      </c>
      <c r="L165" s="3">
        <v>24.6</v>
      </c>
      <c r="M165" s="3">
        <v>294</v>
      </c>
      <c r="N165" s="3" t="str">
        <f t="shared" si="19"/>
        <v>2011</v>
      </c>
      <c r="O165" s="2">
        <v>221</v>
      </c>
    </row>
    <row r="166" spans="1:15" x14ac:dyDescent="0.35">
      <c r="A166" s="3">
        <v>2016</v>
      </c>
      <c r="B166" s="3">
        <v>9</v>
      </c>
      <c r="C166" s="3">
        <v>1</v>
      </c>
      <c r="D166" s="2">
        <v>221</v>
      </c>
      <c r="E166" s="3">
        <v>3</v>
      </c>
      <c r="F166" s="3" t="s">
        <v>41</v>
      </c>
      <c r="G166" s="3" t="str">
        <f t="shared" si="20"/>
        <v>2012</v>
      </c>
      <c r="H166" s="3">
        <f t="shared" si="18"/>
        <v>4</v>
      </c>
      <c r="I166" s="69"/>
      <c r="J166" s="3" t="s">
        <v>551</v>
      </c>
      <c r="K166" s="3" t="s">
        <v>461</v>
      </c>
      <c r="L166" s="3">
        <v>24.6</v>
      </c>
      <c r="M166" s="3">
        <v>294</v>
      </c>
      <c r="N166" s="3" t="str">
        <f t="shared" si="19"/>
        <v>2011</v>
      </c>
      <c r="O166" s="2">
        <v>221</v>
      </c>
    </row>
    <row r="167" spans="1:15" x14ac:dyDescent="0.35">
      <c r="A167" s="3">
        <v>2022</v>
      </c>
      <c r="B167" s="3" t="s">
        <v>28</v>
      </c>
      <c r="C167" s="3" t="s">
        <v>28</v>
      </c>
      <c r="D167" s="2">
        <v>113</v>
      </c>
      <c r="E167" s="15" t="s">
        <v>28</v>
      </c>
      <c r="F167" s="3" t="s">
        <v>225</v>
      </c>
      <c r="G167" s="3" t="str">
        <f t="shared" si="20"/>
        <v>2021</v>
      </c>
      <c r="H167" s="3">
        <f t="shared" si="18"/>
        <v>1</v>
      </c>
      <c r="I167" s="69"/>
      <c r="J167" s="3">
        <v>4</v>
      </c>
      <c r="K167" s="3">
        <v>4</v>
      </c>
      <c r="L167" s="3">
        <v>20.8</v>
      </c>
      <c r="M167" s="3">
        <v>295</v>
      </c>
      <c r="N167" s="3" t="str">
        <f t="shared" si="19"/>
        <v>2021</v>
      </c>
      <c r="O167" s="2">
        <v>113</v>
      </c>
    </row>
    <row r="168" spans="1:15" x14ac:dyDescent="0.35">
      <c r="A168" s="3">
        <v>2017</v>
      </c>
      <c r="B168" s="3">
        <v>2</v>
      </c>
      <c r="C168" s="3">
        <v>10</v>
      </c>
      <c r="D168" s="2">
        <v>140</v>
      </c>
      <c r="E168" s="15">
        <v>1</v>
      </c>
      <c r="F168" s="3" t="s">
        <v>41</v>
      </c>
      <c r="G168" s="3" t="str">
        <f t="shared" si="20"/>
        <v>2013</v>
      </c>
      <c r="H168" s="3">
        <f t="shared" si="18"/>
        <v>4</v>
      </c>
      <c r="I168" s="69"/>
      <c r="J168" s="3" t="s">
        <v>91</v>
      </c>
      <c r="K168" s="3" t="s">
        <v>318</v>
      </c>
      <c r="L168" s="3">
        <v>16.100000000000001</v>
      </c>
      <c r="M168" s="3">
        <v>295</v>
      </c>
      <c r="N168" s="3" t="str">
        <f t="shared" si="19"/>
        <v>2011</v>
      </c>
      <c r="O168" s="2">
        <v>140</v>
      </c>
    </row>
    <row r="169" spans="1:15" x14ac:dyDescent="0.35">
      <c r="A169" s="3">
        <v>2023</v>
      </c>
      <c r="B169" s="3">
        <v>11</v>
      </c>
      <c r="C169" s="3">
        <v>14</v>
      </c>
      <c r="D169" s="2">
        <v>516</v>
      </c>
      <c r="E169" s="3">
        <v>4</v>
      </c>
      <c r="F169" s="3" t="s">
        <v>225</v>
      </c>
      <c r="G169" s="3" t="str">
        <f t="shared" si="20"/>
        <v>2021</v>
      </c>
      <c r="H169" s="3">
        <f t="shared" si="18"/>
        <v>2</v>
      </c>
      <c r="I169" s="69"/>
      <c r="J169" s="3" t="s">
        <v>227</v>
      </c>
      <c r="K169" s="3">
        <v>4</v>
      </c>
      <c r="L169" s="3">
        <v>23.2</v>
      </c>
      <c r="M169" s="3">
        <v>295</v>
      </c>
      <c r="N169" s="3" t="str">
        <f t="shared" si="19"/>
        <v>2021</v>
      </c>
      <c r="O169" s="2">
        <v>516</v>
      </c>
    </row>
    <row r="170" spans="1:15" x14ac:dyDescent="0.35">
      <c r="A170" s="3">
        <v>2017</v>
      </c>
      <c r="B170" s="3">
        <v>8</v>
      </c>
      <c r="C170" s="3">
        <v>14</v>
      </c>
      <c r="D170" s="2">
        <v>135</v>
      </c>
      <c r="E170" s="15">
        <v>3</v>
      </c>
      <c r="F170" s="3" t="s">
        <v>45</v>
      </c>
      <c r="G170" s="3" t="str">
        <f t="shared" si="20"/>
        <v>2011</v>
      </c>
      <c r="H170" s="3">
        <f t="shared" si="18"/>
        <v>6</v>
      </c>
      <c r="I170" s="69"/>
      <c r="J170" s="3" t="s">
        <v>317</v>
      </c>
      <c r="K170" s="3" t="s">
        <v>317</v>
      </c>
      <c r="L170" s="3">
        <v>14.4</v>
      </c>
      <c r="M170" s="3">
        <v>296</v>
      </c>
      <c r="N170" s="3" t="str">
        <f t="shared" si="19"/>
        <v>2007</v>
      </c>
      <c r="O170" s="2">
        <v>135</v>
      </c>
    </row>
    <row r="171" spans="1:15" x14ac:dyDescent="0.35">
      <c r="A171" s="3">
        <v>2017</v>
      </c>
      <c r="B171" s="3">
        <v>11</v>
      </c>
      <c r="C171" s="3">
        <v>9</v>
      </c>
      <c r="D171" s="2">
        <v>72</v>
      </c>
      <c r="E171" s="15">
        <v>4</v>
      </c>
      <c r="F171" s="3" t="s">
        <v>45</v>
      </c>
      <c r="G171" s="3" t="str">
        <f t="shared" si="20"/>
        <v>2011</v>
      </c>
      <c r="H171" s="3">
        <f t="shared" si="18"/>
        <v>6</v>
      </c>
      <c r="I171" s="69"/>
      <c r="J171" s="3" t="s">
        <v>317</v>
      </c>
      <c r="K171" s="3" t="s">
        <v>317</v>
      </c>
      <c r="L171" s="3">
        <v>2</v>
      </c>
      <c r="M171" s="3">
        <v>297</v>
      </c>
      <c r="N171" s="3" t="str">
        <f t="shared" si="19"/>
        <v>2007</v>
      </c>
      <c r="O171" s="2">
        <v>72</v>
      </c>
    </row>
    <row r="172" spans="1:15" x14ac:dyDescent="0.35">
      <c r="A172" s="3">
        <v>2019</v>
      </c>
      <c r="B172" s="3">
        <v>11</v>
      </c>
      <c r="C172" s="3">
        <v>27</v>
      </c>
      <c r="D172" s="2">
        <v>52</v>
      </c>
      <c r="E172" s="3">
        <v>4</v>
      </c>
      <c r="F172" s="3" t="s">
        <v>45</v>
      </c>
      <c r="G172" s="3" t="str">
        <f t="shared" si="20"/>
        <v>2009</v>
      </c>
      <c r="H172" s="3">
        <f t="shared" si="18"/>
        <v>10</v>
      </c>
      <c r="I172" s="69"/>
      <c r="J172" s="3" t="s">
        <v>488</v>
      </c>
      <c r="K172" s="3" t="s">
        <v>488</v>
      </c>
      <c r="L172" s="3">
        <v>18.600000000000001</v>
      </c>
      <c r="M172" s="3">
        <v>298</v>
      </c>
      <c r="N172" s="3" t="str">
        <f t="shared" si="19"/>
        <v>2007</v>
      </c>
      <c r="O172" s="2">
        <v>52</v>
      </c>
    </row>
    <row r="173" spans="1:15" x14ac:dyDescent="0.35">
      <c r="A173" s="3">
        <v>2016</v>
      </c>
      <c r="B173" s="3">
        <v>11</v>
      </c>
      <c r="C173" s="3">
        <v>8</v>
      </c>
      <c r="D173" s="2">
        <v>181</v>
      </c>
      <c r="E173" s="3">
        <v>4</v>
      </c>
      <c r="F173" s="3" t="s">
        <v>45</v>
      </c>
      <c r="G173" s="3" t="str">
        <f t="shared" si="20"/>
        <v>2011</v>
      </c>
      <c r="H173" s="3">
        <f t="shared" si="18"/>
        <v>5</v>
      </c>
      <c r="I173" s="69"/>
      <c r="J173" s="3" t="s">
        <v>632</v>
      </c>
      <c r="K173" s="3" t="s">
        <v>317</v>
      </c>
      <c r="L173" s="3">
        <v>18.5</v>
      </c>
      <c r="M173" s="3">
        <v>299</v>
      </c>
      <c r="N173" s="3" t="str">
        <f t="shared" si="19"/>
        <v>2007</v>
      </c>
      <c r="O173" s="2">
        <v>181</v>
      </c>
    </row>
    <row r="174" spans="1:15" x14ac:dyDescent="0.35">
      <c r="A174" s="3">
        <v>2023</v>
      </c>
      <c r="B174" s="3">
        <v>7</v>
      </c>
      <c r="C174" s="3">
        <v>19</v>
      </c>
      <c r="D174" s="2">
        <v>350</v>
      </c>
      <c r="E174" s="3">
        <v>3</v>
      </c>
      <c r="F174" s="3" t="s">
        <v>41</v>
      </c>
      <c r="G174" s="3" t="str">
        <f t="shared" si="20"/>
        <v>2013</v>
      </c>
      <c r="H174" s="3">
        <f t="shared" si="18"/>
        <v>10</v>
      </c>
      <c r="I174" s="69"/>
      <c r="J174" s="3" t="s">
        <v>583</v>
      </c>
      <c r="K174" s="3" t="s">
        <v>318</v>
      </c>
      <c r="L174" s="3">
        <v>19.600000000000001</v>
      </c>
      <c r="M174" s="3">
        <v>300</v>
      </c>
      <c r="N174" s="3" t="str">
        <f t="shared" si="19"/>
        <v>2011</v>
      </c>
      <c r="O174" s="2">
        <v>350</v>
      </c>
    </row>
    <row r="175" spans="1:15" x14ac:dyDescent="0.35">
      <c r="A175" s="3">
        <v>2023</v>
      </c>
      <c r="B175" s="3">
        <v>7</v>
      </c>
      <c r="C175" s="3">
        <v>17</v>
      </c>
      <c r="D175" s="2">
        <v>393</v>
      </c>
      <c r="E175" s="3">
        <v>3</v>
      </c>
      <c r="F175" s="3" t="s">
        <v>45</v>
      </c>
      <c r="G175" s="3" t="str">
        <f t="shared" si="20"/>
        <v>2011</v>
      </c>
      <c r="H175" s="3">
        <f t="shared" si="18"/>
        <v>12</v>
      </c>
      <c r="I175" s="69"/>
      <c r="J175" s="3" t="s">
        <v>632</v>
      </c>
      <c r="K175" s="3" t="s">
        <v>317</v>
      </c>
      <c r="L175" s="3">
        <v>2.1</v>
      </c>
      <c r="M175" s="3">
        <v>300</v>
      </c>
      <c r="N175" s="3" t="str">
        <f t="shared" si="19"/>
        <v>2007</v>
      </c>
      <c r="O175" s="2">
        <v>393</v>
      </c>
    </row>
    <row r="176" spans="1:15" x14ac:dyDescent="0.35">
      <c r="A176" s="3">
        <v>2024</v>
      </c>
      <c r="B176" s="3">
        <v>1</v>
      </c>
      <c r="C176" s="3">
        <v>23</v>
      </c>
      <c r="D176" s="2">
        <v>680</v>
      </c>
      <c r="E176" s="3">
        <v>1</v>
      </c>
      <c r="F176" s="3" t="s">
        <v>20</v>
      </c>
      <c r="G176" s="3" t="str">
        <f t="shared" si="20"/>
        <v>2020</v>
      </c>
      <c r="H176" s="3">
        <f t="shared" si="18"/>
        <v>4</v>
      </c>
      <c r="I176" s="69"/>
      <c r="J176" t="s">
        <v>783</v>
      </c>
      <c r="K176">
        <v>7</v>
      </c>
      <c r="L176">
        <v>31.3</v>
      </c>
      <c r="M176" s="3">
        <v>300</v>
      </c>
      <c r="N176" s="3" t="str">
        <f t="shared" si="19"/>
        <v>2018</v>
      </c>
      <c r="O176" s="2">
        <v>680</v>
      </c>
    </row>
    <row r="177" spans="1:16" x14ac:dyDescent="0.35">
      <c r="A177" s="3">
        <v>2023</v>
      </c>
      <c r="B177" s="3">
        <v>7</v>
      </c>
      <c r="C177" s="3">
        <v>17</v>
      </c>
      <c r="D177" s="2">
        <v>385</v>
      </c>
      <c r="E177" s="3">
        <v>3</v>
      </c>
      <c r="F177" s="3" t="s">
        <v>45</v>
      </c>
      <c r="G177" s="3" t="str">
        <f t="shared" si="20"/>
        <v>2011</v>
      </c>
      <c r="H177" s="3">
        <f t="shared" si="18"/>
        <v>12</v>
      </c>
      <c r="I177" s="69"/>
      <c r="J177" s="3" t="s">
        <v>46</v>
      </c>
      <c r="K177" s="3" t="s">
        <v>317</v>
      </c>
      <c r="L177" s="3">
        <v>18.100000000000001</v>
      </c>
      <c r="M177" s="3">
        <v>301</v>
      </c>
      <c r="N177" s="3" t="str">
        <f t="shared" si="19"/>
        <v>2007</v>
      </c>
      <c r="O177" s="2">
        <v>385</v>
      </c>
      <c r="P177">
        <v>15.37</v>
      </c>
    </row>
    <row r="178" spans="1:16" x14ac:dyDescent="0.35">
      <c r="A178" s="3">
        <v>2016</v>
      </c>
      <c r="B178" s="3">
        <v>11</v>
      </c>
      <c r="C178" s="3">
        <v>16</v>
      </c>
      <c r="D178" s="2">
        <v>212</v>
      </c>
      <c r="E178" s="3">
        <v>4</v>
      </c>
      <c r="F178" s="3" t="s">
        <v>41</v>
      </c>
      <c r="G178" s="3" t="str">
        <f t="shared" si="20"/>
        <v>2013</v>
      </c>
      <c r="H178" s="3">
        <f t="shared" si="18"/>
        <v>3</v>
      </c>
      <c r="I178" s="69"/>
      <c r="J178" s="3" t="s">
        <v>669</v>
      </c>
      <c r="K178" s="3" t="s">
        <v>458</v>
      </c>
      <c r="L178" s="3">
        <v>2.5</v>
      </c>
      <c r="M178" s="3">
        <v>301</v>
      </c>
      <c r="N178" s="3" t="str">
        <f t="shared" si="19"/>
        <v>2011</v>
      </c>
      <c r="O178" s="2">
        <v>212</v>
      </c>
    </row>
    <row r="179" spans="1:16" x14ac:dyDescent="0.35">
      <c r="A179" s="3">
        <v>2016</v>
      </c>
      <c r="B179" s="3">
        <v>9</v>
      </c>
      <c r="C179" s="3">
        <v>1</v>
      </c>
      <c r="D179" s="2">
        <v>267</v>
      </c>
      <c r="E179" s="3">
        <v>3</v>
      </c>
      <c r="F179" s="3" t="s">
        <v>45</v>
      </c>
      <c r="G179" s="3" t="str">
        <f t="shared" si="20"/>
        <v>2011</v>
      </c>
      <c r="H179" s="3">
        <f t="shared" si="18"/>
        <v>5</v>
      </c>
      <c r="I179" s="69"/>
      <c r="J179" s="3" t="s">
        <v>718</v>
      </c>
      <c r="K179" s="3" t="s">
        <v>317</v>
      </c>
      <c r="L179" s="3">
        <v>20.399999999999999</v>
      </c>
      <c r="M179" s="3">
        <v>302</v>
      </c>
      <c r="N179" s="3" t="str">
        <f t="shared" si="19"/>
        <v>2007</v>
      </c>
      <c r="O179" s="2">
        <v>267</v>
      </c>
    </row>
    <row r="180" spans="1:16" x14ac:dyDescent="0.35">
      <c r="A180" s="3">
        <v>2016</v>
      </c>
      <c r="B180" s="3">
        <v>9</v>
      </c>
      <c r="C180" s="3">
        <v>1</v>
      </c>
      <c r="D180" s="2">
        <v>267</v>
      </c>
      <c r="E180" s="3">
        <v>3</v>
      </c>
      <c r="F180" s="3" t="s">
        <v>45</v>
      </c>
      <c r="G180" s="3" t="str">
        <f t="shared" si="20"/>
        <v>2011</v>
      </c>
      <c r="H180" s="3">
        <f t="shared" si="18"/>
        <v>5</v>
      </c>
      <c r="I180" s="69"/>
      <c r="J180" s="3" t="s">
        <v>718</v>
      </c>
      <c r="K180" s="3" t="s">
        <v>317</v>
      </c>
      <c r="L180" s="3">
        <v>20.399999999999999</v>
      </c>
      <c r="M180" s="3">
        <v>302</v>
      </c>
      <c r="N180" s="3" t="str">
        <f t="shared" si="19"/>
        <v>2007</v>
      </c>
      <c r="O180" s="2">
        <v>267</v>
      </c>
    </row>
    <row r="181" spans="1:16" x14ac:dyDescent="0.35">
      <c r="A181" s="3">
        <v>2017</v>
      </c>
      <c r="B181" s="3">
        <v>11</v>
      </c>
      <c r="C181" s="3">
        <v>9</v>
      </c>
      <c r="D181" s="2">
        <v>81</v>
      </c>
      <c r="E181" s="15">
        <v>4</v>
      </c>
      <c r="F181" s="3" t="s">
        <v>45</v>
      </c>
      <c r="G181" s="3" t="str">
        <f t="shared" si="20"/>
        <v>2011</v>
      </c>
      <c r="H181" s="3">
        <f t="shared" si="18"/>
        <v>6</v>
      </c>
      <c r="I181" s="69"/>
      <c r="J181" s="3" t="s">
        <v>317</v>
      </c>
      <c r="K181" s="3" t="s">
        <v>317</v>
      </c>
      <c r="L181" s="3">
        <v>19.7</v>
      </c>
      <c r="M181" s="3">
        <v>304</v>
      </c>
      <c r="N181" s="3" t="str">
        <f t="shared" si="19"/>
        <v>2007</v>
      </c>
      <c r="O181" s="2">
        <v>81</v>
      </c>
    </row>
    <row r="182" spans="1:16" x14ac:dyDescent="0.35">
      <c r="A182" s="3">
        <v>2024</v>
      </c>
      <c r="B182" s="3">
        <v>2</v>
      </c>
      <c r="C182" s="3">
        <v>23</v>
      </c>
      <c r="D182" s="2">
        <v>636</v>
      </c>
      <c r="E182" s="3">
        <v>1</v>
      </c>
      <c r="F182" s="3" t="s">
        <v>225</v>
      </c>
      <c r="G182" s="3" t="str">
        <f t="shared" si="20"/>
        <v>2022</v>
      </c>
      <c r="H182" s="3">
        <f t="shared" si="18"/>
        <v>2</v>
      </c>
      <c r="I182" s="69"/>
      <c r="J182" t="s">
        <v>21</v>
      </c>
      <c r="K182" s="3">
        <v>2</v>
      </c>
      <c r="L182">
        <v>25.8</v>
      </c>
      <c r="M182" s="3">
        <v>304</v>
      </c>
      <c r="N182" s="3" t="str">
        <f t="shared" si="19"/>
        <v>2021</v>
      </c>
      <c r="O182" s="2">
        <v>636</v>
      </c>
    </row>
    <row r="183" spans="1:16" x14ac:dyDescent="0.35">
      <c r="A183" s="3">
        <v>2017</v>
      </c>
      <c r="B183" s="3">
        <v>11</v>
      </c>
      <c r="C183" s="3">
        <v>9</v>
      </c>
      <c r="D183" s="2">
        <v>83</v>
      </c>
      <c r="E183" s="15">
        <v>4</v>
      </c>
      <c r="F183" s="3" t="s">
        <v>45</v>
      </c>
      <c r="G183" s="3" t="str">
        <f t="shared" si="20"/>
        <v>2011</v>
      </c>
      <c r="H183" s="3">
        <f t="shared" si="18"/>
        <v>6</v>
      </c>
      <c r="I183" s="69"/>
      <c r="J183" s="3" t="s">
        <v>317</v>
      </c>
      <c r="K183" s="3" t="s">
        <v>317</v>
      </c>
      <c r="L183" s="3">
        <v>19.3</v>
      </c>
      <c r="M183" s="3">
        <v>305</v>
      </c>
      <c r="N183" s="3" t="str">
        <f t="shared" si="19"/>
        <v>2007</v>
      </c>
      <c r="O183" s="2">
        <v>83</v>
      </c>
    </row>
    <row r="184" spans="1:16" x14ac:dyDescent="0.35">
      <c r="A184" s="3">
        <v>2016</v>
      </c>
      <c r="B184" s="3">
        <v>8</v>
      </c>
      <c r="C184" s="3">
        <v>30</v>
      </c>
      <c r="D184" s="2">
        <v>213</v>
      </c>
      <c r="E184" s="3">
        <v>3</v>
      </c>
      <c r="F184" s="3" t="s">
        <v>45</v>
      </c>
      <c r="G184" s="3" t="str">
        <f t="shared" si="20"/>
        <v>2009</v>
      </c>
      <c r="H184" s="3">
        <f t="shared" si="18"/>
        <v>7</v>
      </c>
      <c r="I184" s="69"/>
      <c r="J184" s="3" t="s">
        <v>671</v>
      </c>
      <c r="K184" s="3" t="s">
        <v>512</v>
      </c>
      <c r="L184" s="3">
        <v>23.9</v>
      </c>
      <c r="M184" s="3">
        <v>305</v>
      </c>
      <c r="N184" s="3" t="str">
        <f t="shared" si="19"/>
        <v>2007</v>
      </c>
      <c r="O184" s="2">
        <v>213</v>
      </c>
    </row>
    <row r="185" spans="1:16" x14ac:dyDescent="0.35">
      <c r="A185" s="3">
        <v>2023</v>
      </c>
      <c r="B185" s="3">
        <v>10</v>
      </c>
      <c r="C185" s="3">
        <v>30</v>
      </c>
      <c r="D185" s="2">
        <v>523</v>
      </c>
      <c r="E185" s="3">
        <v>4</v>
      </c>
      <c r="F185" s="3" t="s">
        <v>225</v>
      </c>
      <c r="G185" s="3" t="str">
        <f t="shared" si="20"/>
        <v>2021</v>
      </c>
      <c r="H185" s="3">
        <f t="shared" si="18"/>
        <v>2</v>
      </c>
      <c r="I185" s="69"/>
      <c r="J185" s="3" t="s">
        <v>237</v>
      </c>
      <c r="K185" s="3">
        <v>3</v>
      </c>
      <c r="L185" s="3">
        <v>24.7</v>
      </c>
      <c r="M185" s="3">
        <v>305</v>
      </c>
      <c r="N185" s="3" t="str">
        <f t="shared" si="19"/>
        <v>2021</v>
      </c>
      <c r="O185" s="2">
        <v>523</v>
      </c>
    </row>
    <row r="186" spans="1:16" x14ac:dyDescent="0.35">
      <c r="A186" s="3">
        <v>2024</v>
      </c>
      <c r="B186" s="3">
        <v>1</v>
      </c>
      <c r="C186" s="3">
        <v>18</v>
      </c>
      <c r="D186" s="2">
        <v>556</v>
      </c>
      <c r="E186" s="3">
        <v>1</v>
      </c>
      <c r="F186" s="3" t="s">
        <v>41</v>
      </c>
      <c r="G186" s="3" t="str">
        <f t="shared" si="20"/>
        <v>2013</v>
      </c>
      <c r="H186" s="3">
        <f t="shared" si="18"/>
        <v>11</v>
      </c>
      <c r="I186" s="69"/>
      <c r="J186" t="s">
        <v>583</v>
      </c>
      <c r="K186" s="3" t="s">
        <v>318</v>
      </c>
      <c r="L186">
        <v>22.2</v>
      </c>
      <c r="M186" s="3">
        <v>305</v>
      </c>
      <c r="N186" s="3" t="str">
        <f t="shared" si="19"/>
        <v>2011</v>
      </c>
      <c r="O186" s="2">
        <v>556</v>
      </c>
    </row>
    <row r="187" spans="1:16" x14ac:dyDescent="0.35">
      <c r="A187" s="3">
        <v>2022</v>
      </c>
      <c r="B187" s="3">
        <v>11</v>
      </c>
      <c r="C187" s="3">
        <v>4</v>
      </c>
      <c r="D187" s="2">
        <v>104</v>
      </c>
      <c r="E187" s="15">
        <v>4</v>
      </c>
      <c r="F187" s="3" t="s">
        <v>45</v>
      </c>
      <c r="G187" s="3" t="str">
        <f t="shared" si="20"/>
        <v>2011</v>
      </c>
      <c r="H187" s="3">
        <f t="shared" si="18"/>
        <v>11</v>
      </c>
      <c r="I187" s="69"/>
      <c r="J187" s="3" t="s">
        <v>317</v>
      </c>
      <c r="K187" s="3" t="s">
        <v>317</v>
      </c>
      <c r="L187" s="3">
        <v>22.5</v>
      </c>
      <c r="M187" s="3">
        <v>307</v>
      </c>
      <c r="N187" s="3" t="str">
        <f t="shared" si="19"/>
        <v>2007</v>
      </c>
      <c r="O187" s="2">
        <v>104</v>
      </c>
    </row>
    <row r="188" spans="1:16" x14ac:dyDescent="0.35">
      <c r="A188" s="3">
        <v>2022</v>
      </c>
      <c r="B188" s="3">
        <v>11</v>
      </c>
      <c r="C188" s="3">
        <v>1</v>
      </c>
      <c r="D188" s="2">
        <v>366</v>
      </c>
      <c r="E188" s="3">
        <v>4</v>
      </c>
      <c r="F188" s="3" t="s">
        <v>41</v>
      </c>
      <c r="G188" s="3" t="str">
        <f t="shared" si="20"/>
        <v>2013</v>
      </c>
      <c r="H188" s="3">
        <f t="shared" si="18"/>
        <v>9</v>
      </c>
      <c r="I188" s="69"/>
      <c r="J188" s="3" t="s">
        <v>583</v>
      </c>
      <c r="K188" s="3" t="s">
        <v>318</v>
      </c>
      <c r="L188" s="3">
        <v>16.600000000000001</v>
      </c>
      <c r="M188" s="3">
        <v>308</v>
      </c>
      <c r="N188" s="3" t="str">
        <f t="shared" si="19"/>
        <v>2011</v>
      </c>
      <c r="O188" s="2">
        <v>366</v>
      </c>
    </row>
    <row r="189" spans="1:16" x14ac:dyDescent="0.35">
      <c r="A189" s="3">
        <v>2021</v>
      </c>
      <c r="B189" s="3">
        <v>10</v>
      </c>
      <c r="C189" s="3" t="s">
        <v>28</v>
      </c>
      <c r="D189" s="2">
        <v>32</v>
      </c>
      <c r="E189" s="3">
        <v>4</v>
      </c>
      <c r="F189" s="3" t="s">
        <v>41</v>
      </c>
      <c r="G189" s="3" t="str">
        <f t="shared" si="20"/>
        <v>2013</v>
      </c>
      <c r="H189" s="3">
        <f t="shared" si="18"/>
        <v>8</v>
      </c>
      <c r="I189" s="69"/>
      <c r="J189" s="3" t="s">
        <v>318</v>
      </c>
      <c r="K189" s="3" t="s">
        <v>318</v>
      </c>
      <c r="L189" s="3">
        <v>24.7</v>
      </c>
      <c r="M189" s="3">
        <v>309</v>
      </c>
      <c r="N189" s="3" t="str">
        <f t="shared" si="19"/>
        <v>2011</v>
      </c>
      <c r="O189" s="2">
        <v>32</v>
      </c>
    </row>
    <row r="190" spans="1:16" x14ac:dyDescent="0.35">
      <c r="A190" s="3" t="s">
        <v>28</v>
      </c>
      <c r="B190" s="3" t="s">
        <v>28</v>
      </c>
      <c r="C190" s="3" t="s">
        <v>28</v>
      </c>
      <c r="D190" s="2">
        <v>404</v>
      </c>
      <c r="E190" s="3" t="s">
        <v>28</v>
      </c>
      <c r="F190" s="3" t="s">
        <v>28</v>
      </c>
      <c r="G190" s="3" t="b">
        <f t="shared" si="20"/>
        <v>0</v>
      </c>
      <c r="H190" s="3" t="e">
        <f t="shared" si="18"/>
        <v>#VALUE!</v>
      </c>
      <c r="I190" s="69"/>
      <c r="J190" s="3" t="s">
        <v>28</v>
      </c>
      <c r="K190" s="3" t="s">
        <v>28</v>
      </c>
      <c r="L190" s="3">
        <v>17.399999999999999</v>
      </c>
      <c r="M190" s="3">
        <v>309</v>
      </c>
      <c r="N190" s="3" t="b">
        <f t="shared" si="19"/>
        <v>0</v>
      </c>
      <c r="O190" s="2">
        <v>404</v>
      </c>
    </row>
    <row r="191" spans="1:16" x14ac:dyDescent="0.35">
      <c r="A191" s="3">
        <v>2024</v>
      </c>
      <c r="B191" s="3">
        <v>1</v>
      </c>
      <c r="C191" s="3">
        <v>17</v>
      </c>
      <c r="D191" s="2">
        <v>554</v>
      </c>
      <c r="E191" s="3">
        <v>1</v>
      </c>
      <c r="F191" s="3" t="s">
        <v>41</v>
      </c>
      <c r="G191" s="3" t="str">
        <f t="shared" si="20"/>
        <v>2013</v>
      </c>
      <c r="H191" s="3">
        <f t="shared" si="18"/>
        <v>11</v>
      </c>
      <c r="I191" s="69"/>
      <c r="J191" t="s">
        <v>49</v>
      </c>
      <c r="K191" s="3" t="s">
        <v>318</v>
      </c>
      <c r="L191">
        <v>22.6</v>
      </c>
      <c r="M191" s="3">
        <v>309</v>
      </c>
      <c r="N191" s="3" t="str">
        <f t="shared" si="19"/>
        <v>2011</v>
      </c>
      <c r="O191" s="2">
        <v>554</v>
      </c>
    </row>
    <row r="192" spans="1:16" x14ac:dyDescent="0.35">
      <c r="A192" s="3">
        <v>2017</v>
      </c>
      <c r="B192" s="3">
        <v>8</v>
      </c>
      <c r="C192" s="3">
        <v>8</v>
      </c>
      <c r="D192" s="2">
        <v>125</v>
      </c>
      <c r="E192" s="15">
        <v>3</v>
      </c>
      <c r="F192" s="3" t="s">
        <v>45</v>
      </c>
      <c r="G192" s="3" t="str">
        <f t="shared" si="20"/>
        <v>2009</v>
      </c>
      <c r="H192" s="3">
        <f t="shared" si="18"/>
        <v>8</v>
      </c>
      <c r="I192" s="69"/>
      <c r="J192" s="3" t="s">
        <v>512</v>
      </c>
      <c r="K192" s="3" t="s">
        <v>512</v>
      </c>
      <c r="L192" s="3">
        <v>21.2</v>
      </c>
      <c r="M192" s="3">
        <v>310</v>
      </c>
      <c r="N192" s="3" t="str">
        <f t="shared" si="19"/>
        <v>2007</v>
      </c>
      <c r="O192" s="2">
        <v>125</v>
      </c>
    </row>
    <row r="193" spans="1:16" x14ac:dyDescent="0.35">
      <c r="A193" s="3">
        <v>2016</v>
      </c>
      <c r="B193" s="3">
        <v>11</v>
      </c>
      <c r="C193" s="3">
        <v>7</v>
      </c>
      <c r="D193" s="2">
        <v>192</v>
      </c>
      <c r="E193" s="3">
        <v>4</v>
      </c>
      <c r="F193" s="3" t="s">
        <v>45</v>
      </c>
      <c r="G193" s="3" t="str">
        <f t="shared" si="20"/>
        <v>2011</v>
      </c>
      <c r="H193" s="3">
        <f t="shared" si="18"/>
        <v>5</v>
      </c>
      <c r="I193" s="69"/>
      <c r="J193" s="3" t="s">
        <v>644</v>
      </c>
      <c r="K193" s="3" t="s">
        <v>317</v>
      </c>
      <c r="L193" s="3">
        <v>22.3</v>
      </c>
      <c r="M193" s="3">
        <v>310</v>
      </c>
      <c r="N193" s="3" t="str">
        <f t="shared" si="19"/>
        <v>2007</v>
      </c>
      <c r="O193" s="2">
        <v>192</v>
      </c>
    </row>
    <row r="194" spans="1:16" x14ac:dyDescent="0.35">
      <c r="A194" s="3">
        <v>2023</v>
      </c>
      <c r="B194" s="3">
        <v>7</v>
      </c>
      <c r="C194" s="3">
        <v>17</v>
      </c>
      <c r="D194" s="2">
        <v>391</v>
      </c>
      <c r="E194" s="3">
        <v>3</v>
      </c>
      <c r="F194" s="3" t="s">
        <v>45</v>
      </c>
      <c r="G194" s="3" t="str">
        <f t="shared" si="20"/>
        <v>2011</v>
      </c>
      <c r="H194" s="3">
        <f t="shared" ref="H194:H257" si="21">SUM(A194-G194)</f>
        <v>12</v>
      </c>
      <c r="I194" s="69"/>
      <c r="J194" s="3" t="s">
        <v>632</v>
      </c>
      <c r="K194" s="3" t="s">
        <v>317</v>
      </c>
      <c r="L194" s="3">
        <v>20.100000000000001</v>
      </c>
      <c r="M194" s="3">
        <v>310</v>
      </c>
      <c r="N194" s="3" t="str">
        <f t="shared" ref="N194:N257" si="22">IF(F194="PHD", "2007", IF(F194="TSL", "2011", IF(F194 = "SRS", "2018", IF(F194="WCA 3B", "2017", IF(F194="WCA 3A", "2021")))))</f>
        <v>2007</v>
      </c>
      <c r="O194" s="2">
        <v>391</v>
      </c>
    </row>
    <row r="195" spans="1:16" x14ac:dyDescent="0.35">
      <c r="A195" s="3">
        <v>2023</v>
      </c>
      <c r="B195" s="3">
        <v>7</v>
      </c>
      <c r="C195" s="3">
        <v>21</v>
      </c>
      <c r="D195" s="2">
        <v>426</v>
      </c>
      <c r="E195" s="3">
        <v>3</v>
      </c>
      <c r="F195" s="3" t="s">
        <v>20</v>
      </c>
      <c r="G195" s="3" t="str">
        <f t="shared" si="20"/>
        <v>2020</v>
      </c>
      <c r="H195" s="3">
        <f t="shared" si="21"/>
        <v>3</v>
      </c>
      <c r="I195" s="69"/>
      <c r="J195" s="3" t="s">
        <v>231</v>
      </c>
      <c r="K195" s="3">
        <v>8</v>
      </c>
      <c r="L195" s="3">
        <v>2.7</v>
      </c>
      <c r="M195" s="3">
        <v>310</v>
      </c>
      <c r="N195" s="3" t="str">
        <f t="shared" si="22"/>
        <v>2018</v>
      </c>
      <c r="O195" s="2">
        <v>426</v>
      </c>
    </row>
    <row r="196" spans="1:16" x14ac:dyDescent="0.35">
      <c r="A196" s="3">
        <v>2024</v>
      </c>
      <c r="B196" s="3">
        <v>1</v>
      </c>
      <c r="C196" s="3">
        <v>16</v>
      </c>
      <c r="D196" s="2">
        <v>590</v>
      </c>
      <c r="E196" s="3">
        <v>1</v>
      </c>
      <c r="F196" s="3" t="s">
        <v>45</v>
      </c>
      <c r="G196" s="3" t="str">
        <f t="shared" si="20"/>
        <v>2011</v>
      </c>
      <c r="H196" s="3">
        <f t="shared" si="21"/>
        <v>13</v>
      </c>
      <c r="I196" s="69"/>
      <c r="J196" t="s">
        <v>236</v>
      </c>
      <c r="K196" s="3" t="s">
        <v>317</v>
      </c>
      <c r="L196">
        <v>28.6</v>
      </c>
      <c r="M196" s="3">
        <v>310</v>
      </c>
      <c r="N196" s="3" t="str">
        <f t="shared" si="22"/>
        <v>2007</v>
      </c>
      <c r="O196" s="2">
        <v>590</v>
      </c>
    </row>
    <row r="197" spans="1:16" x14ac:dyDescent="0.35">
      <c r="A197" s="3">
        <v>2024</v>
      </c>
      <c r="B197">
        <v>8</v>
      </c>
      <c r="C197" s="3">
        <v>9</v>
      </c>
      <c r="D197" s="2">
        <v>855</v>
      </c>
      <c r="E197" s="3">
        <v>3</v>
      </c>
      <c r="F197" t="s">
        <v>41</v>
      </c>
      <c r="G197" s="3" t="str">
        <f t="shared" si="20"/>
        <v>2013</v>
      </c>
      <c r="H197" s="3">
        <f t="shared" si="21"/>
        <v>11</v>
      </c>
      <c r="I197" s="69"/>
      <c r="J197" t="s">
        <v>42</v>
      </c>
      <c r="K197" t="s">
        <v>318</v>
      </c>
      <c r="L197">
        <v>25.9</v>
      </c>
      <c r="M197" s="3">
        <v>313</v>
      </c>
      <c r="N197" s="3" t="str">
        <f t="shared" si="22"/>
        <v>2011</v>
      </c>
      <c r="O197" s="2">
        <v>855</v>
      </c>
      <c r="P197">
        <v>15.77</v>
      </c>
    </row>
    <row r="198" spans="1:16" x14ac:dyDescent="0.35">
      <c r="A198" s="3">
        <v>2021</v>
      </c>
      <c r="B198" s="3">
        <v>10</v>
      </c>
      <c r="C198" s="3" t="s">
        <v>28</v>
      </c>
      <c r="D198" s="2">
        <v>15</v>
      </c>
      <c r="E198" s="3">
        <v>4</v>
      </c>
      <c r="F198" s="3" t="s">
        <v>41</v>
      </c>
      <c r="G198" s="3" t="str">
        <f t="shared" si="20"/>
        <v>2013</v>
      </c>
      <c r="H198" s="3">
        <f t="shared" si="21"/>
        <v>8</v>
      </c>
      <c r="I198" s="69"/>
      <c r="J198" s="3" t="s">
        <v>458</v>
      </c>
      <c r="K198" s="3" t="s">
        <v>458</v>
      </c>
      <c r="L198" s="3">
        <v>26.4</v>
      </c>
      <c r="M198" s="3">
        <v>313</v>
      </c>
      <c r="N198" s="3" t="str">
        <f t="shared" si="22"/>
        <v>2011</v>
      </c>
      <c r="O198" s="2">
        <v>15</v>
      </c>
    </row>
    <row r="199" spans="1:16" x14ac:dyDescent="0.35">
      <c r="A199" s="3">
        <v>2017</v>
      </c>
      <c r="B199" s="3">
        <v>8</v>
      </c>
      <c r="C199" s="3">
        <v>8</v>
      </c>
      <c r="D199" s="2">
        <v>73</v>
      </c>
      <c r="E199" s="15">
        <v>3</v>
      </c>
      <c r="F199" s="3" t="s">
        <v>45</v>
      </c>
      <c r="G199" s="3" t="str">
        <f t="shared" ref="G199:G262" si="23">IF(K199="A55","2009",IF(K199="A59","2009",IF(K199="A60","2010",IF(K199="A62","2011",IF(K199="CP","2013",IF(K199="MD","2012",IF(K199="TS","2013",IF(K199="DL","2018",IF(K199="SCU","2018",IF(K199="NCU","2018",IF(K199="C1C","2018",IF(K199="C1E","2018",IF(K199="RS1S","2018",IF(K199="C2B","2018",IF(K199="DB3","2018",IF(AND(K199=6,F199="SRS"),"2018",IF(AND(K199=7,F199="SRS"),"2020",IF(AND(K199=8,F199="SRS"),"2020",IF(K199=23,"2019",IF(AND(K199=7,F199="WCA 3B"),"2017",IF(AND(K199=8,F199="WCA 3B"),"2019",IF(K199=1,"2021",IF(K199=2,"2022",IF(K199=3,"2021",IF(K199=4,"2021",IF(K199=5,"2022",IF(AND(K199=6,F199="WCA 3A"),"2022",IF(K199=9,"2023",IF(K199=10,"2023",IF(K199=37,"2020"))))))))))))))))))))))))))))))</f>
        <v>2009</v>
      </c>
      <c r="H199" s="3">
        <f t="shared" si="21"/>
        <v>8</v>
      </c>
      <c r="I199" s="69"/>
      <c r="J199" s="3" t="s">
        <v>512</v>
      </c>
      <c r="K199" s="3" t="s">
        <v>512</v>
      </c>
      <c r="L199" s="3">
        <v>21.8</v>
      </c>
      <c r="M199" s="3">
        <v>313</v>
      </c>
      <c r="N199" s="3" t="str">
        <f t="shared" si="22"/>
        <v>2007</v>
      </c>
      <c r="O199" s="2">
        <v>73</v>
      </c>
    </row>
    <row r="200" spans="1:16" x14ac:dyDescent="0.35">
      <c r="A200" s="3">
        <v>2019</v>
      </c>
      <c r="B200" s="3">
        <v>2</v>
      </c>
      <c r="C200" s="3">
        <v>18</v>
      </c>
      <c r="D200" s="2">
        <v>161</v>
      </c>
      <c r="E200" s="3">
        <v>1</v>
      </c>
      <c r="F200" s="3" t="s">
        <v>41</v>
      </c>
      <c r="G200" s="3" t="str">
        <f t="shared" si="23"/>
        <v>2013</v>
      </c>
      <c r="H200" s="3">
        <f t="shared" si="21"/>
        <v>6</v>
      </c>
      <c r="I200" s="69"/>
      <c r="J200" s="3" t="s">
        <v>608</v>
      </c>
      <c r="K200" s="3" t="s">
        <v>318</v>
      </c>
      <c r="L200" s="3">
        <v>28.2</v>
      </c>
      <c r="M200" s="3">
        <v>313</v>
      </c>
      <c r="N200" s="3" t="str">
        <f t="shared" si="22"/>
        <v>2011</v>
      </c>
      <c r="O200" s="2">
        <v>161</v>
      </c>
    </row>
    <row r="201" spans="1:16" x14ac:dyDescent="0.35">
      <c r="A201" s="3">
        <v>2023</v>
      </c>
      <c r="B201" s="3">
        <v>8</v>
      </c>
      <c r="C201" s="3">
        <v>2</v>
      </c>
      <c r="D201" s="2">
        <v>433</v>
      </c>
      <c r="E201" s="3">
        <v>3</v>
      </c>
      <c r="F201" s="3" t="s">
        <v>225</v>
      </c>
      <c r="G201" s="3" t="str">
        <f t="shared" si="23"/>
        <v>2022</v>
      </c>
      <c r="H201" s="3">
        <f t="shared" si="21"/>
        <v>1</v>
      </c>
      <c r="I201" s="69"/>
      <c r="J201" s="3" t="s">
        <v>67</v>
      </c>
      <c r="K201" s="3">
        <v>2</v>
      </c>
      <c r="L201" s="3">
        <v>25.8</v>
      </c>
      <c r="M201" s="3">
        <v>313</v>
      </c>
      <c r="N201" s="3" t="str">
        <f t="shared" si="22"/>
        <v>2021</v>
      </c>
      <c r="O201" s="2">
        <v>433</v>
      </c>
    </row>
    <row r="202" spans="1:16" x14ac:dyDescent="0.35">
      <c r="A202" s="3">
        <v>2024</v>
      </c>
      <c r="B202" s="3">
        <v>3</v>
      </c>
      <c r="C202" s="3">
        <v>13</v>
      </c>
      <c r="D202" s="2">
        <v>675</v>
      </c>
      <c r="E202" s="3">
        <v>2</v>
      </c>
      <c r="F202" s="3" t="s">
        <v>226</v>
      </c>
      <c r="G202" s="3" t="str">
        <f t="shared" si="23"/>
        <v>2017</v>
      </c>
      <c r="H202" s="3">
        <f t="shared" si="21"/>
        <v>7</v>
      </c>
      <c r="I202" s="69"/>
      <c r="J202" t="s">
        <v>783</v>
      </c>
      <c r="K202">
        <v>7</v>
      </c>
      <c r="L202">
        <v>26.6</v>
      </c>
      <c r="M202" s="3">
        <v>313</v>
      </c>
      <c r="N202" s="3" t="str">
        <f t="shared" si="22"/>
        <v>2017</v>
      </c>
      <c r="O202" s="2">
        <v>675</v>
      </c>
    </row>
    <row r="203" spans="1:16" x14ac:dyDescent="0.35">
      <c r="A203" s="3">
        <v>2017</v>
      </c>
      <c r="B203" s="3">
        <v>11</v>
      </c>
      <c r="C203" s="3">
        <v>8</v>
      </c>
      <c r="D203" s="2">
        <v>67</v>
      </c>
      <c r="E203" s="3">
        <v>4</v>
      </c>
      <c r="F203" s="3" t="s">
        <v>45</v>
      </c>
      <c r="G203" s="3" t="str">
        <f t="shared" si="23"/>
        <v>2009</v>
      </c>
      <c r="H203" s="3">
        <f t="shared" si="21"/>
        <v>8</v>
      </c>
      <c r="I203" s="69"/>
      <c r="J203" s="3" t="s">
        <v>512</v>
      </c>
      <c r="K203" s="3" t="s">
        <v>512</v>
      </c>
      <c r="L203" s="3">
        <v>2.2000000000000002</v>
      </c>
      <c r="M203" s="3">
        <v>314</v>
      </c>
      <c r="N203" s="3" t="str">
        <f t="shared" si="22"/>
        <v>2007</v>
      </c>
      <c r="O203" s="2">
        <v>67</v>
      </c>
    </row>
    <row r="204" spans="1:16" x14ac:dyDescent="0.35">
      <c r="A204" s="3">
        <v>2023</v>
      </c>
      <c r="B204" s="3">
        <v>1</v>
      </c>
      <c r="C204" s="3">
        <v>30</v>
      </c>
      <c r="D204" s="2">
        <v>101</v>
      </c>
      <c r="E204" s="15">
        <v>1</v>
      </c>
      <c r="F204" s="3" t="s">
        <v>225</v>
      </c>
      <c r="G204" s="3" t="str">
        <f t="shared" si="23"/>
        <v>2021</v>
      </c>
      <c r="H204" s="3">
        <f t="shared" si="21"/>
        <v>2</v>
      </c>
      <c r="I204" s="69"/>
      <c r="J204" s="3">
        <v>1</v>
      </c>
      <c r="K204" s="3">
        <v>1</v>
      </c>
      <c r="L204" s="3">
        <v>43.4</v>
      </c>
      <c r="M204" s="3">
        <v>315</v>
      </c>
      <c r="N204" s="3" t="str">
        <f t="shared" si="22"/>
        <v>2021</v>
      </c>
      <c r="O204" s="2">
        <v>101</v>
      </c>
    </row>
    <row r="205" spans="1:16" x14ac:dyDescent="0.35">
      <c r="A205" s="3">
        <v>2023</v>
      </c>
      <c r="B205" s="3">
        <v>11</v>
      </c>
      <c r="C205" s="3">
        <v>8</v>
      </c>
      <c r="D205" s="2">
        <v>526</v>
      </c>
      <c r="E205" s="3">
        <v>4</v>
      </c>
      <c r="F205" s="3" t="s">
        <v>20</v>
      </c>
      <c r="G205" s="3" t="str">
        <f t="shared" si="23"/>
        <v>2020</v>
      </c>
      <c r="H205" s="3">
        <f t="shared" si="21"/>
        <v>3</v>
      </c>
      <c r="I205" s="69"/>
      <c r="J205" s="3" t="s">
        <v>55</v>
      </c>
      <c r="K205" s="3">
        <v>8</v>
      </c>
      <c r="L205" s="3">
        <v>26.9</v>
      </c>
      <c r="M205" s="3">
        <v>315</v>
      </c>
      <c r="N205" s="3" t="str">
        <f t="shared" si="22"/>
        <v>2018</v>
      </c>
      <c r="O205" s="2">
        <v>526</v>
      </c>
    </row>
    <row r="206" spans="1:16" x14ac:dyDescent="0.35">
      <c r="A206" s="3">
        <v>2024</v>
      </c>
      <c r="B206" s="2">
        <v>8</v>
      </c>
      <c r="C206" s="3">
        <v>15</v>
      </c>
      <c r="D206" s="2">
        <v>774</v>
      </c>
      <c r="E206" s="3">
        <v>3</v>
      </c>
      <c r="F206" s="3" t="s">
        <v>225</v>
      </c>
      <c r="G206" s="3" t="str">
        <f t="shared" si="23"/>
        <v>2021</v>
      </c>
      <c r="H206" s="3">
        <f t="shared" si="21"/>
        <v>3</v>
      </c>
      <c r="I206" s="69"/>
      <c r="J206">
        <v>3</v>
      </c>
      <c r="K206">
        <v>3</v>
      </c>
      <c r="L206">
        <v>57.1</v>
      </c>
      <c r="M206" s="3">
        <v>315</v>
      </c>
      <c r="N206" s="3" t="str">
        <f t="shared" si="22"/>
        <v>2021</v>
      </c>
      <c r="O206" s="2">
        <v>774</v>
      </c>
    </row>
    <row r="207" spans="1:16" x14ac:dyDescent="0.35">
      <c r="A207" s="3">
        <v>2017</v>
      </c>
      <c r="B207" s="3">
        <v>8</v>
      </c>
      <c r="C207" s="3">
        <v>8</v>
      </c>
      <c r="D207" s="2">
        <v>75</v>
      </c>
      <c r="E207" s="15">
        <v>3</v>
      </c>
      <c r="F207" s="3" t="s">
        <v>45</v>
      </c>
      <c r="G207" s="3" t="str">
        <f t="shared" si="23"/>
        <v>2009</v>
      </c>
      <c r="H207" s="3">
        <f t="shared" si="21"/>
        <v>8</v>
      </c>
      <c r="I207" s="69"/>
      <c r="J207" s="3" t="s">
        <v>512</v>
      </c>
      <c r="K207" s="3" t="s">
        <v>512</v>
      </c>
      <c r="L207" s="3">
        <v>21.6</v>
      </c>
      <c r="M207" s="3">
        <v>316</v>
      </c>
      <c r="N207" s="3" t="str">
        <f t="shared" si="22"/>
        <v>2007</v>
      </c>
      <c r="O207" s="2">
        <v>75</v>
      </c>
    </row>
    <row r="208" spans="1:16" x14ac:dyDescent="0.35">
      <c r="A208" s="3">
        <v>2024</v>
      </c>
      <c r="B208" s="3">
        <v>8</v>
      </c>
      <c r="C208" s="3">
        <v>14</v>
      </c>
      <c r="D208" s="2">
        <v>722</v>
      </c>
      <c r="E208" s="3">
        <v>3</v>
      </c>
      <c r="F208" s="3" t="s">
        <v>225</v>
      </c>
      <c r="G208" s="3" t="str">
        <f t="shared" si="23"/>
        <v>2021</v>
      </c>
      <c r="H208" s="3">
        <f t="shared" si="21"/>
        <v>3</v>
      </c>
      <c r="I208" s="69"/>
      <c r="J208" t="s">
        <v>1139</v>
      </c>
      <c r="K208">
        <v>4</v>
      </c>
      <c r="L208">
        <v>38.799999999999997</v>
      </c>
      <c r="M208" s="3">
        <v>316</v>
      </c>
      <c r="N208" s="3" t="str">
        <f t="shared" si="22"/>
        <v>2021</v>
      </c>
      <c r="O208" s="2">
        <v>722</v>
      </c>
    </row>
    <row r="209" spans="1:16" x14ac:dyDescent="0.35">
      <c r="A209" s="3">
        <v>2017</v>
      </c>
      <c r="B209" s="3">
        <v>11</v>
      </c>
      <c r="C209" s="3">
        <v>13</v>
      </c>
      <c r="D209" s="2">
        <v>66</v>
      </c>
      <c r="E209" s="3">
        <v>4</v>
      </c>
      <c r="F209" s="3" t="s">
        <v>41</v>
      </c>
      <c r="G209" s="3" t="str">
        <f t="shared" si="23"/>
        <v>2013</v>
      </c>
      <c r="H209" s="3">
        <f t="shared" si="21"/>
        <v>4</v>
      </c>
      <c r="I209" s="69"/>
      <c r="J209" s="3" t="s">
        <v>42</v>
      </c>
      <c r="K209" s="3" t="s">
        <v>318</v>
      </c>
      <c r="L209" s="3">
        <v>26.2</v>
      </c>
      <c r="M209" s="3">
        <v>317</v>
      </c>
      <c r="N209" s="3" t="str">
        <f t="shared" si="22"/>
        <v>2011</v>
      </c>
      <c r="O209" s="2">
        <v>66</v>
      </c>
    </row>
    <row r="210" spans="1:16" x14ac:dyDescent="0.35">
      <c r="A210" s="3">
        <v>2022</v>
      </c>
      <c r="B210" s="3">
        <v>11</v>
      </c>
      <c r="C210" s="3">
        <v>14</v>
      </c>
      <c r="D210" s="2">
        <v>119</v>
      </c>
      <c r="E210" s="15">
        <v>4</v>
      </c>
      <c r="F210" s="3" t="s">
        <v>20</v>
      </c>
      <c r="G210" s="3" t="str">
        <f t="shared" si="23"/>
        <v>2020</v>
      </c>
      <c r="H210" s="3">
        <f t="shared" si="21"/>
        <v>2</v>
      </c>
      <c r="I210" s="69"/>
      <c r="J210" s="3">
        <v>8</v>
      </c>
      <c r="K210" s="3">
        <v>8</v>
      </c>
      <c r="L210" s="3">
        <v>26.3</v>
      </c>
      <c r="M210" s="3">
        <v>317</v>
      </c>
      <c r="N210" s="3" t="str">
        <f t="shared" si="22"/>
        <v>2018</v>
      </c>
      <c r="O210" s="2">
        <v>119</v>
      </c>
    </row>
    <row r="211" spans="1:16" x14ac:dyDescent="0.35">
      <c r="A211" s="3">
        <v>2018</v>
      </c>
      <c r="B211" s="3">
        <v>8</v>
      </c>
      <c r="C211" s="3">
        <v>16</v>
      </c>
      <c r="D211" s="2">
        <v>331</v>
      </c>
      <c r="E211" s="3">
        <v>3</v>
      </c>
      <c r="F211" s="3" t="s">
        <v>45</v>
      </c>
      <c r="G211" s="3" t="str">
        <f t="shared" si="23"/>
        <v>2011</v>
      </c>
      <c r="H211" s="3">
        <f t="shared" si="21"/>
        <v>7</v>
      </c>
      <c r="I211" s="69"/>
      <c r="J211" s="3" t="s">
        <v>632</v>
      </c>
      <c r="K211" s="3" t="s">
        <v>317</v>
      </c>
      <c r="L211" s="3">
        <v>22.4</v>
      </c>
      <c r="M211" s="3">
        <v>317</v>
      </c>
      <c r="N211" s="3" t="str">
        <f t="shared" si="22"/>
        <v>2007</v>
      </c>
      <c r="O211" s="2">
        <v>331</v>
      </c>
    </row>
    <row r="212" spans="1:16" x14ac:dyDescent="0.35">
      <c r="A212" s="3">
        <v>2023</v>
      </c>
      <c r="B212" s="3">
        <v>7</v>
      </c>
      <c r="C212" s="3">
        <v>19</v>
      </c>
      <c r="D212" s="2">
        <v>376</v>
      </c>
      <c r="E212" s="3">
        <v>3</v>
      </c>
      <c r="F212" s="3" t="s">
        <v>41</v>
      </c>
      <c r="G212" s="3" t="str">
        <f t="shared" si="23"/>
        <v>2012</v>
      </c>
      <c r="H212" s="3">
        <f t="shared" si="21"/>
        <v>11</v>
      </c>
      <c r="I212" s="69"/>
      <c r="J212" s="3" t="s">
        <v>544</v>
      </c>
      <c r="K212" s="3" t="s">
        <v>461</v>
      </c>
      <c r="L212" s="3">
        <v>24.8</v>
      </c>
      <c r="M212" s="3">
        <v>317</v>
      </c>
      <c r="N212" s="3" t="str">
        <f t="shared" si="22"/>
        <v>2011</v>
      </c>
      <c r="O212" s="2">
        <v>376</v>
      </c>
    </row>
    <row r="213" spans="1:16" x14ac:dyDescent="0.35">
      <c r="A213" s="3">
        <v>2024</v>
      </c>
      <c r="B213" s="3">
        <v>2</v>
      </c>
      <c r="C213" s="3">
        <v>1</v>
      </c>
      <c r="D213" s="2">
        <v>625</v>
      </c>
      <c r="E213" s="3">
        <v>1</v>
      </c>
      <c r="F213" s="3" t="s">
        <v>226</v>
      </c>
      <c r="G213" s="3" t="str">
        <f t="shared" si="23"/>
        <v>2017</v>
      </c>
      <c r="H213" s="3">
        <f t="shared" si="21"/>
        <v>7</v>
      </c>
      <c r="I213" s="69"/>
      <c r="J213" t="s">
        <v>64</v>
      </c>
      <c r="K213">
        <v>7</v>
      </c>
      <c r="L213">
        <v>27.7</v>
      </c>
      <c r="M213" s="3">
        <v>317</v>
      </c>
      <c r="N213" s="3" t="str">
        <f t="shared" si="22"/>
        <v>2017</v>
      </c>
      <c r="O213" s="2">
        <v>625</v>
      </c>
    </row>
    <row r="214" spans="1:16" x14ac:dyDescent="0.35">
      <c r="A214" s="3">
        <v>2024</v>
      </c>
      <c r="B214" s="3">
        <v>1</v>
      </c>
      <c r="C214" s="3">
        <v>30</v>
      </c>
      <c r="D214" s="2">
        <v>648</v>
      </c>
      <c r="E214" s="3">
        <v>1</v>
      </c>
      <c r="F214" s="3" t="s">
        <v>225</v>
      </c>
      <c r="G214" s="3" t="str">
        <f t="shared" si="23"/>
        <v>2022</v>
      </c>
      <c r="H214" s="3">
        <f t="shared" si="21"/>
        <v>2</v>
      </c>
      <c r="I214" s="69"/>
      <c r="J214" t="s">
        <v>58</v>
      </c>
      <c r="K214">
        <v>2</v>
      </c>
      <c r="L214">
        <v>27.3</v>
      </c>
      <c r="M214" s="3">
        <v>317</v>
      </c>
      <c r="N214" s="3" t="str">
        <f t="shared" si="22"/>
        <v>2021</v>
      </c>
      <c r="O214" s="2">
        <v>648</v>
      </c>
    </row>
    <row r="215" spans="1:16" x14ac:dyDescent="0.35">
      <c r="A215" s="3">
        <v>2024</v>
      </c>
      <c r="B215" s="3">
        <v>3</v>
      </c>
      <c r="C215" s="3">
        <v>13</v>
      </c>
      <c r="D215" s="2">
        <v>672</v>
      </c>
      <c r="E215" s="3">
        <v>2</v>
      </c>
      <c r="F215" s="3" t="s">
        <v>226</v>
      </c>
      <c r="G215" s="3" t="str">
        <f t="shared" si="23"/>
        <v>2017</v>
      </c>
      <c r="H215" s="3">
        <f t="shared" si="21"/>
        <v>7</v>
      </c>
      <c r="I215" s="69"/>
      <c r="J215" t="s">
        <v>783</v>
      </c>
      <c r="K215">
        <v>7</v>
      </c>
      <c r="L215">
        <v>31.3</v>
      </c>
      <c r="M215" s="3">
        <v>317</v>
      </c>
      <c r="N215" s="3" t="str">
        <f t="shared" si="22"/>
        <v>2017</v>
      </c>
      <c r="O215" s="2">
        <v>672</v>
      </c>
    </row>
    <row r="216" spans="1:16" x14ac:dyDescent="0.35">
      <c r="A216" s="3">
        <v>2024</v>
      </c>
      <c r="B216" s="3">
        <v>1</v>
      </c>
      <c r="C216" s="3">
        <v>19</v>
      </c>
      <c r="D216" s="2">
        <v>591</v>
      </c>
      <c r="E216" s="3">
        <v>1</v>
      </c>
      <c r="F216" s="3" t="s">
        <v>41</v>
      </c>
      <c r="G216" s="3" t="str">
        <f t="shared" si="23"/>
        <v>2013</v>
      </c>
      <c r="H216" s="3">
        <f t="shared" si="21"/>
        <v>11</v>
      </c>
      <c r="I216" s="69"/>
      <c r="J216" t="s">
        <v>1035</v>
      </c>
      <c r="K216" t="s">
        <v>318</v>
      </c>
      <c r="L216">
        <v>26.3</v>
      </c>
      <c r="M216" s="3">
        <v>318</v>
      </c>
      <c r="N216" s="3" t="str">
        <f t="shared" si="22"/>
        <v>2011</v>
      </c>
      <c r="O216" s="2">
        <v>591</v>
      </c>
    </row>
    <row r="217" spans="1:16" x14ac:dyDescent="0.35">
      <c r="A217" s="3">
        <v>2024</v>
      </c>
      <c r="B217" s="3">
        <v>2</v>
      </c>
      <c r="C217" s="3">
        <v>23</v>
      </c>
      <c r="D217" s="2">
        <v>630</v>
      </c>
      <c r="E217" s="3">
        <v>1</v>
      </c>
      <c r="F217" s="3" t="s">
        <v>225</v>
      </c>
      <c r="G217" s="3" t="str">
        <f t="shared" si="23"/>
        <v>2022</v>
      </c>
      <c r="H217" s="3">
        <f t="shared" si="21"/>
        <v>2</v>
      </c>
      <c r="I217" s="69"/>
      <c r="J217" t="s">
        <v>21</v>
      </c>
      <c r="K217" s="3">
        <v>2</v>
      </c>
      <c r="L217">
        <v>30.9</v>
      </c>
      <c r="M217" s="3">
        <v>318</v>
      </c>
      <c r="N217" s="3" t="str">
        <f t="shared" si="22"/>
        <v>2021</v>
      </c>
      <c r="O217" s="2">
        <v>630</v>
      </c>
    </row>
    <row r="218" spans="1:16" x14ac:dyDescent="0.35">
      <c r="A218" s="3">
        <v>2012</v>
      </c>
      <c r="B218" s="3">
        <v>10</v>
      </c>
      <c r="C218" s="3">
        <v>5</v>
      </c>
      <c r="D218" s="2">
        <v>624</v>
      </c>
      <c r="E218" s="3">
        <v>4</v>
      </c>
      <c r="F218" s="3" t="s">
        <v>45</v>
      </c>
      <c r="G218" s="3" t="str">
        <f t="shared" si="23"/>
        <v>2009</v>
      </c>
      <c r="H218" s="3">
        <f t="shared" si="21"/>
        <v>3</v>
      </c>
      <c r="I218" s="69"/>
      <c r="J218" t="s">
        <v>1062</v>
      </c>
      <c r="K218" s="3" t="s">
        <v>512</v>
      </c>
      <c r="L218">
        <v>24.9</v>
      </c>
      <c r="M218" s="3">
        <v>319</v>
      </c>
      <c r="N218" s="3" t="str">
        <f t="shared" si="22"/>
        <v>2007</v>
      </c>
      <c r="O218" s="2">
        <v>624</v>
      </c>
      <c r="P218">
        <v>18.3</v>
      </c>
    </row>
    <row r="219" spans="1:16" x14ac:dyDescent="0.35">
      <c r="A219" s="3">
        <v>2023</v>
      </c>
      <c r="B219" s="3">
        <v>10</v>
      </c>
      <c r="C219" s="3">
        <v>31</v>
      </c>
      <c r="D219" s="2">
        <v>544</v>
      </c>
      <c r="E219" s="3">
        <v>4</v>
      </c>
      <c r="F219" s="3" t="s">
        <v>225</v>
      </c>
      <c r="G219" s="3" t="str">
        <f t="shared" si="23"/>
        <v>2022</v>
      </c>
      <c r="H219" s="3">
        <f t="shared" si="21"/>
        <v>1</v>
      </c>
      <c r="I219" s="69"/>
      <c r="J219" t="s">
        <v>67</v>
      </c>
      <c r="K219" s="3">
        <v>2</v>
      </c>
      <c r="L219" s="3">
        <v>27</v>
      </c>
      <c r="M219" s="3">
        <v>319</v>
      </c>
      <c r="N219" s="3" t="str">
        <f t="shared" si="22"/>
        <v>2021</v>
      </c>
      <c r="O219" s="2">
        <v>544</v>
      </c>
    </row>
    <row r="220" spans="1:16" x14ac:dyDescent="0.35">
      <c r="A220" s="3">
        <v>2016</v>
      </c>
      <c r="B220" s="3">
        <v>9</v>
      </c>
      <c r="C220" s="3">
        <v>1</v>
      </c>
      <c r="D220" s="2">
        <v>265</v>
      </c>
      <c r="E220" s="3">
        <v>3</v>
      </c>
      <c r="F220" s="3" t="s">
        <v>45</v>
      </c>
      <c r="G220" s="3" t="str">
        <f t="shared" si="23"/>
        <v>2011</v>
      </c>
      <c r="H220" s="3">
        <f t="shared" si="21"/>
        <v>5</v>
      </c>
      <c r="I220" s="69"/>
      <c r="J220" s="3" t="s">
        <v>718</v>
      </c>
      <c r="K220" s="3" t="s">
        <v>317</v>
      </c>
      <c r="L220" s="3">
        <v>2.6</v>
      </c>
      <c r="M220" s="3">
        <v>320</v>
      </c>
      <c r="N220" s="3" t="str">
        <f t="shared" si="22"/>
        <v>2007</v>
      </c>
      <c r="O220" s="2">
        <v>265</v>
      </c>
      <c r="P220">
        <v>12.5</v>
      </c>
    </row>
    <row r="221" spans="1:16" x14ac:dyDescent="0.35">
      <c r="A221" s="3">
        <v>2016</v>
      </c>
      <c r="B221" s="3">
        <v>9</v>
      </c>
      <c r="C221" s="3">
        <v>1</v>
      </c>
      <c r="D221" s="2">
        <v>237</v>
      </c>
      <c r="E221" s="3">
        <v>3</v>
      </c>
      <c r="F221" s="3" t="s">
        <v>45</v>
      </c>
      <c r="G221" s="3" t="str">
        <f t="shared" si="23"/>
        <v>2011</v>
      </c>
      <c r="H221" s="3">
        <f t="shared" si="21"/>
        <v>5</v>
      </c>
      <c r="I221" s="69"/>
      <c r="J221" s="3" t="s">
        <v>647</v>
      </c>
      <c r="K221" s="3" t="s">
        <v>317</v>
      </c>
      <c r="L221" s="3">
        <v>26.9</v>
      </c>
      <c r="M221" s="3">
        <v>320</v>
      </c>
      <c r="N221" s="3" t="str">
        <f t="shared" si="22"/>
        <v>2007</v>
      </c>
      <c r="O221" s="2">
        <v>237</v>
      </c>
    </row>
    <row r="222" spans="1:16" x14ac:dyDescent="0.35">
      <c r="A222" s="3">
        <v>2023</v>
      </c>
      <c r="B222" s="3">
        <v>8</v>
      </c>
      <c r="C222" s="3">
        <v>1</v>
      </c>
      <c r="D222" s="2">
        <v>427</v>
      </c>
      <c r="E222" s="3">
        <v>3</v>
      </c>
      <c r="F222" s="3" t="s">
        <v>225</v>
      </c>
      <c r="G222" s="3" t="str">
        <f t="shared" si="23"/>
        <v>2022</v>
      </c>
      <c r="H222" s="3">
        <f t="shared" si="21"/>
        <v>1</v>
      </c>
      <c r="I222" s="69"/>
      <c r="J222" s="3" t="s">
        <v>235</v>
      </c>
      <c r="K222" s="3">
        <v>5</v>
      </c>
      <c r="L222" s="3">
        <v>26.9</v>
      </c>
      <c r="M222" s="3">
        <v>320</v>
      </c>
      <c r="N222" s="3" t="str">
        <f t="shared" si="22"/>
        <v>2021</v>
      </c>
      <c r="O222" s="2">
        <v>427</v>
      </c>
    </row>
    <row r="223" spans="1:16" x14ac:dyDescent="0.35">
      <c r="A223" s="3">
        <v>2023</v>
      </c>
      <c r="B223" s="3">
        <v>11</v>
      </c>
      <c r="C223" s="3">
        <v>3</v>
      </c>
      <c r="D223" s="2">
        <v>507</v>
      </c>
      <c r="E223" s="3">
        <v>4</v>
      </c>
      <c r="F223" s="3" t="s">
        <v>226</v>
      </c>
      <c r="G223" s="3" t="str">
        <f t="shared" si="23"/>
        <v>2017</v>
      </c>
      <c r="H223" s="3">
        <f t="shared" si="21"/>
        <v>6</v>
      </c>
      <c r="I223" s="69"/>
      <c r="J223" s="3" t="s">
        <v>783</v>
      </c>
      <c r="K223" s="3">
        <v>7</v>
      </c>
      <c r="L223" s="3">
        <v>28.3</v>
      </c>
      <c r="M223" s="3">
        <v>320</v>
      </c>
      <c r="N223" s="3" t="str">
        <f t="shared" si="22"/>
        <v>2017</v>
      </c>
      <c r="O223" s="2">
        <v>507</v>
      </c>
    </row>
    <row r="224" spans="1:16" x14ac:dyDescent="0.35">
      <c r="A224" s="3">
        <v>2024</v>
      </c>
      <c r="B224" s="3">
        <v>8</v>
      </c>
      <c r="C224" s="3">
        <v>19</v>
      </c>
      <c r="D224" s="2">
        <v>747</v>
      </c>
      <c r="E224" s="3">
        <v>3</v>
      </c>
      <c r="F224" s="3" t="s">
        <v>225</v>
      </c>
      <c r="G224" s="3" t="str">
        <f t="shared" si="23"/>
        <v>2021</v>
      </c>
      <c r="H224" s="3">
        <f t="shared" si="21"/>
        <v>3</v>
      </c>
      <c r="I224" s="69"/>
      <c r="J224">
        <v>3</v>
      </c>
      <c r="K224">
        <v>3</v>
      </c>
      <c r="L224">
        <v>43</v>
      </c>
      <c r="M224" s="3">
        <v>320</v>
      </c>
      <c r="N224" s="3" t="str">
        <f t="shared" si="22"/>
        <v>2021</v>
      </c>
      <c r="O224" s="2">
        <v>747</v>
      </c>
    </row>
    <row r="225" spans="1:15" x14ac:dyDescent="0.35">
      <c r="A225" s="3">
        <v>2024</v>
      </c>
      <c r="B225" s="3">
        <v>2</v>
      </c>
      <c r="C225" s="3">
        <v>1</v>
      </c>
      <c r="D225" s="2">
        <v>626</v>
      </c>
      <c r="E225" s="3">
        <v>1</v>
      </c>
      <c r="F225" s="3" t="s">
        <v>226</v>
      </c>
      <c r="G225" s="3" t="str">
        <f t="shared" si="23"/>
        <v>2017</v>
      </c>
      <c r="H225" s="3">
        <f t="shared" si="21"/>
        <v>7</v>
      </c>
      <c r="I225" s="69"/>
      <c r="J225" t="s">
        <v>64</v>
      </c>
      <c r="K225">
        <v>7</v>
      </c>
      <c r="L225">
        <v>26</v>
      </c>
      <c r="M225" s="3">
        <v>321</v>
      </c>
      <c r="N225" s="3" t="str">
        <f t="shared" si="22"/>
        <v>2017</v>
      </c>
      <c r="O225" s="2">
        <v>626</v>
      </c>
    </row>
    <row r="226" spans="1:15" x14ac:dyDescent="0.35">
      <c r="A226" s="3">
        <v>2016</v>
      </c>
      <c r="B226" s="3">
        <v>9</v>
      </c>
      <c r="C226" s="3">
        <v>1</v>
      </c>
      <c r="D226" s="2">
        <v>259</v>
      </c>
      <c r="E226" s="3">
        <v>3</v>
      </c>
      <c r="F226" s="3" t="s">
        <v>45</v>
      </c>
      <c r="G226" s="3" t="str">
        <f t="shared" si="23"/>
        <v>2011</v>
      </c>
      <c r="H226" s="3">
        <f t="shared" si="21"/>
        <v>5</v>
      </c>
      <c r="I226" s="69"/>
      <c r="J226" s="3" t="s">
        <v>718</v>
      </c>
      <c r="K226" s="3" t="s">
        <v>317</v>
      </c>
      <c r="L226" s="3">
        <v>24.4</v>
      </c>
      <c r="M226" s="3">
        <v>322</v>
      </c>
      <c r="N226" s="3" t="str">
        <f t="shared" si="22"/>
        <v>2007</v>
      </c>
      <c r="O226" s="2">
        <v>259</v>
      </c>
    </row>
    <row r="227" spans="1:15" x14ac:dyDescent="0.35">
      <c r="A227" s="3">
        <v>2024</v>
      </c>
      <c r="B227" s="3">
        <v>6</v>
      </c>
      <c r="C227" s="3">
        <v>19</v>
      </c>
      <c r="D227" s="2">
        <v>803</v>
      </c>
      <c r="E227" s="3">
        <v>3</v>
      </c>
      <c r="F227" s="3" t="s">
        <v>225</v>
      </c>
      <c r="G227" s="3" t="str">
        <f t="shared" si="23"/>
        <v>2021</v>
      </c>
      <c r="H227" s="3">
        <f t="shared" si="21"/>
        <v>3</v>
      </c>
      <c r="I227" s="69"/>
      <c r="J227" t="s">
        <v>1162</v>
      </c>
      <c r="K227">
        <v>3</v>
      </c>
      <c r="L227">
        <v>30.9</v>
      </c>
      <c r="M227" s="3">
        <v>322</v>
      </c>
      <c r="N227" s="3" t="str">
        <f t="shared" si="22"/>
        <v>2021</v>
      </c>
      <c r="O227" s="2">
        <v>803</v>
      </c>
    </row>
    <row r="228" spans="1:15" x14ac:dyDescent="0.35">
      <c r="A228" s="3">
        <v>2023</v>
      </c>
      <c r="B228" s="3">
        <v>2</v>
      </c>
      <c r="C228" s="3">
        <v>10</v>
      </c>
      <c r="D228" s="2">
        <v>142</v>
      </c>
      <c r="E228" s="15">
        <v>1</v>
      </c>
      <c r="F228" s="3" t="s">
        <v>41</v>
      </c>
      <c r="G228" s="3" t="str">
        <f t="shared" si="23"/>
        <v>2013</v>
      </c>
      <c r="H228" s="3">
        <f t="shared" si="21"/>
        <v>10</v>
      </c>
      <c r="I228" s="69"/>
      <c r="J228" s="3" t="s">
        <v>91</v>
      </c>
      <c r="K228" s="3" t="s">
        <v>318</v>
      </c>
      <c r="L228" s="3">
        <v>20.399999999999999</v>
      </c>
      <c r="M228" s="3">
        <v>323</v>
      </c>
      <c r="N228" s="3" t="str">
        <f t="shared" si="22"/>
        <v>2011</v>
      </c>
      <c r="O228" s="2">
        <v>142</v>
      </c>
    </row>
    <row r="229" spans="1:15" x14ac:dyDescent="0.35">
      <c r="A229" s="3">
        <v>2016</v>
      </c>
      <c r="B229" s="3">
        <v>9</v>
      </c>
      <c r="C229" s="3">
        <v>2</v>
      </c>
      <c r="D229" s="2">
        <v>217</v>
      </c>
      <c r="E229" s="3">
        <v>3</v>
      </c>
      <c r="F229" s="3" t="s">
        <v>41</v>
      </c>
      <c r="G229" s="3" t="str">
        <f t="shared" si="23"/>
        <v>2013</v>
      </c>
      <c r="H229" s="3">
        <f t="shared" si="21"/>
        <v>3</v>
      </c>
      <c r="I229" s="69"/>
      <c r="J229" s="3" t="s">
        <v>49</v>
      </c>
      <c r="K229" s="3" t="s">
        <v>318</v>
      </c>
      <c r="L229" s="3">
        <v>28.1</v>
      </c>
      <c r="M229" s="3">
        <v>323</v>
      </c>
      <c r="N229" s="3" t="str">
        <f t="shared" si="22"/>
        <v>2011</v>
      </c>
      <c r="O229" s="2">
        <v>217</v>
      </c>
    </row>
    <row r="230" spans="1:15" x14ac:dyDescent="0.35">
      <c r="A230" s="3">
        <v>2024</v>
      </c>
      <c r="B230" s="3">
        <v>1</v>
      </c>
      <c r="C230" s="3">
        <v>16</v>
      </c>
      <c r="D230" s="2">
        <v>571</v>
      </c>
      <c r="E230" s="3">
        <v>1</v>
      </c>
      <c r="F230" s="3" t="s">
        <v>45</v>
      </c>
      <c r="G230" s="3" t="str">
        <f t="shared" si="23"/>
        <v>2011</v>
      </c>
      <c r="H230" s="3">
        <f t="shared" si="21"/>
        <v>13</v>
      </c>
      <c r="I230" s="69"/>
      <c r="J230" t="s">
        <v>615</v>
      </c>
      <c r="K230" s="3" t="s">
        <v>317</v>
      </c>
      <c r="L230">
        <v>33.700000000000003</v>
      </c>
      <c r="M230" s="3">
        <v>323</v>
      </c>
      <c r="N230" s="3" t="str">
        <f t="shared" si="22"/>
        <v>2007</v>
      </c>
      <c r="O230" s="2">
        <v>571</v>
      </c>
    </row>
    <row r="231" spans="1:15" x14ac:dyDescent="0.35">
      <c r="A231" s="3">
        <v>2021</v>
      </c>
      <c r="B231" s="3" t="s">
        <v>28</v>
      </c>
      <c r="C231" s="3" t="s">
        <v>28</v>
      </c>
      <c r="D231" s="2">
        <v>14</v>
      </c>
      <c r="E231" s="3" t="s">
        <v>28</v>
      </c>
      <c r="F231" s="3" t="s">
        <v>45</v>
      </c>
      <c r="G231" s="3" t="str">
        <f t="shared" si="23"/>
        <v>2011</v>
      </c>
      <c r="H231" s="3">
        <f t="shared" si="21"/>
        <v>10</v>
      </c>
      <c r="I231" s="69"/>
      <c r="J231" s="3" t="s">
        <v>317</v>
      </c>
      <c r="K231" s="3" t="s">
        <v>317</v>
      </c>
      <c r="L231" s="3">
        <v>26.6</v>
      </c>
      <c r="M231" s="3">
        <v>324</v>
      </c>
      <c r="N231" s="3" t="str">
        <f t="shared" si="22"/>
        <v>2007</v>
      </c>
      <c r="O231" s="2">
        <v>14</v>
      </c>
    </row>
    <row r="232" spans="1:15" x14ac:dyDescent="0.35">
      <c r="A232" s="3">
        <v>2021</v>
      </c>
      <c r="B232" s="3">
        <v>10</v>
      </c>
      <c r="C232" s="3">
        <v>11</v>
      </c>
      <c r="D232" s="2">
        <v>471</v>
      </c>
      <c r="E232" s="3">
        <v>4</v>
      </c>
      <c r="F232" s="3" t="s">
        <v>226</v>
      </c>
      <c r="G232" s="3" t="str">
        <f t="shared" si="23"/>
        <v>2018</v>
      </c>
      <c r="H232" s="3">
        <f t="shared" si="21"/>
        <v>3</v>
      </c>
      <c r="I232" s="69"/>
      <c r="J232" s="3" t="s">
        <v>51</v>
      </c>
      <c r="K232" s="3" t="s">
        <v>927</v>
      </c>
      <c r="L232" s="16">
        <v>25</v>
      </c>
      <c r="M232" s="3">
        <v>324</v>
      </c>
      <c r="N232" s="3" t="str">
        <f t="shared" si="22"/>
        <v>2017</v>
      </c>
      <c r="O232" s="2">
        <v>471</v>
      </c>
    </row>
    <row r="233" spans="1:15" x14ac:dyDescent="0.35">
      <c r="A233" s="3">
        <v>2023</v>
      </c>
      <c r="B233" s="3">
        <v>11</v>
      </c>
      <c r="C233" s="3">
        <v>17</v>
      </c>
      <c r="D233" s="2">
        <v>513</v>
      </c>
      <c r="E233" s="3">
        <v>4</v>
      </c>
      <c r="F233" s="3" t="s">
        <v>225</v>
      </c>
      <c r="G233" s="3" t="str">
        <f t="shared" si="23"/>
        <v>2022</v>
      </c>
      <c r="H233" s="3">
        <f t="shared" si="21"/>
        <v>1</v>
      </c>
      <c r="I233" s="69"/>
      <c r="J233" s="3" t="s">
        <v>896</v>
      </c>
      <c r="K233" s="3">
        <v>5</v>
      </c>
      <c r="L233" s="3">
        <v>37.1</v>
      </c>
      <c r="M233" s="3">
        <v>324</v>
      </c>
      <c r="N233" s="3" t="str">
        <f t="shared" si="22"/>
        <v>2021</v>
      </c>
      <c r="O233" s="2">
        <v>513</v>
      </c>
    </row>
    <row r="234" spans="1:15" x14ac:dyDescent="0.35">
      <c r="A234" s="3">
        <v>2024</v>
      </c>
      <c r="B234" s="3">
        <v>4</v>
      </c>
      <c r="C234" s="3">
        <v>8</v>
      </c>
      <c r="D234" s="2">
        <v>657</v>
      </c>
      <c r="E234" s="3">
        <v>2</v>
      </c>
      <c r="F234" s="3" t="s">
        <v>225</v>
      </c>
      <c r="G234" s="3" t="str">
        <f t="shared" si="23"/>
        <v>2021</v>
      </c>
      <c r="H234" s="3">
        <f t="shared" si="21"/>
        <v>3</v>
      </c>
      <c r="I234" s="69"/>
      <c r="J234" t="s">
        <v>1076</v>
      </c>
      <c r="K234" s="3">
        <v>3</v>
      </c>
      <c r="L234">
        <v>18.899999999999999</v>
      </c>
      <c r="M234" s="3">
        <v>324</v>
      </c>
      <c r="N234" s="3" t="str">
        <f t="shared" si="22"/>
        <v>2021</v>
      </c>
      <c r="O234" s="2">
        <v>657</v>
      </c>
    </row>
    <row r="235" spans="1:15" x14ac:dyDescent="0.35">
      <c r="A235" s="3">
        <v>2019</v>
      </c>
      <c r="B235" s="3">
        <v>11</v>
      </c>
      <c r="C235" s="3">
        <v>27</v>
      </c>
      <c r="D235" s="2">
        <v>51</v>
      </c>
      <c r="E235" s="3">
        <v>4</v>
      </c>
      <c r="F235" s="3" t="s">
        <v>45</v>
      </c>
      <c r="G235" s="3" t="str">
        <f t="shared" si="23"/>
        <v>2009</v>
      </c>
      <c r="H235" s="3">
        <f t="shared" si="21"/>
        <v>10</v>
      </c>
      <c r="I235" s="69"/>
      <c r="J235" s="3" t="s">
        <v>488</v>
      </c>
      <c r="K235" s="3" t="s">
        <v>488</v>
      </c>
      <c r="L235" s="3">
        <v>25.7</v>
      </c>
      <c r="M235" s="3">
        <v>325</v>
      </c>
      <c r="N235" s="3" t="str">
        <f t="shared" si="22"/>
        <v>2007</v>
      </c>
      <c r="O235" s="2">
        <v>51</v>
      </c>
    </row>
    <row r="236" spans="1:15" x14ac:dyDescent="0.35">
      <c r="A236" s="3">
        <v>2024</v>
      </c>
      <c r="B236" s="3">
        <v>3</v>
      </c>
      <c r="C236" s="3">
        <v>28</v>
      </c>
      <c r="D236" s="2">
        <v>661</v>
      </c>
      <c r="E236" s="3">
        <v>2</v>
      </c>
      <c r="F236" s="3" t="s">
        <v>41</v>
      </c>
      <c r="G236" s="3" t="str">
        <f t="shared" si="23"/>
        <v>2013</v>
      </c>
      <c r="H236" s="3">
        <f t="shared" si="21"/>
        <v>11</v>
      </c>
      <c r="I236" s="69"/>
      <c r="J236" t="s">
        <v>42</v>
      </c>
      <c r="K236" t="s">
        <v>318</v>
      </c>
      <c r="L236">
        <v>29.8</v>
      </c>
      <c r="M236" s="3">
        <v>325</v>
      </c>
      <c r="N236" s="3" t="str">
        <f t="shared" si="22"/>
        <v>2011</v>
      </c>
      <c r="O236" s="2">
        <v>661</v>
      </c>
    </row>
    <row r="237" spans="1:15" x14ac:dyDescent="0.35">
      <c r="A237" s="3">
        <v>2024</v>
      </c>
      <c r="B237" s="3">
        <v>8</v>
      </c>
      <c r="C237" s="3">
        <v>19</v>
      </c>
      <c r="D237" s="2">
        <v>756</v>
      </c>
      <c r="E237" s="3">
        <v>3</v>
      </c>
      <c r="F237" s="3" t="s">
        <v>225</v>
      </c>
      <c r="G237" s="3" t="str">
        <f t="shared" si="23"/>
        <v>2021</v>
      </c>
      <c r="H237" s="3">
        <f t="shared" si="21"/>
        <v>3</v>
      </c>
      <c r="I237" s="69"/>
      <c r="J237">
        <v>3</v>
      </c>
      <c r="K237">
        <v>3</v>
      </c>
      <c r="L237">
        <v>37.4</v>
      </c>
      <c r="M237" s="3">
        <v>325</v>
      </c>
      <c r="N237" s="3" t="str">
        <f t="shared" si="22"/>
        <v>2021</v>
      </c>
      <c r="O237" s="2">
        <v>756</v>
      </c>
    </row>
    <row r="238" spans="1:15" x14ac:dyDescent="0.35">
      <c r="A238" s="3">
        <v>2024</v>
      </c>
      <c r="B238">
        <v>8</v>
      </c>
      <c r="C238">
        <v>20</v>
      </c>
      <c r="D238" s="2">
        <v>833</v>
      </c>
      <c r="E238" s="3">
        <v>3</v>
      </c>
      <c r="F238" s="3" t="s">
        <v>226</v>
      </c>
      <c r="G238" s="3" t="str">
        <f t="shared" si="23"/>
        <v>2017</v>
      </c>
      <c r="H238" s="3">
        <f t="shared" si="21"/>
        <v>7</v>
      </c>
      <c r="I238" s="69"/>
      <c r="J238" t="s">
        <v>64</v>
      </c>
      <c r="K238">
        <v>7</v>
      </c>
      <c r="L238">
        <v>28.8</v>
      </c>
      <c r="M238" s="3">
        <v>325</v>
      </c>
      <c r="N238" s="3" t="str">
        <f t="shared" si="22"/>
        <v>2017</v>
      </c>
      <c r="O238" s="2">
        <v>833</v>
      </c>
    </row>
    <row r="239" spans="1:15" x14ac:dyDescent="0.35">
      <c r="A239" s="3">
        <v>2024</v>
      </c>
      <c r="B239" s="3">
        <v>2</v>
      </c>
      <c r="C239" s="3">
        <v>23</v>
      </c>
      <c r="D239" s="2">
        <v>633</v>
      </c>
      <c r="E239" s="3">
        <v>1</v>
      </c>
      <c r="F239" s="3" t="s">
        <v>225</v>
      </c>
      <c r="G239" s="3" t="str">
        <f t="shared" si="23"/>
        <v>2022</v>
      </c>
      <c r="H239" s="3">
        <f t="shared" si="21"/>
        <v>2</v>
      </c>
      <c r="I239" s="69"/>
      <c r="J239" t="s">
        <v>21</v>
      </c>
      <c r="K239" s="3">
        <v>2</v>
      </c>
      <c r="L239">
        <v>13.4</v>
      </c>
      <c r="M239" s="3">
        <v>326</v>
      </c>
      <c r="N239" s="3" t="str">
        <f t="shared" si="22"/>
        <v>2021</v>
      </c>
      <c r="O239" s="2">
        <v>633</v>
      </c>
    </row>
    <row r="240" spans="1:15" x14ac:dyDescent="0.35">
      <c r="A240" s="3">
        <v>2022</v>
      </c>
      <c r="B240" s="3">
        <v>11</v>
      </c>
      <c r="C240" s="3">
        <v>4</v>
      </c>
      <c r="D240" s="2">
        <v>105</v>
      </c>
      <c r="E240" s="15">
        <v>4</v>
      </c>
      <c r="F240" s="3" t="s">
        <v>45</v>
      </c>
      <c r="G240" s="3" t="str">
        <f t="shared" si="23"/>
        <v>2011</v>
      </c>
      <c r="H240" s="3">
        <f t="shared" si="21"/>
        <v>11</v>
      </c>
      <c r="I240" s="69"/>
      <c r="J240" s="3" t="s">
        <v>317</v>
      </c>
      <c r="K240" s="3" t="s">
        <v>317</v>
      </c>
      <c r="L240" s="3">
        <v>27.8</v>
      </c>
      <c r="M240" s="3">
        <v>327</v>
      </c>
      <c r="N240" s="3" t="str">
        <f t="shared" si="22"/>
        <v>2007</v>
      </c>
      <c r="O240" s="2">
        <v>105</v>
      </c>
    </row>
    <row r="241" spans="1:25" x14ac:dyDescent="0.35">
      <c r="A241" s="3">
        <v>2017</v>
      </c>
      <c r="B241" s="3">
        <v>8</v>
      </c>
      <c r="C241" s="3">
        <v>14</v>
      </c>
      <c r="D241" s="2">
        <v>131</v>
      </c>
      <c r="E241" s="15">
        <v>3</v>
      </c>
      <c r="F241" s="3" t="s">
        <v>45</v>
      </c>
      <c r="G241" s="3" t="str">
        <f t="shared" si="23"/>
        <v>2011</v>
      </c>
      <c r="H241" s="3">
        <f t="shared" si="21"/>
        <v>6</v>
      </c>
      <c r="I241" s="69"/>
      <c r="J241" s="3" t="s">
        <v>317</v>
      </c>
      <c r="K241" s="3" t="s">
        <v>317</v>
      </c>
      <c r="L241" s="3">
        <v>28.7</v>
      </c>
      <c r="M241" s="3">
        <v>327</v>
      </c>
      <c r="N241" s="3" t="str">
        <f t="shared" si="22"/>
        <v>2007</v>
      </c>
      <c r="O241" s="2">
        <v>131</v>
      </c>
    </row>
    <row r="242" spans="1:25" x14ac:dyDescent="0.35">
      <c r="A242" s="3">
        <v>2023</v>
      </c>
      <c r="B242" s="3">
        <v>7</v>
      </c>
      <c r="C242" s="3">
        <v>28</v>
      </c>
      <c r="D242" s="2">
        <v>436</v>
      </c>
      <c r="E242" s="3">
        <v>3</v>
      </c>
      <c r="F242" s="3" t="s">
        <v>225</v>
      </c>
      <c r="G242" s="3" t="str">
        <f t="shared" si="23"/>
        <v>2021</v>
      </c>
      <c r="H242" s="3">
        <f t="shared" si="21"/>
        <v>2</v>
      </c>
      <c r="I242" s="69"/>
      <c r="J242" s="3" t="s">
        <v>898</v>
      </c>
      <c r="K242" s="3">
        <v>4</v>
      </c>
      <c r="L242" s="3">
        <v>21.7</v>
      </c>
      <c r="M242" s="3">
        <v>327</v>
      </c>
      <c r="N242" s="3" t="str">
        <f t="shared" si="22"/>
        <v>2021</v>
      </c>
      <c r="O242" s="2">
        <v>436</v>
      </c>
    </row>
    <row r="243" spans="1:25" x14ac:dyDescent="0.35">
      <c r="A243" s="3">
        <v>2024</v>
      </c>
      <c r="B243" s="3">
        <v>4</v>
      </c>
      <c r="C243" s="3">
        <v>8</v>
      </c>
      <c r="D243" s="2">
        <v>658</v>
      </c>
      <c r="E243" s="3">
        <v>2</v>
      </c>
      <c r="F243" s="3" t="s">
        <v>225</v>
      </c>
      <c r="G243" s="3" t="str">
        <f t="shared" si="23"/>
        <v>2021</v>
      </c>
      <c r="H243" s="3">
        <f t="shared" si="21"/>
        <v>3</v>
      </c>
      <c r="I243" s="69"/>
      <c r="J243" t="s">
        <v>1076</v>
      </c>
      <c r="K243" s="3">
        <v>3</v>
      </c>
      <c r="L243">
        <v>34.299999999999997</v>
      </c>
      <c r="M243" s="3">
        <v>328</v>
      </c>
      <c r="N243" s="3" t="str">
        <f t="shared" si="22"/>
        <v>2021</v>
      </c>
      <c r="O243" s="2">
        <v>658</v>
      </c>
      <c r="T243">
        <v>13.36</v>
      </c>
    </row>
    <row r="244" spans="1:25" x14ac:dyDescent="0.35">
      <c r="A244" s="3">
        <v>2024</v>
      </c>
      <c r="B244" s="3">
        <v>3</v>
      </c>
      <c r="C244" s="3">
        <v>29</v>
      </c>
      <c r="D244" s="2">
        <v>664</v>
      </c>
      <c r="E244" s="3">
        <v>2</v>
      </c>
      <c r="F244" s="3" t="s">
        <v>41</v>
      </c>
      <c r="G244" s="3" t="str">
        <f t="shared" si="23"/>
        <v>2012</v>
      </c>
      <c r="H244" s="3">
        <f t="shared" si="21"/>
        <v>12</v>
      </c>
      <c r="I244" s="69"/>
      <c r="J244" t="s">
        <v>551</v>
      </c>
      <c r="K244" t="s">
        <v>461</v>
      </c>
      <c r="L244">
        <v>42.7</v>
      </c>
      <c r="M244" s="3">
        <v>328</v>
      </c>
      <c r="N244" s="3" t="str">
        <f t="shared" si="22"/>
        <v>2011</v>
      </c>
      <c r="O244" s="2">
        <v>664</v>
      </c>
    </row>
    <row r="245" spans="1:25" x14ac:dyDescent="0.35">
      <c r="A245" s="3">
        <v>2024</v>
      </c>
      <c r="B245">
        <v>8</v>
      </c>
      <c r="C245" s="3">
        <v>15</v>
      </c>
      <c r="D245" s="2">
        <v>832</v>
      </c>
      <c r="E245" s="3">
        <v>3</v>
      </c>
      <c r="F245" s="3" t="s">
        <v>225</v>
      </c>
      <c r="G245" s="3" t="str">
        <f t="shared" si="23"/>
        <v>2021</v>
      </c>
      <c r="H245" s="3">
        <f t="shared" si="21"/>
        <v>3</v>
      </c>
      <c r="I245" s="69"/>
      <c r="J245" t="s">
        <v>237</v>
      </c>
      <c r="K245">
        <v>3</v>
      </c>
      <c r="L245">
        <v>27</v>
      </c>
      <c r="M245" s="3">
        <v>328</v>
      </c>
      <c r="N245" s="3" t="str">
        <f t="shared" si="22"/>
        <v>2021</v>
      </c>
      <c r="O245" s="2">
        <v>832</v>
      </c>
    </row>
    <row r="246" spans="1:25" x14ac:dyDescent="0.35">
      <c r="A246" s="3">
        <v>2024</v>
      </c>
      <c r="B246" s="3">
        <v>2</v>
      </c>
      <c r="C246" s="3">
        <v>23</v>
      </c>
      <c r="D246" s="2">
        <v>632</v>
      </c>
      <c r="E246" s="3">
        <v>1</v>
      </c>
      <c r="F246" s="3" t="s">
        <v>225</v>
      </c>
      <c r="G246" s="3" t="str">
        <f t="shared" si="23"/>
        <v>2022</v>
      </c>
      <c r="H246" s="3">
        <f t="shared" si="21"/>
        <v>2</v>
      </c>
      <c r="I246" s="69"/>
      <c r="J246" t="s">
        <v>21</v>
      </c>
      <c r="K246" s="3">
        <v>2</v>
      </c>
      <c r="L246">
        <v>35.1</v>
      </c>
      <c r="M246" s="3">
        <v>329</v>
      </c>
      <c r="N246" s="3" t="str">
        <f t="shared" si="22"/>
        <v>2021</v>
      </c>
      <c r="O246" s="2">
        <v>632</v>
      </c>
      <c r="Y246">
        <v>19.68</v>
      </c>
    </row>
    <row r="247" spans="1:25" x14ac:dyDescent="0.35">
      <c r="A247" s="3">
        <v>2016</v>
      </c>
      <c r="B247" s="3">
        <v>11</v>
      </c>
      <c r="C247" s="3">
        <v>16</v>
      </c>
      <c r="D247" s="2">
        <v>202</v>
      </c>
      <c r="E247" s="3">
        <v>4</v>
      </c>
      <c r="F247" s="3" t="s">
        <v>41</v>
      </c>
      <c r="G247" s="3" t="str">
        <f t="shared" si="23"/>
        <v>2013</v>
      </c>
      <c r="H247" s="3">
        <f t="shared" si="21"/>
        <v>3</v>
      </c>
      <c r="I247" s="69"/>
      <c r="J247" s="3" t="s">
        <v>42</v>
      </c>
      <c r="K247" s="3" t="s">
        <v>318</v>
      </c>
      <c r="L247" s="3">
        <v>29.7</v>
      </c>
      <c r="M247" s="3">
        <v>330</v>
      </c>
      <c r="N247" s="3" t="str">
        <f t="shared" si="22"/>
        <v>2011</v>
      </c>
      <c r="O247" s="2">
        <v>202</v>
      </c>
    </row>
    <row r="248" spans="1:25" x14ac:dyDescent="0.35">
      <c r="A248" s="3">
        <v>2016</v>
      </c>
      <c r="B248" s="3">
        <v>11</v>
      </c>
      <c r="C248" s="3">
        <v>16</v>
      </c>
      <c r="D248" s="2">
        <v>202</v>
      </c>
      <c r="E248" s="3">
        <v>4</v>
      </c>
      <c r="F248" s="3" t="s">
        <v>41</v>
      </c>
      <c r="G248" s="3" t="str">
        <f t="shared" si="23"/>
        <v>2013</v>
      </c>
      <c r="H248" s="3">
        <f t="shared" si="21"/>
        <v>3</v>
      </c>
      <c r="I248" s="69"/>
      <c r="J248" s="3" t="s">
        <v>42</v>
      </c>
      <c r="K248" s="3" t="s">
        <v>318</v>
      </c>
      <c r="L248" s="3">
        <v>29.7</v>
      </c>
      <c r="M248" s="3">
        <v>330</v>
      </c>
      <c r="N248" s="3" t="str">
        <f t="shared" si="22"/>
        <v>2011</v>
      </c>
      <c r="O248" s="2">
        <v>202</v>
      </c>
    </row>
    <row r="249" spans="1:25" x14ac:dyDescent="0.35">
      <c r="A249" s="3">
        <v>2016</v>
      </c>
      <c r="B249" s="3">
        <v>11</v>
      </c>
      <c r="C249" s="3">
        <v>7</v>
      </c>
      <c r="D249" s="2">
        <v>211</v>
      </c>
      <c r="E249" s="3">
        <v>4</v>
      </c>
      <c r="F249" s="3" t="s">
        <v>45</v>
      </c>
      <c r="G249" s="3" t="str">
        <f t="shared" si="23"/>
        <v>2009</v>
      </c>
      <c r="H249" s="3">
        <f t="shared" si="21"/>
        <v>7</v>
      </c>
      <c r="I249" s="69"/>
      <c r="J249" s="3" t="s">
        <v>667</v>
      </c>
      <c r="K249" s="3" t="s">
        <v>512</v>
      </c>
      <c r="L249" s="3">
        <v>3.1</v>
      </c>
      <c r="M249" s="3">
        <v>330</v>
      </c>
      <c r="N249" s="3" t="str">
        <f t="shared" si="22"/>
        <v>2007</v>
      </c>
      <c r="O249" s="2">
        <v>211</v>
      </c>
    </row>
    <row r="250" spans="1:25" x14ac:dyDescent="0.35">
      <c r="A250" s="3">
        <v>2024</v>
      </c>
      <c r="B250" s="3">
        <v>1</v>
      </c>
      <c r="C250" s="3">
        <v>19</v>
      </c>
      <c r="D250" s="2">
        <v>597</v>
      </c>
      <c r="E250" s="3">
        <v>1</v>
      </c>
      <c r="F250" s="3" t="s">
        <v>41</v>
      </c>
      <c r="G250" s="3" t="str">
        <f t="shared" si="23"/>
        <v>2012</v>
      </c>
      <c r="H250" s="3">
        <f t="shared" si="21"/>
        <v>12</v>
      </c>
      <c r="I250" s="69"/>
      <c r="J250" t="s">
        <v>541</v>
      </c>
      <c r="K250" s="3" t="s">
        <v>461</v>
      </c>
      <c r="L250">
        <v>32.9</v>
      </c>
      <c r="M250" s="3">
        <v>330</v>
      </c>
      <c r="N250" s="3" t="str">
        <f t="shared" si="22"/>
        <v>2011</v>
      </c>
      <c r="O250" s="2">
        <v>597</v>
      </c>
    </row>
    <row r="251" spans="1:25" x14ac:dyDescent="0.35">
      <c r="A251" s="3">
        <v>2023</v>
      </c>
      <c r="B251" s="3">
        <v>8</v>
      </c>
      <c r="C251" s="3">
        <v>2</v>
      </c>
      <c r="D251" s="2">
        <v>422</v>
      </c>
      <c r="E251" s="3">
        <v>3</v>
      </c>
      <c r="F251" s="3" t="s">
        <v>226</v>
      </c>
      <c r="G251" s="3" t="str">
        <f t="shared" si="23"/>
        <v>2017</v>
      </c>
      <c r="H251" s="3">
        <f t="shared" si="21"/>
        <v>6</v>
      </c>
      <c r="I251" s="69"/>
      <c r="J251" s="3" t="s">
        <v>64</v>
      </c>
      <c r="K251" s="3">
        <v>7</v>
      </c>
      <c r="L251" s="3">
        <v>32.9</v>
      </c>
      <c r="M251" s="3">
        <v>330.20000000000005</v>
      </c>
      <c r="N251" s="3" t="str">
        <f t="shared" si="22"/>
        <v>2017</v>
      </c>
      <c r="O251" s="2">
        <v>422</v>
      </c>
    </row>
    <row r="252" spans="1:25" x14ac:dyDescent="0.35">
      <c r="A252" s="3">
        <v>2024</v>
      </c>
      <c r="B252" s="3">
        <v>1</v>
      </c>
      <c r="C252" s="3">
        <v>30</v>
      </c>
      <c r="D252" s="2">
        <v>627</v>
      </c>
      <c r="E252" s="3">
        <v>1</v>
      </c>
      <c r="F252" s="3" t="s">
        <v>225</v>
      </c>
      <c r="G252" s="3" t="str">
        <f t="shared" si="23"/>
        <v>2022</v>
      </c>
      <c r="H252" s="3">
        <f t="shared" si="21"/>
        <v>2</v>
      </c>
      <c r="I252" s="69"/>
      <c r="J252" t="s">
        <v>67</v>
      </c>
      <c r="K252">
        <v>2</v>
      </c>
      <c r="L252">
        <v>29.8</v>
      </c>
      <c r="M252" s="3">
        <v>332</v>
      </c>
      <c r="N252" s="3" t="str">
        <f t="shared" si="22"/>
        <v>2021</v>
      </c>
      <c r="O252" s="2">
        <v>627</v>
      </c>
    </row>
    <row r="253" spans="1:25" x14ac:dyDescent="0.35">
      <c r="A253" s="3">
        <v>2024</v>
      </c>
      <c r="B253" s="3">
        <v>1</v>
      </c>
      <c r="C253" s="3">
        <v>24</v>
      </c>
      <c r="D253" s="2">
        <v>573</v>
      </c>
      <c r="E253" s="3">
        <v>1</v>
      </c>
      <c r="F253" s="3" t="s">
        <v>20</v>
      </c>
      <c r="G253" s="3" t="str">
        <f t="shared" si="23"/>
        <v>2019</v>
      </c>
      <c r="H253" s="3">
        <f t="shared" si="21"/>
        <v>5</v>
      </c>
      <c r="I253" s="69"/>
      <c r="J253" t="s">
        <v>232</v>
      </c>
      <c r="K253">
        <v>23</v>
      </c>
      <c r="L253">
        <v>33.4</v>
      </c>
      <c r="M253" s="3">
        <v>333</v>
      </c>
      <c r="N253" s="3" t="str">
        <f t="shared" si="22"/>
        <v>2018</v>
      </c>
      <c r="O253" s="2">
        <v>573</v>
      </c>
    </row>
    <row r="254" spans="1:25" x14ac:dyDescent="0.35">
      <c r="A254" s="3">
        <v>2024</v>
      </c>
      <c r="B254" s="3">
        <v>1</v>
      </c>
      <c r="C254" s="3">
        <v>16</v>
      </c>
      <c r="D254" s="2">
        <v>594</v>
      </c>
      <c r="E254" s="3">
        <v>1</v>
      </c>
      <c r="F254" s="3" t="s">
        <v>45</v>
      </c>
      <c r="G254" s="3" t="str">
        <f t="shared" si="23"/>
        <v>2011</v>
      </c>
      <c r="H254" s="3">
        <f t="shared" si="21"/>
        <v>13</v>
      </c>
      <c r="I254" s="69"/>
      <c r="J254" t="s">
        <v>990</v>
      </c>
      <c r="K254" s="3" t="s">
        <v>317</v>
      </c>
      <c r="L254">
        <v>30.6</v>
      </c>
      <c r="M254" s="3">
        <v>334</v>
      </c>
      <c r="N254" s="3" t="str">
        <f t="shared" si="22"/>
        <v>2007</v>
      </c>
      <c r="O254" s="2">
        <v>594</v>
      </c>
    </row>
    <row r="255" spans="1:25" x14ac:dyDescent="0.35">
      <c r="A255" s="3">
        <v>2024</v>
      </c>
      <c r="B255" s="3">
        <v>8</v>
      </c>
      <c r="C255" s="3">
        <v>19</v>
      </c>
      <c r="D255" s="2">
        <v>745</v>
      </c>
      <c r="E255" s="3">
        <v>3</v>
      </c>
      <c r="F255" s="3" t="s">
        <v>225</v>
      </c>
      <c r="G255" s="3" t="str">
        <f t="shared" si="23"/>
        <v>2021</v>
      </c>
      <c r="H255" s="3">
        <f t="shared" si="21"/>
        <v>3</v>
      </c>
      <c r="I255" s="69"/>
      <c r="J255">
        <v>3</v>
      </c>
      <c r="K255">
        <v>3</v>
      </c>
      <c r="L255">
        <v>36.799999999999997</v>
      </c>
      <c r="M255" s="3">
        <v>334</v>
      </c>
      <c r="N255" s="3" t="str">
        <f t="shared" si="22"/>
        <v>2021</v>
      </c>
      <c r="O255" s="2">
        <v>745</v>
      </c>
    </row>
    <row r="256" spans="1:25" x14ac:dyDescent="0.35">
      <c r="A256" s="3">
        <v>2023</v>
      </c>
      <c r="B256" s="3">
        <v>7</v>
      </c>
      <c r="C256" s="3">
        <v>31</v>
      </c>
      <c r="D256" s="2">
        <v>451</v>
      </c>
      <c r="E256" s="3">
        <v>3</v>
      </c>
      <c r="F256" s="3" t="s">
        <v>225</v>
      </c>
      <c r="G256" s="3" t="str">
        <f t="shared" si="23"/>
        <v>2021</v>
      </c>
      <c r="H256" s="3">
        <f t="shared" si="21"/>
        <v>2</v>
      </c>
      <c r="I256" s="69"/>
      <c r="J256" s="3" t="s">
        <v>237</v>
      </c>
      <c r="K256" s="3">
        <v>3</v>
      </c>
      <c r="L256" s="3">
        <v>38.799999999999997</v>
      </c>
      <c r="M256" s="3">
        <v>335</v>
      </c>
      <c r="N256" s="3" t="str">
        <f t="shared" si="22"/>
        <v>2021</v>
      </c>
      <c r="O256" s="2">
        <v>451</v>
      </c>
    </row>
    <row r="257" spans="1:15" x14ac:dyDescent="0.35">
      <c r="A257" s="3">
        <v>2023</v>
      </c>
      <c r="B257" s="3">
        <v>8</v>
      </c>
      <c r="C257" s="3">
        <v>11</v>
      </c>
      <c r="D257" s="2">
        <v>505</v>
      </c>
      <c r="E257" s="3">
        <v>3</v>
      </c>
      <c r="F257" s="3" t="s">
        <v>20</v>
      </c>
      <c r="G257" s="3" t="str">
        <f t="shared" si="23"/>
        <v>2020</v>
      </c>
      <c r="H257" s="3">
        <f t="shared" si="21"/>
        <v>3</v>
      </c>
      <c r="I257" s="69"/>
      <c r="J257" s="3" t="s">
        <v>233</v>
      </c>
      <c r="K257" s="3">
        <v>37</v>
      </c>
      <c r="L257" s="3">
        <v>36.9</v>
      </c>
      <c r="M257" s="3">
        <v>335</v>
      </c>
      <c r="N257" s="3" t="str">
        <f t="shared" si="22"/>
        <v>2018</v>
      </c>
      <c r="O257" s="2">
        <v>505</v>
      </c>
    </row>
    <row r="258" spans="1:15" x14ac:dyDescent="0.35">
      <c r="A258" s="3">
        <v>2023</v>
      </c>
      <c r="B258" s="3">
        <v>11</v>
      </c>
      <c r="C258" s="3">
        <v>3</v>
      </c>
      <c r="D258" s="2">
        <v>533</v>
      </c>
      <c r="E258" s="3">
        <v>4</v>
      </c>
      <c r="F258" s="3" t="s">
        <v>225</v>
      </c>
      <c r="G258" s="3" t="str">
        <f t="shared" si="23"/>
        <v>2022</v>
      </c>
      <c r="H258" s="3">
        <f t="shared" ref="H258:H321" si="24">SUM(A258-G258)</f>
        <v>1</v>
      </c>
      <c r="I258" s="69"/>
      <c r="J258" s="3">
        <v>2</v>
      </c>
      <c r="K258" s="3">
        <v>2</v>
      </c>
      <c r="L258" s="3">
        <v>31.7</v>
      </c>
      <c r="M258" s="3">
        <v>335</v>
      </c>
      <c r="N258" s="3" t="str">
        <f t="shared" ref="N258:N321" si="25">IF(F258="PHD", "2007", IF(F258="TSL", "2011", IF(F258 = "SRS", "2018", IF(F258="WCA 3B", "2017", IF(F258="WCA 3A", "2021")))))</f>
        <v>2021</v>
      </c>
      <c r="O258" s="2">
        <v>533</v>
      </c>
    </row>
    <row r="259" spans="1:15" x14ac:dyDescent="0.35">
      <c r="A259" s="3">
        <v>2024</v>
      </c>
      <c r="B259" s="3">
        <v>4</v>
      </c>
      <c r="C259" s="3">
        <v>8</v>
      </c>
      <c r="D259" s="2">
        <v>676</v>
      </c>
      <c r="E259" s="3">
        <v>2</v>
      </c>
      <c r="F259" s="3" t="s">
        <v>225</v>
      </c>
      <c r="G259" s="3" t="str">
        <f t="shared" si="23"/>
        <v>2021</v>
      </c>
      <c r="H259" s="3">
        <f t="shared" si="24"/>
        <v>3</v>
      </c>
      <c r="I259" s="69"/>
      <c r="J259" t="s">
        <v>237</v>
      </c>
      <c r="K259">
        <v>3</v>
      </c>
      <c r="L259">
        <v>39.1</v>
      </c>
      <c r="M259" s="3">
        <v>335</v>
      </c>
      <c r="N259" s="3" t="str">
        <f t="shared" si="25"/>
        <v>2021</v>
      </c>
      <c r="O259" s="2">
        <v>676</v>
      </c>
    </row>
    <row r="260" spans="1:15" x14ac:dyDescent="0.35">
      <c r="A260" s="3">
        <v>2024</v>
      </c>
      <c r="B260" s="3">
        <v>8</v>
      </c>
      <c r="C260" s="3">
        <v>20</v>
      </c>
      <c r="D260" s="2">
        <v>762</v>
      </c>
      <c r="E260" s="3">
        <v>3</v>
      </c>
      <c r="F260" s="3" t="s">
        <v>226</v>
      </c>
      <c r="G260" s="3" t="str">
        <f t="shared" si="23"/>
        <v>2017</v>
      </c>
      <c r="H260" s="3">
        <f t="shared" si="24"/>
        <v>7</v>
      </c>
      <c r="I260" s="69"/>
      <c r="J260" s="6" t="s">
        <v>228</v>
      </c>
      <c r="K260">
        <v>7</v>
      </c>
      <c r="L260">
        <v>29.2</v>
      </c>
      <c r="M260" s="3">
        <v>335</v>
      </c>
      <c r="N260" s="3" t="str">
        <f t="shared" si="25"/>
        <v>2017</v>
      </c>
      <c r="O260" s="2">
        <v>762</v>
      </c>
    </row>
    <row r="261" spans="1:15" x14ac:dyDescent="0.35">
      <c r="A261" s="3">
        <v>2024</v>
      </c>
      <c r="B261" s="3">
        <v>6</v>
      </c>
      <c r="C261" s="3">
        <v>19</v>
      </c>
      <c r="D261" s="2">
        <v>802</v>
      </c>
      <c r="E261" s="3">
        <v>3</v>
      </c>
      <c r="F261" s="3" t="s">
        <v>225</v>
      </c>
      <c r="G261" s="3" t="str">
        <f t="shared" si="23"/>
        <v>2021</v>
      </c>
      <c r="H261" s="3">
        <f t="shared" si="24"/>
        <v>3</v>
      </c>
      <c r="I261" s="69"/>
      <c r="J261" t="s">
        <v>1162</v>
      </c>
      <c r="K261">
        <v>3</v>
      </c>
      <c r="L261">
        <v>33.4</v>
      </c>
      <c r="M261" s="3">
        <v>335</v>
      </c>
      <c r="N261" s="3" t="str">
        <f t="shared" si="25"/>
        <v>2021</v>
      </c>
      <c r="O261" s="2">
        <v>802</v>
      </c>
    </row>
    <row r="262" spans="1:15" x14ac:dyDescent="0.35">
      <c r="A262" s="3">
        <v>2024</v>
      </c>
      <c r="B262">
        <v>8</v>
      </c>
      <c r="C262" s="3">
        <v>19</v>
      </c>
      <c r="D262" s="2">
        <v>815</v>
      </c>
      <c r="E262" s="3">
        <v>3</v>
      </c>
      <c r="F262" s="3" t="s">
        <v>225</v>
      </c>
      <c r="G262" s="3" t="str">
        <f t="shared" si="23"/>
        <v>2021</v>
      </c>
      <c r="H262" s="3">
        <f t="shared" si="24"/>
        <v>3</v>
      </c>
      <c r="I262" s="69"/>
      <c r="J262">
        <v>3</v>
      </c>
      <c r="K262">
        <v>3</v>
      </c>
      <c r="L262">
        <v>37.799999999999997</v>
      </c>
      <c r="M262" s="3">
        <v>335</v>
      </c>
      <c r="N262" s="3" t="str">
        <f t="shared" si="25"/>
        <v>2021</v>
      </c>
      <c r="O262" s="2">
        <v>815</v>
      </c>
    </row>
    <row r="263" spans="1:15" x14ac:dyDescent="0.35">
      <c r="A263" s="3">
        <v>2023</v>
      </c>
      <c r="B263" s="3">
        <v>11</v>
      </c>
      <c r="C263" s="3">
        <v>17</v>
      </c>
      <c r="D263" s="2">
        <v>512</v>
      </c>
      <c r="E263" s="3">
        <v>4</v>
      </c>
      <c r="F263" s="3" t="s">
        <v>225</v>
      </c>
      <c r="G263" s="3" t="str">
        <f t="shared" ref="G263:G326" si="26">IF(K263="A55","2009",IF(K263="A59","2009",IF(K263="A60","2010",IF(K263="A62","2011",IF(K263="CP","2013",IF(K263="MD","2012",IF(K263="TS","2013",IF(K263="DL","2018",IF(K263="SCU","2018",IF(K263="NCU","2018",IF(K263="C1C","2018",IF(K263="C1E","2018",IF(K263="RS1S","2018",IF(K263="C2B","2018",IF(K263="DB3","2018",IF(AND(K263=6,F263="SRS"),"2018",IF(AND(K263=7,F263="SRS"),"2020",IF(AND(K263=8,F263="SRS"),"2020",IF(K263=23,"2019",IF(AND(K263=7,F263="WCA 3B"),"2017",IF(AND(K263=8,F263="WCA 3B"),"2019",IF(K263=1,"2021",IF(K263=2,"2022",IF(K263=3,"2021",IF(K263=4,"2021",IF(K263=5,"2022",IF(AND(K263=6,F263="WCA 3A"),"2022",IF(K263=9,"2023",IF(K263=10,"2023",IF(K263=37,"2020"))))))))))))))))))))))))))))))</f>
        <v>2022</v>
      </c>
      <c r="H263" s="3">
        <f t="shared" si="24"/>
        <v>1</v>
      </c>
      <c r="I263" s="69"/>
      <c r="J263" s="3" t="s">
        <v>896</v>
      </c>
      <c r="K263" s="3">
        <v>5</v>
      </c>
      <c r="L263" s="3">
        <v>35.799999999999997</v>
      </c>
      <c r="M263" s="3">
        <v>337</v>
      </c>
      <c r="N263" s="3" t="str">
        <f t="shared" si="25"/>
        <v>2021</v>
      </c>
      <c r="O263" s="2">
        <v>512</v>
      </c>
    </row>
    <row r="264" spans="1:15" x14ac:dyDescent="0.35">
      <c r="A264" s="3">
        <v>2024</v>
      </c>
      <c r="B264" s="3">
        <v>8</v>
      </c>
      <c r="C264" s="3">
        <v>19</v>
      </c>
      <c r="D264" s="2">
        <v>809</v>
      </c>
      <c r="E264" s="3">
        <v>3</v>
      </c>
      <c r="F264" s="3" t="s">
        <v>225</v>
      </c>
      <c r="G264" s="3" t="str">
        <f t="shared" si="26"/>
        <v>2021</v>
      </c>
      <c r="H264" s="3">
        <f t="shared" si="24"/>
        <v>3</v>
      </c>
      <c r="I264" s="69"/>
      <c r="J264">
        <v>3</v>
      </c>
      <c r="K264">
        <v>3</v>
      </c>
      <c r="L264">
        <v>49.8</v>
      </c>
      <c r="M264" s="3">
        <v>337</v>
      </c>
      <c r="N264" s="3" t="str">
        <f t="shared" si="25"/>
        <v>2021</v>
      </c>
      <c r="O264" s="2">
        <v>809</v>
      </c>
    </row>
    <row r="265" spans="1:15" x14ac:dyDescent="0.35">
      <c r="A265" s="3">
        <v>2017</v>
      </c>
      <c r="B265" s="3">
        <v>8</v>
      </c>
      <c r="C265" s="3">
        <v>8</v>
      </c>
      <c r="D265" s="2">
        <v>84</v>
      </c>
      <c r="E265" s="15">
        <v>3</v>
      </c>
      <c r="F265" s="3" t="s">
        <v>45</v>
      </c>
      <c r="G265" s="3" t="str">
        <f t="shared" si="26"/>
        <v>2009</v>
      </c>
      <c r="H265" s="3">
        <f t="shared" si="24"/>
        <v>8</v>
      </c>
      <c r="I265" s="69"/>
      <c r="J265" s="3" t="s">
        <v>512</v>
      </c>
      <c r="K265" s="3" t="s">
        <v>512</v>
      </c>
      <c r="L265" s="3">
        <v>29.7</v>
      </c>
      <c r="M265" s="3">
        <v>338</v>
      </c>
      <c r="N265" s="3" t="str">
        <f t="shared" si="25"/>
        <v>2007</v>
      </c>
      <c r="O265" s="2">
        <v>84</v>
      </c>
    </row>
    <row r="266" spans="1:15" x14ac:dyDescent="0.35">
      <c r="A266" s="3">
        <v>2017</v>
      </c>
      <c r="B266" s="3">
        <v>8</v>
      </c>
      <c r="C266" s="3">
        <v>3</v>
      </c>
      <c r="D266" s="2">
        <v>139</v>
      </c>
      <c r="E266" s="15">
        <v>3</v>
      </c>
      <c r="F266" s="3" t="s">
        <v>41</v>
      </c>
      <c r="G266" s="3" t="str">
        <f t="shared" si="26"/>
        <v>2013</v>
      </c>
      <c r="H266" s="3">
        <f t="shared" si="24"/>
        <v>4</v>
      </c>
      <c r="I266" s="69"/>
      <c r="J266" s="3" t="s">
        <v>583</v>
      </c>
      <c r="K266" s="3" t="s">
        <v>318</v>
      </c>
      <c r="L266" s="3">
        <v>28.7</v>
      </c>
      <c r="M266" s="3">
        <v>338</v>
      </c>
      <c r="N266" s="3" t="str">
        <f t="shared" si="25"/>
        <v>2011</v>
      </c>
      <c r="O266" s="2">
        <v>139</v>
      </c>
    </row>
    <row r="267" spans="1:15" x14ac:dyDescent="0.35">
      <c r="A267" s="3">
        <v>2018</v>
      </c>
      <c r="B267" s="3">
        <v>8</v>
      </c>
      <c r="C267" s="3">
        <v>6</v>
      </c>
      <c r="D267" s="2">
        <v>273</v>
      </c>
      <c r="E267" s="3">
        <v>3</v>
      </c>
      <c r="F267" s="3" t="s">
        <v>41</v>
      </c>
      <c r="G267" s="3" t="str">
        <f t="shared" si="26"/>
        <v>2012</v>
      </c>
      <c r="H267" s="3">
        <f t="shared" si="24"/>
        <v>6</v>
      </c>
      <c r="I267" s="69"/>
      <c r="J267" s="3" t="s">
        <v>551</v>
      </c>
      <c r="K267" s="3" t="s">
        <v>461</v>
      </c>
      <c r="L267" s="3">
        <v>27.2</v>
      </c>
      <c r="M267" s="3">
        <v>338</v>
      </c>
      <c r="N267" s="3" t="str">
        <f t="shared" si="25"/>
        <v>2011</v>
      </c>
      <c r="O267" s="2">
        <v>273</v>
      </c>
    </row>
    <row r="268" spans="1:15" x14ac:dyDescent="0.35">
      <c r="A268" s="3">
        <v>2023</v>
      </c>
      <c r="B268" s="3">
        <v>7</v>
      </c>
      <c r="C268" s="3">
        <v>31</v>
      </c>
      <c r="D268" s="2">
        <v>457</v>
      </c>
      <c r="E268" s="3">
        <v>3</v>
      </c>
      <c r="F268" s="3" t="s">
        <v>225</v>
      </c>
      <c r="G268" s="3" t="str">
        <f t="shared" si="26"/>
        <v>2022</v>
      </c>
      <c r="H268" s="3">
        <f t="shared" si="24"/>
        <v>1</v>
      </c>
      <c r="I268" s="69"/>
      <c r="J268" s="3" t="s">
        <v>83</v>
      </c>
      <c r="K268" s="3">
        <v>2</v>
      </c>
      <c r="L268" s="3">
        <v>35.1</v>
      </c>
      <c r="M268" s="3">
        <v>338</v>
      </c>
      <c r="N268" s="3" t="str">
        <f t="shared" si="25"/>
        <v>2021</v>
      </c>
      <c r="O268" s="2">
        <v>457</v>
      </c>
    </row>
    <row r="269" spans="1:15" x14ac:dyDescent="0.35">
      <c r="A269" s="3">
        <v>2024</v>
      </c>
      <c r="B269" s="3">
        <v>1</v>
      </c>
      <c r="C269" s="3">
        <v>16</v>
      </c>
      <c r="D269" s="2">
        <v>593</v>
      </c>
      <c r="E269" s="3">
        <v>1</v>
      </c>
      <c r="F269" s="3" t="s">
        <v>45</v>
      </c>
      <c r="G269" s="3" t="str">
        <f t="shared" si="26"/>
        <v>2011</v>
      </c>
      <c r="H269" s="3">
        <f t="shared" si="24"/>
        <v>13</v>
      </c>
      <c r="I269" s="69"/>
      <c r="J269" t="s">
        <v>990</v>
      </c>
      <c r="K269" s="3" t="s">
        <v>317</v>
      </c>
      <c r="L269">
        <v>36</v>
      </c>
      <c r="M269" s="3">
        <v>338</v>
      </c>
      <c r="N269" s="3" t="str">
        <f t="shared" si="25"/>
        <v>2007</v>
      </c>
      <c r="O269" s="2">
        <v>593</v>
      </c>
    </row>
    <row r="270" spans="1:15" x14ac:dyDescent="0.35">
      <c r="A270" s="3">
        <v>2024</v>
      </c>
      <c r="B270" s="3">
        <v>3</v>
      </c>
      <c r="C270" s="3">
        <v>24</v>
      </c>
      <c r="D270" s="2">
        <v>670</v>
      </c>
      <c r="E270" s="3">
        <v>2</v>
      </c>
      <c r="F270" s="3" t="s">
        <v>41</v>
      </c>
      <c r="G270" s="3" t="str">
        <f t="shared" si="26"/>
        <v>2012</v>
      </c>
      <c r="H270" s="3">
        <f t="shared" si="24"/>
        <v>12</v>
      </c>
      <c r="I270" s="69"/>
      <c r="J270" t="s">
        <v>544</v>
      </c>
      <c r="K270" t="s">
        <v>461</v>
      </c>
      <c r="L270">
        <v>52.2</v>
      </c>
      <c r="M270" s="3">
        <v>338</v>
      </c>
      <c r="N270" s="3" t="str">
        <f t="shared" si="25"/>
        <v>2011</v>
      </c>
      <c r="O270" s="2">
        <v>670</v>
      </c>
    </row>
    <row r="271" spans="1:15" x14ac:dyDescent="0.35">
      <c r="A271" s="3">
        <v>2024</v>
      </c>
      <c r="B271" s="3">
        <v>1</v>
      </c>
      <c r="C271" s="3">
        <v>18</v>
      </c>
      <c r="D271" s="2">
        <v>557</v>
      </c>
      <c r="E271" s="3">
        <v>1</v>
      </c>
      <c r="F271" s="3" t="s">
        <v>41</v>
      </c>
      <c r="G271" s="3" t="str">
        <f t="shared" si="26"/>
        <v>2013</v>
      </c>
      <c r="H271" s="3">
        <f t="shared" si="24"/>
        <v>11</v>
      </c>
      <c r="I271" s="69"/>
      <c r="J271" t="s">
        <v>583</v>
      </c>
      <c r="K271" s="3" t="s">
        <v>318</v>
      </c>
      <c r="L271">
        <v>33.5</v>
      </c>
      <c r="M271" s="3">
        <v>339</v>
      </c>
      <c r="N271" s="3" t="str">
        <f t="shared" si="25"/>
        <v>2011</v>
      </c>
      <c r="O271" s="2">
        <v>557</v>
      </c>
    </row>
    <row r="272" spans="1:15" x14ac:dyDescent="0.35">
      <c r="A272" s="3">
        <v>2024</v>
      </c>
      <c r="B272">
        <v>8</v>
      </c>
      <c r="C272" s="3">
        <v>19</v>
      </c>
      <c r="D272" s="2">
        <v>819</v>
      </c>
      <c r="E272" s="3">
        <v>3</v>
      </c>
      <c r="F272" s="3" t="s">
        <v>225</v>
      </c>
      <c r="G272" s="3" t="str">
        <f t="shared" si="26"/>
        <v>2021</v>
      </c>
      <c r="H272" s="3">
        <f t="shared" si="24"/>
        <v>3</v>
      </c>
      <c r="I272" s="69"/>
      <c r="J272">
        <v>3</v>
      </c>
      <c r="K272">
        <v>3</v>
      </c>
      <c r="L272">
        <v>38.799999999999997</v>
      </c>
      <c r="M272" s="3">
        <v>339</v>
      </c>
      <c r="N272" s="3" t="str">
        <f t="shared" si="25"/>
        <v>2021</v>
      </c>
      <c r="O272" s="2">
        <v>819</v>
      </c>
    </row>
    <row r="273" spans="1:17" x14ac:dyDescent="0.35">
      <c r="A273" s="3">
        <v>2016</v>
      </c>
      <c r="B273" s="3">
        <v>9</v>
      </c>
      <c r="C273" s="3">
        <v>2</v>
      </c>
      <c r="D273" s="2">
        <v>283</v>
      </c>
      <c r="E273" s="3">
        <v>3</v>
      </c>
      <c r="F273" s="3" t="s">
        <v>41</v>
      </c>
      <c r="G273" s="3" t="str">
        <f t="shared" si="26"/>
        <v>2013</v>
      </c>
      <c r="H273" s="3">
        <f t="shared" si="24"/>
        <v>3</v>
      </c>
      <c r="I273" s="69"/>
      <c r="J273" s="3" t="s">
        <v>42</v>
      </c>
      <c r="K273" s="3" t="s">
        <v>318</v>
      </c>
      <c r="L273" s="3">
        <v>34.5</v>
      </c>
      <c r="M273" s="3">
        <v>340</v>
      </c>
      <c r="N273" s="3" t="str">
        <f t="shared" si="25"/>
        <v>2011</v>
      </c>
      <c r="O273" s="2">
        <v>283</v>
      </c>
      <c r="Q273" s="2">
        <v>151.69</v>
      </c>
    </row>
    <row r="274" spans="1:17" x14ac:dyDescent="0.35">
      <c r="A274" s="3">
        <v>2023</v>
      </c>
      <c r="B274" s="3">
        <v>7</v>
      </c>
      <c r="C274" s="3">
        <v>17</v>
      </c>
      <c r="D274" s="2">
        <v>399</v>
      </c>
      <c r="E274" s="3">
        <v>3</v>
      </c>
      <c r="F274" s="3" t="s">
        <v>45</v>
      </c>
      <c r="G274" s="3" t="str">
        <f t="shared" si="26"/>
        <v>2011</v>
      </c>
      <c r="H274" s="3">
        <f t="shared" si="24"/>
        <v>12</v>
      </c>
      <c r="I274" s="69"/>
      <c r="J274" s="3" t="s">
        <v>865</v>
      </c>
      <c r="K274" s="3" t="s">
        <v>317</v>
      </c>
      <c r="L274" s="3">
        <v>25.7</v>
      </c>
      <c r="M274" s="3">
        <v>340</v>
      </c>
      <c r="N274" s="3" t="str">
        <f t="shared" si="25"/>
        <v>2007</v>
      </c>
      <c r="O274" s="2">
        <v>399</v>
      </c>
    </row>
    <row r="275" spans="1:17" x14ac:dyDescent="0.35">
      <c r="A275" s="3">
        <v>2024</v>
      </c>
      <c r="B275" s="3">
        <v>3</v>
      </c>
      <c r="C275" s="3">
        <v>12</v>
      </c>
      <c r="D275" s="2">
        <v>684</v>
      </c>
      <c r="E275" s="3">
        <v>2</v>
      </c>
      <c r="F275" s="3" t="s">
        <v>45</v>
      </c>
      <c r="G275" s="3" t="str">
        <f t="shared" si="26"/>
        <v>2011</v>
      </c>
      <c r="H275" s="3">
        <f t="shared" si="24"/>
        <v>13</v>
      </c>
      <c r="I275" s="69"/>
      <c r="J275" t="s">
        <v>1105</v>
      </c>
      <c r="K275" t="s">
        <v>317</v>
      </c>
      <c r="L275">
        <v>36.4</v>
      </c>
      <c r="M275" s="3">
        <v>340</v>
      </c>
      <c r="N275" s="3" t="str">
        <f t="shared" si="25"/>
        <v>2007</v>
      </c>
      <c r="O275" s="2">
        <v>684</v>
      </c>
    </row>
    <row r="276" spans="1:17" x14ac:dyDescent="0.35">
      <c r="A276" s="3">
        <v>2023</v>
      </c>
      <c r="B276" s="3">
        <v>7</v>
      </c>
      <c r="C276" s="3">
        <v>17</v>
      </c>
      <c r="D276" s="2">
        <v>344</v>
      </c>
      <c r="E276" s="3">
        <v>3</v>
      </c>
      <c r="F276" s="3" t="s">
        <v>41</v>
      </c>
      <c r="G276" s="3" t="str">
        <f t="shared" si="26"/>
        <v>2013</v>
      </c>
      <c r="H276" s="3">
        <f t="shared" si="24"/>
        <v>10</v>
      </c>
      <c r="I276" s="69"/>
      <c r="J276" s="3" t="s">
        <v>546</v>
      </c>
      <c r="K276" s="3" t="s">
        <v>458</v>
      </c>
      <c r="L276" s="3">
        <v>2.6</v>
      </c>
      <c r="M276" s="3">
        <v>341</v>
      </c>
      <c r="N276" s="3" t="str">
        <f t="shared" si="25"/>
        <v>2011</v>
      </c>
      <c r="O276" s="2">
        <v>344</v>
      </c>
      <c r="P276">
        <v>22.95</v>
      </c>
    </row>
    <row r="277" spans="1:17" x14ac:dyDescent="0.35">
      <c r="A277" s="3">
        <v>2019</v>
      </c>
      <c r="B277" s="3">
        <v>2</v>
      </c>
      <c r="C277" s="3">
        <v>18</v>
      </c>
      <c r="D277" s="2">
        <v>176</v>
      </c>
      <c r="E277" s="3">
        <v>1</v>
      </c>
      <c r="F277" s="3" t="s">
        <v>41</v>
      </c>
      <c r="G277" s="3" t="str">
        <f t="shared" si="26"/>
        <v>2013</v>
      </c>
      <c r="H277" s="3">
        <f t="shared" si="24"/>
        <v>6</v>
      </c>
      <c r="I277" s="69"/>
      <c r="J277" s="3" t="s">
        <v>42</v>
      </c>
      <c r="K277" s="3" t="s">
        <v>318</v>
      </c>
      <c r="L277" s="3">
        <v>34.9</v>
      </c>
      <c r="M277" s="3">
        <v>341</v>
      </c>
      <c r="N277" s="3" t="str">
        <f t="shared" si="25"/>
        <v>2011</v>
      </c>
      <c r="O277" s="2">
        <v>176</v>
      </c>
      <c r="Q277" s="2">
        <v>460</v>
      </c>
    </row>
    <row r="278" spans="1:17" x14ac:dyDescent="0.35">
      <c r="A278" s="3">
        <v>2023</v>
      </c>
      <c r="B278" s="3">
        <v>7</v>
      </c>
      <c r="C278" s="3">
        <v>17</v>
      </c>
      <c r="D278" s="2">
        <v>344</v>
      </c>
      <c r="E278" s="3">
        <v>3</v>
      </c>
      <c r="F278" s="3" t="s">
        <v>41</v>
      </c>
      <c r="G278" s="3" t="str">
        <f t="shared" si="26"/>
        <v>2013</v>
      </c>
      <c r="H278" s="3">
        <f t="shared" si="24"/>
        <v>10</v>
      </c>
      <c r="I278" s="69"/>
      <c r="J278" s="3" t="s">
        <v>546</v>
      </c>
      <c r="K278" s="3" t="s">
        <v>458</v>
      </c>
      <c r="L278" s="3">
        <v>2.6</v>
      </c>
      <c r="M278" s="3">
        <v>341</v>
      </c>
      <c r="N278" s="3" t="str">
        <f t="shared" si="25"/>
        <v>2011</v>
      </c>
      <c r="O278" s="2">
        <v>344</v>
      </c>
    </row>
    <row r="279" spans="1:17" x14ac:dyDescent="0.35">
      <c r="A279" s="3">
        <v>2023</v>
      </c>
      <c r="B279" s="3">
        <v>2</v>
      </c>
      <c r="C279" s="3">
        <v>10</v>
      </c>
      <c r="D279" s="2">
        <v>149</v>
      </c>
      <c r="E279" s="3">
        <v>1</v>
      </c>
      <c r="F279" s="3" t="s">
        <v>41</v>
      </c>
      <c r="G279" s="3" t="str">
        <f t="shared" si="26"/>
        <v>2013</v>
      </c>
      <c r="H279" s="3">
        <f t="shared" si="24"/>
        <v>10</v>
      </c>
      <c r="I279" s="69"/>
      <c r="J279" s="3" t="s">
        <v>91</v>
      </c>
      <c r="K279" s="3" t="s">
        <v>318</v>
      </c>
      <c r="L279" s="3">
        <v>80.400000000000006</v>
      </c>
      <c r="M279" s="3">
        <v>342</v>
      </c>
      <c r="N279" s="3" t="str">
        <f t="shared" si="25"/>
        <v>2011</v>
      </c>
      <c r="O279" s="2">
        <v>149</v>
      </c>
    </row>
    <row r="280" spans="1:17" x14ac:dyDescent="0.35">
      <c r="A280" s="3">
        <v>2024</v>
      </c>
      <c r="B280" s="3">
        <v>8</v>
      </c>
      <c r="C280" s="3">
        <v>19</v>
      </c>
      <c r="D280" s="2">
        <v>780</v>
      </c>
      <c r="E280" s="3">
        <v>3</v>
      </c>
      <c r="F280" s="3" t="s">
        <v>225</v>
      </c>
      <c r="G280" s="3" t="str">
        <f t="shared" si="26"/>
        <v>2021</v>
      </c>
      <c r="H280" s="3">
        <f t="shared" si="24"/>
        <v>3</v>
      </c>
      <c r="I280" s="69"/>
      <c r="J280">
        <v>3</v>
      </c>
      <c r="K280">
        <v>3</v>
      </c>
      <c r="L280">
        <v>35.299999999999997</v>
      </c>
      <c r="M280" s="3">
        <v>342</v>
      </c>
      <c r="N280" s="3" t="str">
        <f t="shared" si="25"/>
        <v>2021</v>
      </c>
      <c r="O280" s="2">
        <v>780</v>
      </c>
    </row>
    <row r="281" spans="1:17" x14ac:dyDescent="0.35">
      <c r="A281" s="3">
        <v>2024</v>
      </c>
      <c r="B281" s="3">
        <v>2</v>
      </c>
      <c r="C281" s="3">
        <v>23</v>
      </c>
      <c r="D281" s="2">
        <v>637</v>
      </c>
      <c r="E281" s="3">
        <v>1</v>
      </c>
      <c r="F281" s="3" t="s">
        <v>225</v>
      </c>
      <c r="G281" s="3" t="str">
        <f t="shared" si="26"/>
        <v>2022</v>
      </c>
      <c r="H281" s="3">
        <f t="shared" si="24"/>
        <v>2</v>
      </c>
      <c r="I281" s="69"/>
      <c r="J281" t="s">
        <v>21</v>
      </c>
      <c r="K281" s="3">
        <v>2</v>
      </c>
      <c r="L281">
        <v>42.1</v>
      </c>
      <c r="M281" s="3">
        <v>343</v>
      </c>
      <c r="N281" s="3" t="str">
        <f t="shared" si="25"/>
        <v>2021</v>
      </c>
      <c r="O281" s="2">
        <v>637</v>
      </c>
      <c r="P281">
        <v>18.8</v>
      </c>
    </row>
    <row r="282" spans="1:17" x14ac:dyDescent="0.35">
      <c r="A282" s="3">
        <v>2024</v>
      </c>
      <c r="B282" s="3">
        <v>2</v>
      </c>
      <c r="C282" s="3">
        <v>23</v>
      </c>
      <c r="D282" s="2">
        <v>637</v>
      </c>
      <c r="E282" s="3">
        <v>1</v>
      </c>
      <c r="F282" s="3" t="s">
        <v>225</v>
      </c>
      <c r="G282" s="3" t="str">
        <f t="shared" si="26"/>
        <v>2022</v>
      </c>
      <c r="H282" s="3">
        <f t="shared" si="24"/>
        <v>2</v>
      </c>
      <c r="I282" s="69"/>
      <c r="J282" t="s">
        <v>21</v>
      </c>
      <c r="K282" s="3">
        <v>2</v>
      </c>
      <c r="L282">
        <v>42.1</v>
      </c>
      <c r="M282" s="3">
        <v>343</v>
      </c>
      <c r="N282" s="3" t="str">
        <f t="shared" si="25"/>
        <v>2021</v>
      </c>
      <c r="O282" s="2">
        <v>637</v>
      </c>
    </row>
    <row r="283" spans="1:17" x14ac:dyDescent="0.35">
      <c r="A283" s="3">
        <v>2023</v>
      </c>
      <c r="B283" s="3">
        <v>11</v>
      </c>
      <c r="C283" s="3">
        <v>2</v>
      </c>
      <c r="D283" s="2">
        <v>527</v>
      </c>
      <c r="E283" s="3">
        <v>4</v>
      </c>
      <c r="F283" s="3" t="s">
        <v>45</v>
      </c>
      <c r="G283" s="3" t="str">
        <f t="shared" si="26"/>
        <v>2011</v>
      </c>
      <c r="H283" s="3">
        <f t="shared" si="24"/>
        <v>12</v>
      </c>
      <c r="I283" s="69"/>
      <c r="J283" s="3" t="s">
        <v>615</v>
      </c>
      <c r="K283" s="3" t="s">
        <v>317</v>
      </c>
      <c r="L283" s="3">
        <v>26.4</v>
      </c>
      <c r="M283" s="3">
        <v>344</v>
      </c>
      <c r="N283" s="3" t="str">
        <f t="shared" si="25"/>
        <v>2007</v>
      </c>
      <c r="O283" s="2">
        <v>527</v>
      </c>
    </row>
    <row r="284" spans="1:17" x14ac:dyDescent="0.35">
      <c r="A284" s="3">
        <v>2024</v>
      </c>
      <c r="B284" s="3">
        <v>1</v>
      </c>
      <c r="C284" s="3">
        <v>14</v>
      </c>
      <c r="D284" s="2">
        <v>610</v>
      </c>
      <c r="E284" s="3">
        <v>1</v>
      </c>
      <c r="F284" s="3" t="s">
        <v>45</v>
      </c>
      <c r="G284" s="3" t="str">
        <f t="shared" si="26"/>
        <v>2011</v>
      </c>
      <c r="H284" s="3">
        <f t="shared" si="24"/>
        <v>13</v>
      </c>
      <c r="I284" s="69"/>
      <c r="J284" t="s">
        <v>977</v>
      </c>
      <c r="K284" s="3" t="s">
        <v>317</v>
      </c>
      <c r="L284">
        <v>34.4</v>
      </c>
      <c r="M284" s="3">
        <v>344</v>
      </c>
      <c r="N284" s="3" t="str">
        <f t="shared" si="25"/>
        <v>2007</v>
      </c>
      <c r="O284" s="2">
        <v>610</v>
      </c>
    </row>
    <row r="285" spans="1:17" x14ac:dyDescent="0.35">
      <c r="A285" s="3">
        <v>2017</v>
      </c>
      <c r="B285" s="3">
        <v>11</v>
      </c>
      <c r="C285" s="3">
        <v>9</v>
      </c>
      <c r="D285" s="2">
        <v>82</v>
      </c>
      <c r="E285" s="15">
        <v>4</v>
      </c>
      <c r="F285" s="3" t="s">
        <v>45</v>
      </c>
      <c r="G285" s="3" t="str">
        <f t="shared" si="26"/>
        <v>2011</v>
      </c>
      <c r="H285" s="3">
        <f t="shared" si="24"/>
        <v>6</v>
      </c>
      <c r="I285" s="69"/>
      <c r="J285" s="3" t="s">
        <v>317</v>
      </c>
      <c r="K285" s="3" t="s">
        <v>317</v>
      </c>
      <c r="L285" s="3">
        <v>29.4</v>
      </c>
      <c r="M285" s="3">
        <v>345</v>
      </c>
      <c r="N285" s="3" t="str">
        <f t="shared" si="25"/>
        <v>2007</v>
      </c>
      <c r="O285" s="2">
        <v>82</v>
      </c>
    </row>
    <row r="286" spans="1:17" x14ac:dyDescent="0.35">
      <c r="A286" s="3">
        <v>2023</v>
      </c>
      <c r="B286" s="3">
        <v>7</v>
      </c>
      <c r="C286" s="3">
        <v>17</v>
      </c>
      <c r="D286" s="2">
        <v>395</v>
      </c>
      <c r="E286" s="3">
        <v>3</v>
      </c>
      <c r="F286" s="3" t="s">
        <v>45</v>
      </c>
      <c r="G286" s="3" t="str">
        <f t="shared" si="26"/>
        <v>2011</v>
      </c>
      <c r="H286" s="3">
        <f t="shared" si="24"/>
        <v>12</v>
      </c>
      <c r="I286" s="69"/>
      <c r="J286" s="3" t="s">
        <v>632</v>
      </c>
      <c r="K286" s="3" t="s">
        <v>317</v>
      </c>
      <c r="L286" s="3">
        <v>26.2</v>
      </c>
      <c r="M286" s="3">
        <v>345</v>
      </c>
      <c r="N286" s="3" t="str">
        <f t="shared" si="25"/>
        <v>2007</v>
      </c>
      <c r="O286" s="2">
        <v>395</v>
      </c>
    </row>
    <row r="287" spans="1:17" x14ac:dyDescent="0.35">
      <c r="A287" s="3">
        <v>2024</v>
      </c>
      <c r="B287" s="3">
        <v>1</v>
      </c>
      <c r="C287" s="3">
        <v>19</v>
      </c>
      <c r="D287" s="2">
        <v>580</v>
      </c>
      <c r="E287" s="3">
        <v>1</v>
      </c>
      <c r="F287" s="3" t="s">
        <v>41</v>
      </c>
      <c r="G287" s="3" t="str">
        <f t="shared" si="26"/>
        <v>2013</v>
      </c>
      <c r="H287" s="3">
        <f t="shared" si="24"/>
        <v>11</v>
      </c>
      <c r="I287" s="69"/>
      <c r="J287" t="s">
        <v>42</v>
      </c>
      <c r="K287" s="3" t="s">
        <v>318</v>
      </c>
      <c r="L287">
        <v>41</v>
      </c>
      <c r="M287" s="3">
        <v>345</v>
      </c>
      <c r="N287" s="3" t="str">
        <f t="shared" si="25"/>
        <v>2011</v>
      </c>
      <c r="O287" s="2">
        <v>580</v>
      </c>
    </row>
    <row r="288" spans="1:17" x14ac:dyDescent="0.35">
      <c r="A288" s="3">
        <v>2019</v>
      </c>
      <c r="B288" s="3">
        <v>2</v>
      </c>
      <c r="C288" s="3">
        <v>21</v>
      </c>
      <c r="D288" s="2">
        <v>156</v>
      </c>
      <c r="E288" s="3">
        <v>1</v>
      </c>
      <c r="F288" s="3" t="s">
        <v>45</v>
      </c>
      <c r="G288" s="3" t="str">
        <f t="shared" si="26"/>
        <v>2011</v>
      </c>
      <c r="H288" s="3">
        <f t="shared" si="24"/>
        <v>8</v>
      </c>
      <c r="I288" s="69"/>
      <c r="J288" s="3" t="s">
        <v>602</v>
      </c>
      <c r="K288" s="3" t="s">
        <v>317</v>
      </c>
      <c r="L288" s="3">
        <v>37.5</v>
      </c>
      <c r="M288" s="3">
        <v>346</v>
      </c>
      <c r="N288" s="3" t="str">
        <f t="shared" si="25"/>
        <v>2007</v>
      </c>
      <c r="O288" s="2">
        <v>156</v>
      </c>
    </row>
    <row r="289" spans="1:22" x14ac:dyDescent="0.35">
      <c r="A289" s="3">
        <v>2024</v>
      </c>
      <c r="B289" s="3">
        <v>3</v>
      </c>
      <c r="C289" s="3">
        <v>28</v>
      </c>
      <c r="D289" s="2">
        <v>655</v>
      </c>
      <c r="E289" s="3">
        <v>2</v>
      </c>
      <c r="F289" s="3" t="s">
        <v>41</v>
      </c>
      <c r="G289" s="3" t="str">
        <f t="shared" si="26"/>
        <v>2013</v>
      </c>
      <c r="H289" s="3">
        <f t="shared" si="24"/>
        <v>11</v>
      </c>
      <c r="I289" s="69"/>
      <c r="J289" t="s">
        <v>49</v>
      </c>
      <c r="K289" t="s">
        <v>318</v>
      </c>
      <c r="L289">
        <v>35.6</v>
      </c>
      <c r="M289" s="3">
        <v>346</v>
      </c>
      <c r="N289" s="3" t="str">
        <f t="shared" si="25"/>
        <v>2011</v>
      </c>
      <c r="O289" s="2">
        <v>655</v>
      </c>
    </row>
    <row r="290" spans="1:22" x14ac:dyDescent="0.35">
      <c r="A290" s="3">
        <v>2023</v>
      </c>
      <c r="B290" s="3">
        <v>7</v>
      </c>
      <c r="C290" s="3">
        <v>17</v>
      </c>
      <c r="D290" s="2">
        <v>379</v>
      </c>
      <c r="E290" s="3">
        <v>3</v>
      </c>
      <c r="F290" s="3" t="s">
        <v>45</v>
      </c>
      <c r="G290" s="3" t="str">
        <f t="shared" si="26"/>
        <v>2011</v>
      </c>
      <c r="H290" s="3">
        <f t="shared" si="24"/>
        <v>12</v>
      </c>
      <c r="I290" s="69"/>
      <c r="J290" s="3" t="s">
        <v>46</v>
      </c>
      <c r="K290" s="3" t="s">
        <v>317</v>
      </c>
      <c r="L290" s="3">
        <v>31.6</v>
      </c>
      <c r="M290" s="3">
        <v>347</v>
      </c>
      <c r="N290" s="3" t="str">
        <f t="shared" si="25"/>
        <v>2007</v>
      </c>
      <c r="O290" s="2">
        <v>379</v>
      </c>
    </row>
    <row r="291" spans="1:22" x14ac:dyDescent="0.35">
      <c r="A291" s="3">
        <v>2024</v>
      </c>
      <c r="B291" s="3">
        <v>3</v>
      </c>
      <c r="C291" s="3">
        <v>13</v>
      </c>
      <c r="D291" s="2">
        <v>668</v>
      </c>
      <c r="E291" s="3">
        <v>2</v>
      </c>
      <c r="F291" s="3" t="s">
        <v>226</v>
      </c>
      <c r="G291" s="3" t="str">
        <f t="shared" si="26"/>
        <v>2017</v>
      </c>
      <c r="H291" s="3">
        <f t="shared" si="24"/>
        <v>7</v>
      </c>
      <c r="I291" s="69"/>
      <c r="J291" t="s">
        <v>1088</v>
      </c>
      <c r="K291">
        <v>7</v>
      </c>
      <c r="L291">
        <v>38.299999999999997</v>
      </c>
      <c r="M291" s="3">
        <v>347</v>
      </c>
      <c r="N291" s="3" t="str">
        <f t="shared" si="25"/>
        <v>2017</v>
      </c>
      <c r="O291" s="2">
        <v>668</v>
      </c>
    </row>
    <row r="292" spans="1:22" x14ac:dyDescent="0.35">
      <c r="A292" s="3">
        <v>2024</v>
      </c>
      <c r="B292" s="3">
        <v>8</v>
      </c>
      <c r="C292" s="3">
        <v>8</v>
      </c>
      <c r="D292" s="2">
        <v>706</v>
      </c>
      <c r="E292" s="3">
        <v>3</v>
      </c>
      <c r="F292" s="3" t="s">
        <v>45</v>
      </c>
      <c r="G292" s="3" t="str">
        <f t="shared" si="26"/>
        <v>2011</v>
      </c>
      <c r="H292" s="3">
        <f t="shared" si="24"/>
        <v>13</v>
      </c>
      <c r="I292" s="69"/>
      <c r="J292" t="s">
        <v>632</v>
      </c>
      <c r="K292" t="s">
        <v>317</v>
      </c>
      <c r="L292">
        <v>33.4</v>
      </c>
      <c r="M292" s="3">
        <v>348</v>
      </c>
      <c r="N292" s="3" t="str">
        <f t="shared" si="25"/>
        <v>2007</v>
      </c>
      <c r="O292" s="2">
        <v>706</v>
      </c>
    </row>
    <row r="293" spans="1:22" x14ac:dyDescent="0.35">
      <c r="A293" s="3">
        <v>2016</v>
      </c>
      <c r="B293" s="3">
        <v>9</v>
      </c>
      <c r="C293" s="3">
        <v>1</v>
      </c>
      <c r="D293" s="2">
        <v>260</v>
      </c>
      <c r="E293" s="3">
        <v>3</v>
      </c>
      <c r="F293" s="3" t="s">
        <v>45</v>
      </c>
      <c r="G293" s="3" t="str">
        <f t="shared" si="26"/>
        <v>2011</v>
      </c>
      <c r="H293" s="3">
        <f t="shared" si="24"/>
        <v>5</v>
      </c>
      <c r="I293" s="69"/>
      <c r="J293" s="3" t="s">
        <v>718</v>
      </c>
      <c r="K293" s="3" t="s">
        <v>317</v>
      </c>
      <c r="L293" s="3">
        <v>37.200000000000003</v>
      </c>
      <c r="M293" s="3">
        <v>349</v>
      </c>
      <c r="N293" s="3" t="str">
        <f t="shared" si="25"/>
        <v>2007</v>
      </c>
      <c r="O293" s="2">
        <v>260</v>
      </c>
    </row>
    <row r="294" spans="1:22" x14ac:dyDescent="0.35">
      <c r="A294" s="3">
        <v>2024</v>
      </c>
      <c r="B294" s="3">
        <v>6</v>
      </c>
      <c r="C294" s="3">
        <v>19</v>
      </c>
      <c r="D294" s="2">
        <v>801</v>
      </c>
      <c r="E294" s="3">
        <v>3</v>
      </c>
      <c r="F294" s="3" t="s">
        <v>225</v>
      </c>
      <c r="G294" s="3" t="str">
        <f t="shared" si="26"/>
        <v>2021</v>
      </c>
      <c r="H294" s="3">
        <f t="shared" si="24"/>
        <v>3</v>
      </c>
      <c r="I294" s="69"/>
      <c r="J294" t="s">
        <v>1162</v>
      </c>
      <c r="K294">
        <v>3</v>
      </c>
      <c r="L294">
        <v>45.8</v>
      </c>
      <c r="M294" s="3">
        <v>349</v>
      </c>
      <c r="N294" s="3" t="str">
        <f t="shared" si="25"/>
        <v>2021</v>
      </c>
      <c r="O294" s="2">
        <v>801</v>
      </c>
    </row>
    <row r="295" spans="1:22" x14ac:dyDescent="0.35">
      <c r="A295" s="3">
        <v>2019</v>
      </c>
      <c r="B295" s="3">
        <v>8</v>
      </c>
      <c r="C295" s="3">
        <v>5</v>
      </c>
      <c r="D295" s="2">
        <v>311</v>
      </c>
      <c r="E295" s="3">
        <v>3</v>
      </c>
      <c r="F295" s="3" t="s">
        <v>20</v>
      </c>
      <c r="G295" s="3" t="str">
        <f t="shared" si="26"/>
        <v>2018</v>
      </c>
      <c r="H295" s="3">
        <f t="shared" si="24"/>
        <v>1</v>
      </c>
      <c r="I295" s="69"/>
      <c r="J295" s="3" t="s">
        <v>778</v>
      </c>
      <c r="K295" s="3">
        <v>6</v>
      </c>
      <c r="L295" s="3">
        <v>38.200000000000003</v>
      </c>
      <c r="M295" s="3">
        <v>350</v>
      </c>
      <c r="N295" s="3" t="str">
        <f t="shared" si="25"/>
        <v>2018</v>
      </c>
      <c r="O295" s="2">
        <v>311</v>
      </c>
    </row>
    <row r="296" spans="1:22" x14ac:dyDescent="0.35">
      <c r="A296" s="3">
        <v>2024</v>
      </c>
      <c r="B296" s="3">
        <v>1</v>
      </c>
      <c r="C296" s="3">
        <v>18</v>
      </c>
      <c r="D296" s="2">
        <v>559</v>
      </c>
      <c r="E296" s="3">
        <v>1</v>
      </c>
      <c r="F296" s="3" t="s">
        <v>41</v>
      </c>
      <c r="G296" s="3" t="str">
        <f t="shared" si="26"/>
        <v>2012</v>
      </c>
      <c r="H296" s="3">
        <f t="shared" si="24"/>
        <v>12</v>
      </c>
      <c r="I296" s="69"/>
      <c r="J296" t="s">
        <v>541</v>
      </c>
      <c r="K296" s="3" t="s">
        <v>461</v>
      </c>
      <c r="L296">
        <v>31.1</v>
      </c>
      <c r="M296" s="3">
        <v>350</v>
      </c>
      <c r="N296" s="3" t="str">
        <f t="shared" si="25"/>
        <v>2011</v>
      </c>
      <c r="O296" s="2">
        <v>559</v>
      </c>
    </row>
    <row r="297" spans="1:22" x14ac:dyDescent="0.35">
      <c r="A297" s="3">
        <v>2024</v>
      </c>
      <c r="B297" s="3">
        <v>8</v>
      </c>
      <c r="C297" s="3">
        <v>19</v>
      </c>
      <c r="D297" s="2">
        <v>790</v>
      </c>
      <c r="E297" s="3">
        <v>3</v>
      </c>
      <c r="F297" s="3" t="s">
        <v>225</v>
      </c>
      <c r="G297" s="3" t="str">
        <f t="shared" si="26"/>
        <v>2021</v>
      </c>
      <c r="H297" s="3">
        <f t="shared" si="24"/>
        <v>3</v>
      </c>
      <c r="I297" s="69"/>
      <c r="J297">
        <v>3</v>
      </c>
      <c r="K297">
        <v>3</v>
      </c>
      <c r="L297">
        <v>64.099999999999994</v>
      </c>
      <c r="M297" s="3">
        <v>350</v>
      </c>
      <c r="N297" s="3" t="str">
        <f t="shared" si="25"/>
        <v>2021</v>
      </c>
      <c r="O297" s="2">
        <v>790</v>
      </c>
      <c r="V297">
        <v>35.53</v>
      </c>
    </row>
    <row r="298" spans="1:22" x14ac:dyDescent="0.35">
      <c r="A298" s="3">
        <v>2023</v>
      </c>
      <c r="B298" s="3">
        <v>7</v>
      </c>
      <c r="C298" s="3">
        <v>17</v>
      </c>
      <c r="D298" s="2">
        <v>397</v>
      </c>
      <c r="E298" s="3">
        <v>3</v>
      </c>
      <c r="F298" s="3" t="s">
        <v>45</v>
      </c>
      <c r="G298" s="3" t="str">
        <f t="shared" si="26"/>
        <v>2011</v>
      </c>
      <c r="H298" s="3">
        <f t="shared" si="24"/>
        <v>12</v>
      </c>
      <c r="I298" s="69"/>
      <c r="J298" s="3" t="s">
        <v>632</v>
      </c>
      <c r="K298" s="3" t="s">
        <v>317</v>
      </c>
      <c r="L298" s="3">
        <v>31.2</v>
      </c>
      <c r="M298" s="3">
        <v>351</v>
      </c>
      <c r="N298" s="3" t="str">
        <f t="shared" si="25"/>
        <v>2007</v>
      </c>
      <c r="O298" s="2">
        <v>397</v>
      </c>
    </row>
    <row r="299" spans="1:22" x14ac:dyDescent="0.35">
      <c r="A299" s="3">
        <v>2024</v>
      </c>
      <c r="B299" s="3">
        <v>1</v>
      </c>
      <c r="C299" s="3">
        <v>19</v>
      </c>
      <c r="D299" s="2">
        <v>579</v>
      </c>
      <c r="E299" s="3">
        <v>1</v>
      </c>
      <c r="F299" s="3" t="s">
        <v>41</v>
      </c>
      <c r="G299" s="3" t="str">
        <f t="shared" si="26"/>
        <v>2013</v>
      </c>
      <c r="H299" s="3">
        <f t="shared" si="24"/>
        <v>11</v>
      </c>
      <c r="I299" s="69"/>
      <c r="J299" t="s">
        <v>42</v>
      </c>
      <c r="K299" s="3" t="s">
        <v>318</v>
      </c>
      <c r="L299">
        <v>38</v>
      </c>
      <c r="M299" s="3">
        <v>351</v>
      </c>
      <c r="N299" s="3" t="str">
        <f t="shared" si="25"/>
        <v>2011</v>
      </c>
      <c r="O299" s="2">
        <v>579</v>
      </c>
    </row>
    <row r="300" spans="1:22" x14ac:dyDescent="0.35">
      <c r="A300" s="3">
        <v>2024</v>
      </c>
      <c r="B300" s="3">
        <v>1</v>
      </c>
      <c r="C300" s="3">
        <v>19</v>
      </c>
      <c r="D300" s="2">
        <v>579</v>
      </c>
      <c r="E300" s="3">
        <v>1</v>
      </c>
      <c r="F300" s="3" t="s">
        <v>41</v>
      </c>
      <c r="G300" s="3" t="str">
        <f t="shared" si="26"/>
        <v>2013</v>
      </c>
      <c r="H300" s="3">
        <f t="shared" si="24"/>
        <v>11</v>
      </c>
      <c r="I300" s="69"/>
      <c r="J300" t="s">
        <v>42</v>
      </c>
      <c r="K300" s="3" t="s">
        <v>318</v>
      </c>
      <c r="L300">
        <v>38</v>
      </c>
      <c r="M300" s="3">
        <v>351</v>
      </c>
      <c r="N300" s="3" t="str">
        <f t="shared" si="25"/>
        <v>2011</v>
      </c>
      <c r="O300" s="2">
        <v>579</v>
      </c>
    </row>
    <row r="301" spans="1:22" x14ac:dyDescent="0.35">
      <c r="A301" s="3">
        <v>2021</v>
      </c>
      <c r="B301" s="3" t="s">
        <v>28</v>
      </c>
      <c r="C301" s="3" t="s">
        <v>28</v>
      </c>
      <c r="D301" s="2">
        <v>12</v>
      </c>
      <c r="E301" s="3" t="s">
        <v>28</v>
      </c>
      <c r="F301" s="3" t="s">
        <v>45</v>
      </c>
      <c r="G301" s="3" t="str">
        <f t="shared" si="26"/>
        <v>2011</v>
      </c>
      <c r="H301" s="3">
        <f t="shared" si="24"/>
        <v>10</v>
      </c>
      <c r="I301" s="69"/>
      <c r="J301" s="3" t="s">
        <v>317</v>
      </c>
      <c r="K301" s="3" t="s">
        <v>317</v>
      </c>
      <c r="L301" s="3">
        <v>39.6</v>
      </c>
      <c r="M301" s="3">
        <v>352</v>
      </c>
      <c r="N301" s="3" t="str">
        <f t="shared" si="25"/>
        <v>2007</v>
      </c>
      <c r="O301" s="2">
        <v>12</v>
      </c>
    </row>
    <row r="302" spans="1:22" x14ac:dyDescent="0.35">
      <c r="A302" s="3">
        <v>2024</v>
      </c>
      <c r="B302" s="3">
        <v>1</v>
      </c>
      <c r="C302" s="3">
        <v>22</v>
      </c>
      <c r="D302" s="2">
        <v>602</v>
      </c>
      <c r="E302" s="3">
        <v>1</v>
      </c>
      <c r="F302" s="3" t="s">
        <v>20</v>
      </c>
      <c r="G302" s="3" t="str">
        <f t="shared" si="26"/>
        <v>2020</v>
      </c>
      <c r="H302" s="3">
        <f t="shared" si="24"/>
        <v>4</v>
      </c>
      <c r="I302" s="69"/>
      <c r="J302" t="s">
        <v>233</v>
      </c>
      <c r="K302">
        <v>37</v>
      </c>
      <c r="L302">
        <v>42.6</v>
      </c>
      <c r="M302" s="3">
        <v>352</v>
      </c>
      <c r="N302" s="3" t="str">
        <f t="shared" si="25"/>
        <v>2018</v>
      </c>
      <c r="O302" s="2">
        <v>602</v>
      </c>
    </row>
    <row r="303" spans="1:22" x14ac:dyDescent="0.35">
      <c r="A303" s="3">
        <v>2016</v>
      </c>
      <c r="B303" s="3">
        <v>9</v>
      </c>
      <c r="C303" s="3">
        <v>2</v>
      </c>
      <c r="D303" s="2">
        <v>291</v>
      </c>
      <c r="E303" s="3">
        <v>3</v>
      </c>
      <c r="F303" s="3" t="s">
        <v>41</v>
      </c>
      <c r="G303" s="3" t="str">
        <f t="shared" si="26"/>
        <v>2013</v>
      </c>
      <c r="H303" s="3">
        <f t="shared" si="24"/>
        <v>3</v>
      </c>
      <c r="I303" s="69"/>
      <c r="J303" s="3" t="s">
        <v>42</v>
      </c>
      <c r="K303" s="3" t="s">
        <v>318</v>
      </c>
      <c r="L303" s="3">
        <v>37.299999999999997</v>
      </c>
      <c r="M303" s="3">
        <v>353</v>
      </c>
      <c r="N303" s="3" t="str">
        <f t="shared" si="25"/>
        <v>2011</v>
      </c>
      <c r="O303" s="2">
        <v>291</v>
      </c>
      <c r="P303" s="3">
        <v>14.81</v>
      </c>
      <c r="Q303" s="2">
        <v>131</v>
      </c>
    </row>
    <row r="304" spans="1:22" x14ac:dyDescent="0.35">
      <c r="A304" s="3">
        <v>2024</v>
      </c>
      <c r="B304" s="3">
        <v>1</v>
      </c>
      <c r="C304" s="3">
        <v>17</v>
      </c>
      <c r="D304" s="2">
        <v>567</v>
      </c>
      <c r="E304" s="3">
        <v>1</v>
      </c>
      <c r="F304" s="3" t="s">
        <v>41</v>
      </c>
      <c r="G304" s="3" t="str">
        <f t="shared" si="26"/>
        <v>2013</v>
      </c>
      <c r="H304" s="3">
        <f t="shared" si="24"/>
        <v>11</v>
      </c>
      <c r="I304" s="69"/>
      <c r="J304" t="s">
        <v>42</v>
      </c>
      <c r="K304" s="3" t="s">
        <v>318</v>
      </c>
      <c r="L304">
        <v>40.9</v>
      </c>
      <c r="M304" s="3">
        <v>353</v>
      </c>
      <c r="N304" s="3" t="str">
        <f t="shared" si="25"/>
        <v>2011</v>
      </c>
      <c r="O304" s="2">
        <v>567</v>
      </c>
    </row>
    <row r="305" spans="1:23" x14ac:dyDescent="0.35">
      <c r="A305" s="3">
        <v>2019</v>
      </c>
      <c r="B305" s="3">
        <v>11</v>
      </c>
      <c r="C305" s="3">
        <v>27</v>
      </c>
      <c r="D305" s="2">
        <v>46</v>
      </c>
      <c r="E305" s="3">
        <v>4</v>
      </c>
      <c r="F305" s="3" t="s">
        <v>45</v>
      </c>
      <c r="G305" s="3" t="str">
        <f t="shared" si="26"/>
        <v>2009</v>
      </c>
      <c r="H305" s="3">
        <f t="shared" si="24"/>
        <v>10</v>
      </c>
      <c r="I305" s="69"/>
      <c r="J305" s="3" t="s">
        <v>488</v>
      </c>
      <c r="K305" s="3" t="s">
        <v>488</v>
      </c>
      <c r="L305" s="3">
        <v>44.2</v>
      </c>
      <c r="M305" s="3">
        <v>354</v>
      </c>
      <c r="N305" s="3" t="str">
        <f t="shared" si="25"/>
        <v>2007</v>
      </c>
      <c r="O305" s="2">
        <v>46</v>
      </c>
    </row>
    <row r="306" spans="1:23" x14ac:dyDescent="0.35">
      <c r="A306" s="3">
        <v>2018</v>
      </c>
      <c r="B306" s="3">
        <v>8</v>
      </c>
      <c r="C306" s="3">
        <v>16</v>
      </c>
      <c r="D306" s="2">
        <v>332</v>
      </c>
      <c r="E306" s="3">
        <v>3</v>
      </c>
      <c r="F306" s="3" t="s">
        <v>45</v>
      </c>
      <c r="G306" s="3" t="str">
        <f t="shared" si="26"/>
        <v>2011</v>
      </c>
      <c r="H306" s="3">
        <f t="shared" si="24"/>
        <v>7</v>
      </c>
      <c r="I306" s="69"/>
      <c r="J306" s="3" t="s">
        <v>632</v>
      </c>
      <c r="K306" s="3" t="s">
        <v>317</v>
      </c>
      <c r="L306" s="3">
        <v>32.6</v>
      </c>
      <c r="M306" s="3">
        <v>354</v>
      </c>
      <c r="N306" s="3" t="str">
        <f t="shared" si="25"/>
        <v>2007</v>
      </c>
      <c r="O306" s="2">
        <v>332</v>
      </c>
    </row>
    <row r="307" spans="1:23" x14ac:dyDescent="0.35">
      <c r="A307" s="3">
        <v>2024</v>
      </c>
      <c r="B307" s="3">
        <v>1</v>
      </c>
      <c r="C307" s="3">
        <v>24</v>
      </c>
      <c r="D307" s="2">
        <v>550</v>
      </c>
      <c r="E307" s="3">
        <v>1</v>
      </c>
      <c r="F307" s="3" t="s">
        <v>20</v>
      </c>
      <c r="G307" s="3" t="str">
        <f t="shared" si="26"/>
        <v>2018</v>
      </c>
      <c r="H307" s="3">
        <f t="shared" si="24"/>
        <v>6</v>
      </c>
      <c r="I307" s="69"/>
      <c r="J307" t="s">
        <v>998</v>
      </c>
      <c r="K307">
        <v>6</v>
      </c>
      <c r="L307">
        <v>44.9</v>
      </c>
      <c r="M307" s="3">
        <v>354</v>
      </c>
      <c r="N307" s="3" t="str">
        <f t="shared" si="25"/>
        <v>2018</v>
      </c>
      <c r="O307" s="2">
        <v>550</v>
      </c>
    </row>
    <row r="308" spans="1:23" x14ac:dyDescent="0.35">
      <c r="A308" s="3">
        <v>2024</v>
      </c>
      <c r="B308" s="3">
        <v>8</v>
      </c>
      <c r="C308" s="3">
        <v>13</v>
      </c>
      <c r="D308" s="2">
        <v>759</v>
      </c>
      <c r="E308" s="3">
        <v>3</v>
      </c>
      <c r="F308" s="3" t="s">
        <v>225</v>
      </c>
      <c r="G308" s="3" t="str">
        <f t="shared" si="26"/>
        <v>2021</v>
      </c>
      <c r="H308" s="3">
        <f t="shared" si="24"/>
        <v>3</v>
      </c>
      <c r="I308" s="69"/>
      <c r="J308" s="6" t="s">
        <v>1076</v>
      </c>
      <c r="K308">
        <v>3</v>
      </c>
      <c r="L308">
        <v>39.9</v>
      </c>
      <c r="M308" s="3">
        <v>354</v>
      </c>
      <c r="N308" s="3" t="str">
        <f t="shared" si="25"/>
        <v>2021</v>
      </c>
      <c r="O308" s="2">
        <v>759</v>
      </c>
    </row>
    <row r="309" spans="1:23" x14ac:dyDescent="0.35">
      <c r="A309" s="3">
        <v>2022</v>
      </c>
      <c r="B309" s="3">
        <v>11</v>
      </c>
      <c r="C309" s="3">
        <v>7</v>
      </c>
      <c r="D309" s="2">
        <v>117</v>
      </c>
      <c r="E309" s="15">
        <v>4</v>
      </c>
      <c r="F309" s="3" t="s">
        <v>41</v>
      </c>
      <c r="G309" s="3" t="str">
        <f t="shared" si="26"/>
        <v>2012</v>
      </c>
      <c r="H309" s="3">
        <f t="shared" si="24"/>
        <v>10</v>
      </c>
      <c r="I309" s="69"/>
      <c r="J309" s="3" t="s">
        <v>461</v>
      </c>
      <c r="K309" s="3" t="s">
        <v>461</v>
      </c>
      <c r="L309" s="3">
        <v>36.1</v>
      </c>
      <c r="M309" s="3">
        <v>355</v>
      </c>
      <c r="N309" s="3" t="str">
        <f t="shared" si="25"/>
        <v>2011</v>
      </c>
      <c r="O309" s="2">
        <v>117</v>
      </c>
      <c r="W309">
        <v>23.17</v>
      </c>
    </row>
    <row r="310" spans="1:23" x14ac:dyDescent="0.35">
      <c r="A310" s="3">
        <v>2022</v>
      </c>
      <c r="B310" s="3">
        <v>3</v>
      </c>
      <c r="C310" s="3" t="s">
        <v>28</v>
      </c>
      <c r="D310" s="2">
        <v>8</v>
      </c>
      <c r="E310" s="3">
        <v>2</v>
      </c>
      <c r="F310" s="3" t="s">
        <v>20</v>
      </c>
      <c r="G310" s="3" t="str">
        <f t="shared" si="26"/>
        <v>2019</v>
      </c>
      <c r="H310" s="3">
        <f t="shared" si="24"/>
        <v>3</v>
      </c>
      <c r="I310" s="69"/>
      <c r="J310" s="3">
        <v>23</v>
      </c>
      <c r="K310" s="3">
        <v>23</v>
      </c>
      <c r="L310" s="3">
        <v>39.5</v>
      </c>
      <c r="M310" s="3">
        <v>355</v>
      </c>
      <c r="N310" s="3" t="str">
        <f t="shared" si="25"/>
        <v>2018</v>
      </c>
      <c r="O310" s="2">
        <v>8</v>
      </c>
    </row>
    <row r="311" spans="1:23" x14ac:dyDescent="0.35">
      <c r="A311" s="3">
        <v>2016</v>
      </c>
      <c r="B311" s="3">
        <v>11</v>
      </c>
      <c r="C311" s="3">
        <v>16</v>
      </c>
      <c r="D311" s="2">
        <v>180</v>
      </c>
      <c r="E311" s="3">
        <v>4</v>
      </c>
      <c r="F311" s="3" t="s">
        <v>41</v>
      </c>
      <c r="G311" s="3" t="str">
        <f t="shared" si="26"/>
        <v>2013</v>
      </c>
      <c r="H311" s="3">
        <f t="shared" si="24"/>
        <v>3</v>
      </c>
      <c r="I311" s="69"/>
      <c r="J311" s="3" t="s">
        <v>49</v>
      </c>
      <c r="K311" s="3" t="s">
        <v>318</v>
      </c>
      <c r="L311" s="3">
        <v>37.1</v>
      </c>
      <c r="M311" s="3">
        <v>355</v>
      </c>
      <c r="N311" s="3" t="str">
        <f t="shared" si="25"/>
        <v>2011</v>
      </c>
      <c r="O311" s="2">
        <v>180</v>
      </c>
    </row>
    <row r="312" spans="1:23" x14ac:dyDescent="0.35">
      <c r="A312" s="3">
        <v>2023</v>
      </c>
      <c r="B312" s="3">
        <v>7</v>
      </c>
      <c r="C312" s="3">
        <v>17</v>
      </c>
      <c r="D312" s="2">
        <v>389</v>
      </c>
      <c r="E312" s="3">
        <v>3</v>
      </c>
      <c r="F312" s="3" t="s">
        <v>45</v>
      </c>
      <c r="G312" s="3" t="str">
        <f t="shared" si="26"/>
        <v>2011</v>
      </c>
      <c r="H312" s="3">
        <f t="shared" si="24"/>
        <v>12</v>
      </c>
      <c r="I312" s="69"/>
      <c r="J312" s="3" t="s">
        <v>632</v>
      </c>
      <c r="K312" s="3" t="s">
        <v>317</v>
      </c>
      <c r="L312" s="3">
        <v>31.8</v>
      </c>
      <c r="M312" s="3">
        <v>355</v>
      </c>
      <c r="N312" s="3" t="str">
        <f t="shared" si="25"/>
        <v>2007</v>
      </c>
      <c r="O312" s="2">
        <v>389</v>
      </c>
    </row>
    <row r="313" spans="1:23" x14ac:dyDescent="0.35">
      <c r="A313" s="3">
        <v>2024</v>
      </c>
      <c r="B313" s="3">
        <v>3</v>
      </c>
      <c r="C313" s="3">
        <v>12</v>
      </c>
      <c r="D313" s="2">
        <v>686</v>
      </c>
      <c r="E313" s="3">
        <v>2</v>
      </c>
      <c r="F313" s="3" t="s">
        <v>45</v>
      </c>
      <c r="G313" s="3" t="str">
        <f t="shared" si="26"/>
        <v>2011</v>
      </c>
      <c r="H313" s="3">
        <f t="shared" si="24"/>
        <v>13</v>
      </c>
      <c r="I313" s="69"/>
      <c r="J313" t="s">
        <v>1105</v>
      </c>
      <c r="K313" t="s">
        <v>317</v>
      </c>
      <c r="L313">
        <v>39.799999999999997</v>
      </c>
      <c r="M313" s="3">
        <v>355</v>
      </c>
      <c r="N313" s="3" t="str">
        <f t="shared" si="25"/>
        <v>2007</v>
      </c>
      <c r="O313" s="2">
        <v>686</v>
      </c>
    </row>
    <row r="314" spans="1:23" x14ac:dyDescent="0.35">
      <c r="A314" s="3">
        <v>2024</v>
      </c>
      <c r="B314" s="3">
        <v>8</v>
      </c>
      <c r="C314" s="3">
        <v>6</v>
      </c>
      <c r="D314" s="2">
        <v>704</v>
      </c>
      <c r="E314" s="3">
        <v>3</v>
      </c>
      <c r="F314" s="3" t="s">
        <v>20</v>
      </c>
      <c r="G314" s="3" t="str">
        <f t="shared" si="26"/>
        <v>2020</v>
      </c>
      <c r="H314" s="3">
        <f t="shared" si="24"/>
        <v>4</v>
      </c>
      <c r="I314" s="69"/>
      <c r="J314" t="s">
        <v>233</v>
      </c>
      <c r="K314">
        <v>37</v>
      </c>
      <c r="L314">
        <v>34.6</v>
      </c>
      <c r="M314" s="3">
        <v>355</v>
      </c>
      <c r="N314" s="3" t="str">
        <f t="shared" si="25"/>
        <v>2018</v>
      </c>
      <c r="O314" s="2">
        <v>704</v>
      </c>
    </row>
    <row r="315" spans="1:23" x14ac:dyDescent="0.35">
      <c r="A315" s="3">
        <v>2019</v>
      </c>
      <c r="B315" s="3">
        <v>8</v>
      </c>
      <c r="C315" s="3">
        <v>9</v>
      </c>
      <c r="D315" s="2">
        <v>314</v>
      </c>
      <c r="E315" s="3">
        <v>3</v>
      </c>
      <c r="F315" s="3" t="s">
        <v>45</v>
      </c>
      <c r="G315" s="3" t="str">
        <f t="shared" si="26"/>
        <v>2011</v>
      </c>
      <c r="H315" s="3">
        <f t="shared" si="24"/>
        <v>8</v>
      </c>
      <c r="I315" s="69"/>
      <c r="J315" s="3" t="s">
        <v>317</v>
      </c>
      <c r="K315" s="3" t="s">
        <v>317</v>
      </c>
      <c r="L315" s="3">
        <v>27.6</v>
      </c>
      <c r="M315" s="3">
        <v>356</v>
      </c>
      <c r="N315" s="3" t="str">
        <f t="shared" si="25"/>
        <v>2007</v>
      </c>
      <c r="O315" s="2">
        <v>314</v>
      </c>
    </row>
    <row r="316" spans="1:23" x14ac:dyDescent="0.35">
      <c r="A316" s="3">
        <v>2018</v>
      </c>
      <c r="B316" s="3">
        <v>8</v>
      </c>
      <c r="C316" s="3">
        <v>16</v>
      </c>
      <c r="D316" s="2">
        <v>327</v>
      </c>
      <c r="E316" s="3">
        <v>3</v>
      </c>
      <c r="F316" s="3" t="s">
        <v>45</v>
      </c>
      <c r="G316" s="3" t="str">
        <f t="shared" si="26"/>
        <v>2011</v>
      </c>
      <c r="H316" s="3">
        <f t="shared" si="24"/>
        <v>7</v>
      </c>
      <c r="I316" s="69"/>
      <c r="J316" s="3" t="s">
        <v>647</v>
      </c>
      <c r="K316" s="3" t="s">
        <v>317</v>
      </c>
      <c r="L316" s="3">
        <v>37.799999999999997</v>
      </c>
      <c r="M316" s="3">
        <v>356</v>
      </c>
      <c r="N316" s="3" t="str">
        <f t="shared" si="25"/>
        <v>2007</v>
      </c>
      <c r="O316" s="2">
        <v>327</v>
      </c>
    </row>
    <row r="317" spans="1:23" x14ac:dyDescent="0.35">
      <c r="A317" s="3">
        <v>2023</v>
      </c>
      <c r="B317" s="3">
        <v>11</v>
      </c>
      <c r="C317" s="3">
        <v>7</v>
      </c>
      <c r="D317" s="2">
        <v>503</v>
      </c>
      <c r="E317" s="3">
        <v>4</v>
      </c>
      <c r="F317" s="3" t="s">
        <v>41</v>
      </c>
      <c r="G317" s="3" t="str">
        <f t="shared" si="26"/>
        <v>2012</v>
      </c>
      <c r="H317" s="3">
        <f t="shared" si="24"/>
        <v>11</v>
      </c>
      <c r="I317" s="69"/>
      <c r="J317" s="3" t="s">
        <v>958</v>
      </c>
      <c r="K317" s="3" t="s">
        <v>461</v>
      </c>
      <c r="L317" s="3">
        <v>34.5</v>
      </c>
      <c r="M317" s="3">
        <v>357</v>
      </c>
      <c r="N317" s="3" t="str">
        <f t="shared" si="25"/>
        <v>2011</v>
      </c>
      <c r="O317" s="2">
        <v>503</v>
      </c>
      <c r="P317">
        <v>10.6</v>
      </c>
    </row>
    <row r="318" spans="1:23" x14ac:dyDescent="0.35">
      <c r="A318" s="3">
        <v>2024</v>
      </c>
      <c r="B318" s="3">
        <v>8</v>
      </c>
      <c r="C318" s="3">
        <v>19</v>
      </c>
      <c r="D318" s="2">
        <v>743</v>
      </c>
      <c r="E318" s="3">
        <v>3</v>
      </c>
      <c r="F318" s="3" t="s">
        <v>225</v>
      </c>
      <c r="G318" s="3" t="str">
        <f t="shared" si="26"/>
        <v>2021</v>
      </c>
      <c r="H318" s="3">
        <f t="shared" si="24"/>
        <v>3</v>
      </c>
      <c r="I318" s="69"/>
      <c r="J318">
        <v>3</v>
      </c>
      <c r="K318">
        <v>3</v>
      </c>
      <c r="L318">
        <v>45.2</v>
      </c>
      <c r="M318" s="3">
        <v>357</v>
      </c>
      <c r="N318" s="3" t="str">
        <f t="shared" si="25"/>
        <v>2021</v>
      </c>
      <c r="O318" s="2">
        <v>743</v>
      </c>
    </row>
    <row r="319" spans="1:23" x14ac:dyDescent="0.35">
      <c r="A319" s="3">
        <v>2017</v>
      </c>
      <c r="B319" s="3">
        <v>11</v>
      </c>
      <c r="C319" s="3">
        <v>9</v>
      </c>
      <c r="D319" s="2">
        <v>80</v>
      </c>
      <c r="E319" s="15">
        <v>4</v>
      </c>
      <c r="F319" s="3" t="s">
        <v>45</v>
      </c>
      <c r="G319" s="3" t="str">
        <f t="shared" si="26"/>
        <v>2011</v>
      </c>
      <c r="H319" s="3">
        <f t="shared" si="24"/>
        <v>6</v>
      </c>
      <c r="I319" s="69"/>
      <c r="J319" s="3" t="s">
        <v>317</v>
      </c>
      <c r="K319" s="3" t="s">
        <v>317</v>
      </c>
      <c r="L319" s="3">
        <v>37.9</v>
      </c>
      <c r="M319" s="3">
        <v>358</v>
      </c>
      <c r="N319" s="3" t="str">
        <f t="shared" si="25"/>
        <v>2007</v>
      </c>
      <c r="O319" s="2">
        <v>80</v>
      </c>
    </row>
    <row r="320" spans="1:23" x14ac:dyDescent="0.35">
      <c r="A320" s="3">
        <v>2019</v>
      </c>
      <c r="B320" s="3">
        <v>8</v>
      </c>
      <c r="C320" s="3">
        <v>6</v>
      </c>
      <c r="D320" s="2">
        <v>316</v>
      </c>
      <c r="E320" s="3">
        <v>3</v>
      </c>
      <c r="F320" s="3" t="s">
        <v>226</v>
      </c>
      <c r="G320" s="3" t="str">
        <f t="shared" si="26"/>
        <v>2017</v>
      </c>
      <c r="H320" s="3">
        <f t="shared" si="24"/>
        <v>2</v>
      </c>
      <c r="I320" s="69"/>
      <c r="J320" s="3" t="s">
        <v>783</v>
      </c>
      <c r="K320" s="3">
        <v>7</v>
      </c>
      <c r="L320" s="3">
        <v>37.299999999999997</v>
      </c>
      <c r="M320" s="3">
        <v>360</v>
      </c>
      <c r="N320" s="3" t="str">
        <f t="shared" si="25"/>
        <v>2017</v>
      </c>
      <c r="O320" s="2">
        <v>316</v>
      </c>
    </row>
    <row r="321" spans="1:15" x14ac:dyDescent="0.35">
      <c r="A321" s="3">
        <v>2024</v>
      </c>
      <c r="B321" s="3">
        <v>8</v>
      </c>
      <c r="C321" s="3">
        <v>13</v>
      </c>
      <c r="D321" s="2">
        <v>716</v>
      </c>
      <c r="E321" s="3">
        <v>3</v>
      </c>
      <c r="F321" s="3" t="s">
        <v>225</v>
      </c>
      <c r="G321" s="3" t="str">
        <f t="shared" si="26"/>
        <v>2022</v>
      </c>
      <c r="H321" s="3">
        <f t="shared" si="24"/>
        <v>2</v>
      </c>
      <c r="I321" s="69"/>
      <c r="J321" t="s">
        <v>67</v>
      </c>
      <c r="K321">
        <v>2</v>
      </c>
      <c r="L321">
        <v>43.8</v>
      </c>
      <c r="M321" s="3">
        <v>360</v>
      </c>
      <c r="N321" s="3" t="str">
        <f t="shared" si="25"/>
        <v>2021</v>
      </c>
      <c r="O321" s="2">
        <v>716</v>
      </c>
    </row>
    <row r="322" spans="1:15" x14ac:dyDescent="0.35">
      <c r="A322" s="3">
        <v>2016</v>
      </c>
      <c r="B322" s="3">
        <v>9</v>
      </c>
      <c r="C322" s="3">
        <v>1</v>
      </c>
      <c r="D322" s="2">
        <v>238</v>
      </c>
      <c r="E322" s="3">
        <v>3</v>
      </c>
      <c r="F322" s="3" t="s">
        <v>45</v>
      </c>
      <c r="G322" s="3" t="str">
        <f t="shared" si="26"/>
        <v>2011</v>
      </c>
      <c r="H322" s="3">
        <f t="shared" ref="H322:H385" si="27">SUM(A322-G322)</f>
        <v>5</v>
      </c>
      <c r="I322" s="69"/>
      <c r="J322" s="3" t="s">
        <v>647</v>
      </c>
      <c r="K322" s="3" t="s">
        <v>317</v>
      </c>
      <c r="L322" s="3">
        <v>42.3</v>
      </c>
      <c r="M322" s="3">
        <v>361</v>
      </c>
      <c r="N322" s="3" t="str">
        <f t="shared" ref="N322:N385" si="28">IF(F322="PHD", "2007", IF(F322="TSL", "2011", IF(F322 = "SRS", "2018", IF(F322="WCA 3B", "2017", IF(F322="WCA 3A", "2021")))))</f>
        <v>2007</v>
      </c>
      <c r="O322" s="2">
        <v>238</v>
      </c>
    </row>
    <row r="323" spans="1:15" x14ac:dyDescent="0.35">
      <c r="A323" s="3">
        <v>2024</v>
      </c>
      <c r="B323" s="3">
        <v>8</v>
      </c>
      <c r="C323" s="3">
        <v>8</v>
      </c>
      <c r="D323" s="2">
        <v>707</v>
      </c>
      <c r="E323" s="3">
        <v>3</v>
      </c>
      <c r="F323" s="3" t="s">
        <v>45</v>
      </c>
      <c r="G323" s="3" t="str">
        <f t="shared" si="26"/>
        <v>2011</v>
      </c>
      <c r="H323" s="3">
        <f t="shared" si="27"/>
        <v>13</v>
      </c>
      <c r="I323" s="69"/>
      <c r="J323" t="s">
        <v>632</v>
      </c>
      <c r="K323" t="s">
        <v>317</v>
      </c>
      <c r="L323">
        <v>42.8</v>
      </c>
      <c r="M323" s="3">
        <v>362</v>
      </c>
      <c r="N323" s="3" t="str">
        <f t="shared" si="28"/>
        <v>2007</v>
      </c>
      <c r="O323" s="2">
        <v>707</v>
      </c>
    </row>
    <row r="324" spans="1:15" x14ac:dyDescent="0.35">
      <c r="A324" s="3">
        <v>2023</v>
      </c>
      <c r="B324" s="3">
        <v>7</v>
      </c>
      <c r="C324" s="3">
        <v>17</v>
      </c>
      <c r="D324" s="2">
        <v>384</v>
      </c>
      <c r="E324" s="3">
        <v>3</v>
      </c>
      <c r="F324" s="3" t="s">
        <v>45</v>
      </c>
      <c r="G324" s="3" t="str">
        <f t="shared" si="26"/>
        <v>2011</v>
      </c>
      <c r="H324" s="3">
        <f t="shared" si="27"/>
        <v>12</v>
      </c>
      <c r="I324" s="69"/>
      <c r="J324" s="3" t="s">
        <v>46</v>
      </c>
      <c r="K324" s="3" t="s">
        <v>317</v>
      </c>
      <c r="L324" s="3">
        <v>32.1</v>
      </c>
      <c r="M324" s="3">
        <v>363</v>
      </c>
      <c r="N324" s="3" t="str">
        <f t="shared" si="28"/>
        <v>2007</v>
      </c>
      <c r="O324" s="2">
        <v>384</v>
      </c>
    </row>
    <row r="325" spans="1:15" x14ac:dyDescent="0.35">
      <c r="A325" s="3">
        <v>2023</v>
      </c>
      <c r="B325" s="3">
        <v>11</v>
      </c>
      <c r="C325" s="3">
        <v>2</v>
      </c>
      <c r="D325" s="2">
        <v>524</v>
      </c>
      <c r="E325" s="3">
        <v>4</v>
      </c>
      <c r="F325" s="3" t="s">
        <v>45</v>
      </c>
      <c r="G325" s="3" t="str">
        <f t="shared" si="26"/>
        <v>2011</v>
      </c>
      <c r="H325" s="3">
        <f t="shared" si="27"/>
        <v>12</v>
      </c>
      <c r="I325" s="69"/>
      <c r="J325" s="3" t="s">
        <v>977</v>
      </c>
      <c r="K325" s="3" t="s">
        <v>317</v>
      </c>
      <c r="L325" s="3">
        <v>37.9</v>
      </c>
      <c r="M325" s="3">
        <v>363</v>
      </c>
      <c r="N325" s="3" t="str">
        <f t="shared" si="28"/>
        <v>2007</v>
      </c>
      <c r="O325" s="2">
        <v>524</v>
      </c>
    </row>
    <row r="326" spans="1:15" x14ac:dyDescent="0.35">
      <c r="A326" s="3">
        <v>2024</v>
      </c>
      <c r="B326" s="3">
        <v>1</v>
      </c>
      <c r="C326" s="3">
        <v>18</v>
      </c>
      <c r="D326" s="2">
        <v>560</v>
      </c>
      <c r="E326" s="3">
        <v>1</v>
      </c>
      <c r="F326" s="3" t="s">
        <v>41</v>
      </c>
      <c r="G326" s="3" t="str">
        <f t="shared" si="26"/>
        <v>2012</v>
      </c>
      <c r="H326" s="3">
        <f t="shared" si="27"/>
        <v>12</v>
      </c>
      <c r="I326" s="69"/>
      <c r="J326" t="s">
        <v>541</v>
      </c>
      <c r="K326" s="3" t="s">
        <v>461</v>
      </c>
      <c r="L326">
        <v>35.299999999999997</v>
      </c>
      <c r="M326" s="3">
        <v>363</v>
      </c>
      <c r="N326" s="3" t="str">
        <f t="shared" si="28"/>
        <v>2011</v>
      </c>
      <c r="O326" s="2">
        <v>560</v>
      </c>
    </row>
    <row r="327" spans="1:15" x14ac:dyDescent="0.35">
      <c r="A327" s="3">
        <v>2024</v>
      </c>
      <c r="B327" s="3">
        <v>8</v>
      </c>
      <c r="C327" s="3">
        <v>20</v>
      </c>
      <c r="D327" s="2">
        <v>724</v>
      </c>
      <c r="E327" s="3">
        <v>3</v>
      </c>
      <c r="F327" s="3" t="s">
        <v>226</v>
      </c>
      <c r="G327" s="3" t="str">
        <f t="shared" ref="G327:G390" si="29">IF(K327="A55","2009",IF(K327="A59","2009",IF(K327="A60","2010",IF(K327="A62","2011",IF(K327="CP","2013",IF(K327="MD","2012",IF(K327="TS","2013",IF(K327="DL","2018",IF(K327="SCU","2018",IF(K327="NCU","2018",IF(K327="C1C","2018",IF(K327="C1E","2018",IF(K327="RS1S","2018",IF(K327="C2B","2018",IF(K327="DB3","2018",IF(AND(K327=6,F327="SRS"),"2018",IF(AND(K327=7,F327="SRS"),"2020",IF(AND(K327=8,F327="SRS"),"2020",IF(K327=23,"2019",IF(AND(K327=7,F327="WCA 3B"),"2017",IF(AND(K327=8,F327="WCA 3B"),"2019",IF(K327=1,"2021",IF(K327=2,"2022",IF(K327=3,"2021",IF(K327=4,"2021",IF(K327=5,"2022",IF(AND(K327=6,F327="WCA 3A"),"2022",IF(K327=9,"2023",IF(K327=10,"2023",IF(K327=37,"2020"))))))))))))))))))))))))))))))</f>
        <v>2017</v>
      </c>
      <c r="H327" s="3">
        <f t="shared" si="27"/>
        <v>7</v>
      </c>
      <c r="I327" s="69"/>
      <c r="J327" t="s">
        <v>783</v>
      </c>
      <c r="K327">
        <v>7</v>
      </c>
      <c r="L327">
        <v>40.700000000000003</v>
      </c>
      <c r="M327" s="3">
        <v>363</v>
      </c>
      <c r="N327" s="3" t="str">
        <f t="shared" si="28"/>
        <v>2017</v>
      </c>
      <c r="O327" s="2">
        <v>724</v>
      </c>
    </row>
    <row r="328" spans="1:15" x14ac:dyDescent="0.35">
      <c r="A328" s="3">
        <v>2023</v>
      </c>
      <c r="B328" s="3">
        <v>8</v>
      </c>
      <c r="C328" s="3">
        <v>2</v>
      </c>
      <c r="D328" s="2">
        <v>423</v>
      </c>
      <c r="E328" s="3">
        <v>3</v>
      </c>
      <c r="F328" s="3" t="s">
        <v>226</v>
      </c>
      <c r="G328" s="3" t="str">
        <f t="shared" si="29"/>
        <v>2017</v>
      </c>
      <c r="H328" s="3">
        <f t="shared" si="27"/>
        <v>6</v>
      </c>
      <c r="I328" s="69"/>
      <c r="J328" s="3" t="s">
        <v>64</v>
      </c>
      <c r="K328" s="3">
        <v>7</v>
      </c>
      <c r="L328" s="3">
        <v>36.4</v>
      </c>
      <c r="M328" s="3">
        <v>363.2</v>
      </c>
      <c r="N328" s="3" t="str">
        <f t="shared" si="28"/>
        <v>2017</v>
      </c>
      <c r="O328" s="2">
        <v>423</v>
      </c>
    </row>
    <row r="329" spans="1:15" x14ac:dyDescent="0.35">
      <c r="A329" s="3">
        <v>2022</v>
      </c>
      <c r="B329" s="3">
        <v>1</v>
      </c>
      <c r="C329" s="3" t="s">
        <v>28</v>
      </c>
      <c r="D329" s="2">
        <v>24</v>
      </c>
      <c r="E329" s="3">
        <v>1</v>
      </c>
      <c r="F329" s="3" t="s">
        <v>20</v>
      </c>
      <c r="G329" s="3" t="str">
        <f t="shared" si="29"/>
        <v>2019</v>
      </c>
      <c r="H329" s="3">
        <f t="shared" si="27"/>
        <v>3</v>
      </c>
      <c r="I329" s="69"/>
      <c r="J329" s="3">
        <v>23</v>
      </c>
      <c r="K329" s="3">
        <v>23</v>
      </c>
      <c r="L329" s="3">
        <v>44.1</v>
      </c>
      <c r="M329" s="3">
        <v>364</v>
      </c>
      <c r="N329" s="3" t="str">
        <f t="shared" si="28"/>
        <v>2018</v>
      </c>
      <c r="O329" s="2">
        <v>24</v>
      </c>
    </row>
    <row r="330" spans="1:15" x14ac:dyDescent="0.35">
      <c r="A330" s="3">
        <v>2023</v>
      </c>
      <c r="B330" s="3">
        <v>7</v>
      </c>
      <c r="C330" s="3">
        <v>28</v>
      </c>
      <c r="D330" s="2">
        <v>438</v>
      </c>
      <c r="E330" s="3">
        <v>3</v>
      </c>
      <c r="F330" s="3" t="s">
        <v>225</v>
      </c>
      <c r="G330" s="3" t="str">
        <f t="shared" si="29"/>
        <v>2021</v>
      </c>
      <c r="H330" s="3">
        <f t="shared" si="27"/>
        <v>2</v>
      </c>
      <c r="I330" s="69"/>
      <c r="J330" s="3" t="s">
        <v>898</v>
      </c>
      <c r="K330" s="3">
        <v>4</v>
      </c>
      <c r="L330" s="3">
        <v>51.1</v>
      </c>
      <c r="M330" s="3">
        <v>364</v>
      </c>
      <c r="N330" s="3" t="str">
        <f t="shared" si="28"/>
        <v>2021</v>
      </c>
      <c r="O330" s="2">
        <v>438</v>
      </c>
    </row>
    <row r="331" spans="1:15" x14ac:dyDescent="0.35">
      <c r="A331" s="3">
        <v>2024</v>
      </c>
      <c r="B331" s="3">
        <v>8</v>
      </c>
      <c r="C331" s="3">
        <v>7</v>
      </c>
      <c r="D331" s="2">
        <v>806</v>
      </c>
      <c r="E331" s="3">
        <v>3</v>
      </c>
      <c r="F331" s="3" t="s">
        <v>20</v>
      </c>
      <c r="G331" s="3" t="str">
        <f t="shared" si="29"/>
        <v>2018</v>
      </c>
      <c r="H331" s="3">
        <f t="shared" si="27"/>
        <v>6</v>
      </c>
      <c r="I331" s="69"/>
      <c r="J331" t="s">
        <v>234</v>
      </c>
      <c r="K331">
        <v>6</v>
      </c>
      <c r="L331">
        <v>40.200000000000003</v>
      </c>
      <c r="M331" s="3">
        <v>364</v>
      </c>
      <c r="N331" s="3" t="str">
        <f t="shared" si="28"/>
        <v>2018</v>
      </c>
      <c r="O331" s="2">
        <v>806</v>
      </c>
    </row>
    <row r="332" spans="1:15" x14ac:dyDescent="0.35">
      <c r="A332" s="3">
        <v>2024</v>
      </c>
      <c r="B332">
        <v>8</v>
      </c>
      <c r="C332" s="3">
        <v>19</v>
      </c>
      <c r="D332" s="2">
        <v>813</v>
      </c>
      <c r="E332" s="3">
        <v>3</v>
      </c>
      <c r="F332" s="3" t="s">
        <v>225</v>
      </c>
      <c r="G332" s="3" t="str">
        <f t="shared" si="29"/>
        <v>2021</v>
      </c>
      <c r="H332" s="3">
        <f t="shared" si="27"/>
        <v>3</v>
      </c>
      <c r="I332" s="69"/>
      <c r="J332">
        <v>3</v>
      </c>
      <c r="K332">
        <v>3</v>
      </c>
      <c r="L332">
        <v>58.9</v>
      </c>
      <c r="M332" s="3">
        <v>364</v>
      </c>
      <c r="N332" s="3" t="str">
        <f t="shared" si="28"/>
        <v>2021</v>
      </c>
      <c r="O332" s="2">
        <v>813</v>
      </c>
    </row>
    <row r="333" spans="1:15" x14ac:dyDescent="0.35">
      <c r="A333" s="3">
        <v>2021</v>
      </c>
      <c r="B333" s="3">
        <v>10</v>
      </c>
      <c r="C333" s="3" t="s">
        <v>28</v>
      </c>
      <c r="D333" s="2">
        <v>35</v>
      </c>
      <c r="E333" s="3">
        <v>4</v>
      </c>
      <c r="F333" s="3" t="s">
        <v>41</v>
      </c>
      <c r="G333" s="3" t="str">
        <f t="shared" si="29"/>
        <v>2012</v>
      </c>
      <c r="H333" s="3">
        <f t="shared" si="27"/>
        <v>9</v>
      </c>
      <c r="I333" s="69"/>
      <c r="J333" s="3" t="s">
        <v>461</v>
      </c>
      <c r="K333" s="3" t="s">
        <v>461</v>
      </c>
      <c r="L333" s="3">
        <v>56.2</v>
      </c>
      <c r="M333" s="3">
        <v>365</v>
      </c>
      <c r="N333" s="3" t="str">
        <f t="shared" si="28"/>
        <v>2011</v>
      </c>
      <c r="O333" s="2">
        <v>35</v>
      </c>
    </row>
    <row r="334" spans="1:15" x14ac:dyDescent="0.35">
      <c r="A334" s="3">
        <v>2024</v>
      </c>
      <c r="B334" s="3">
        <v>4</v>
      </c>
      <c r="C334" s="3">
        <v>8</v>
      </c>
      <c r="D334" s="2">
        <v>677</v>
      </c>
      <c r="E334" s="3">
        <v>2</v>
      </c>
      <c r="F334" s="3" t="s">
        <v>225</v>
      </c>
      <c r="G334" s="3" t="str">
        <f t="shared" si="29"/>
        <v>2021</v>
      </c>
      <c r="H334" s="3">
        <f t="shared" si="27"/>
        <v>3</v>
      </c>
      <c r="I334" s="69"/>
      <c r="J334" t="s">
        <v>237</v>
      </c>
      <c r="K334">
        <v>3</v>
      </c>
      <c r="L334">
        <v>45.8</v>
      </c>
      <c r="M334" s="3">
        <v>365</v>
      </c>
      <c r="N334" s="3" t="str">
        <f t="shared" si="28"/>
        <v>2021</v>
      </c>
      <c r="O334" s="2">
        <v>677</v>
      </c>
    </row>
    <row r="335" spans="1:15" x14ac:dyDescent="0.35">
      <c r="A335" s="3">
        <v>2023</v>
      </c>
      <c r="B335" s="3">
        <v>7</v>
      </c>
      <c r="C335" s="3">
        <v>18</v>
      </c>
      <c r="D335" s="2">
        <v>343</v>
      </c>
      <c r="E335" s="3">
        <v>3</v>
      </c>
      <c r="F335" s="3" t="s">
        <v>45</v>
      </c>
      <c r="G335" s="3" t="str">
        <f t="shared" si="29"/>
        <v>2009</v>
      </c>
      <c r="H335" s="3">
        <f t="shared" si="27"/>
        <v>14</v>
      </c>
      <c r="I335" s="69"/>
      <c r="J335" s="3" t="s">
        <v>742</v>
      </c>
      <c r="K335" s="3" t="s">
        <v>488</v>
      </c>
      <c r="L335" s="3">
        <v>34.1</v>
      </c>
      <c r="M335" s="3">
        <v>366</v>
      </c>
      <c r="N335" s="3" t="str">
        <f t="shared" si="28"/>
        <v>2007</v>
      </c>
      <c r="O335" s="2">
        <v>343</v>
      </c>
    </row>
    <row r="336" spans="1:15" x14ac:dyDescent="0.35">
      <c r="A336" s="3">
        <v>2021</v>
      </c>
      <c r="B336" s="3">
        <v>4</v>
      </c>
      <c r="C336" s="3">
        <v>13</v>
      </c>
      <c r="D336" s="2">
        <v>493</v>
      </c>
      <c r="E336" s="3">
        <v>2</v>
      </c>
      <c r="F336" s="3" t="s">
        <v>226</v>
      </c>
      <c r="G336" s="3" t="str">
        <f t="shared" si="29"/>
        <v>2018</v>
      </c>
      <c r="H336" s="3">
        <f t="shared" si="27"/>
        <v>3</v>
      </c>
      <c r="I336" s="69"/>
      <c r="J336" s="3" t="s">
        <v>51</v>
      </c>
      <c r="K336" s="3" t="s">
        <v>942</v>
      </c>
      <c r="L336" s="16">
        <v>50</v>
      </c>
      <c r="M336" s="3">
        <v>367</v>
      </c>
      <c r="N336" s="3" t="str">
        <f t="shared" si="28"/>
        <v>2017</v>
      </c>
      <c r="O336" s="2">
        <v>493</v>
      </c>
    </row>
    <row r="337" spans="1:16" x14ac:dyDescent="0.35">
      <c r="A337" s="3">
        <v>2024</v>
      </c>
      <c r="B337" s="3">
        <v>4</v>
      </c>
      <c r="C337" s="3">
        <v>8</v>
      </c>
      <c r="D337" s="2">
        <v>678</v>
      </c>
      <c r="E337" s="3">
        <v>2</v>
      </c>
      <c r="F337" s="3" t="s">
        <v>225</v>
      </c>
      <c r="G337" s="3" t="str">
        <f t="shared" si="29"/>
        <v>2021</v>
      </c>
      <c r="H337" s="3">
        <f t="shared" si="27"/>
        <v>3</v>
      </c>
      <c r="I337" s="69"/>
      <c r="J337" t="s">
        <v>237</v>
      </c>
      <c r="K337">
        <v>3</v>
      </c>
      <c r="L337">
        <v>46.9</v>
      </c>
      <c r="M337" s="3">
        <v>367</v>
      </c>
      <c r="N337" s="3" t="str">
        <f t="shared" si="28"/>
        <v>2021</v>
      </c>
      <c r="O337" s="2">
        <v>678</v>
      </c>
    </row>
    <row r="338" spans="1:16" x14ac:dyDescent="0.35">
      <c r="A338" s="3">
        <v>2019</v>
      </c>
      <c r="B338" s="3">
        <v>2</v>
      </c>
      <c r="C338" s="3">
        <v>21</v>
      </c>
      <c r="D338" s="2">
        <v>166</v>
      </c>
      <c r="E338" s="3">
        <v>1</v>
      </c>
      <c r="F338" s="3" t="s">
        <v>45</v>
      </c>
      <c r="G338" s="3" t="str">
        <f t="shared" si="29"/>
        <v>2011</v>
      </c>
      <c r="H338" s="3">
        <f t="shared" si="27"/>
        <v>8</v>
      </c>
      <c r="I338" s="69"/>
      <c r="J338" s="3" t="s">
        <v>615</v>
      </c>
      <c r="K338" s="3" t="s">
        <v>317</v>
      </c>
      <c r="L338" s="3">
        <v>38.6</v>
      </c>
      <c r="M338" s="3">
        <v>368</v>
      </c>
      <c r="N338" s="3" t="str">
        <f t="shared" si="28"/>
        <v>2007</v>
      </c>
      <c r="O338" s="2">
        <v>166</v>
      </c>
    </row>
    <row r="339" spans="1:16" x14ac:dyDescent="0.35">
      <c r="A339" s="3">
        <v>2019</v>
      </c>
      <c r="B339" s="3">
        <v>10</v>
      </c>
      <c r="C339" s="3">
        <v>29</v>
      </c>
      <c r="D339" s="2">
        <v>407</v>
      </c>
      <c r="E339" s="3">
        <v>4</v>
      </c>
      <c r="F339" s="3" t="s">
        <v>226</v>
      </c>
      <c r="G339" s="3" t="str">
        <f t="shared" si="29"/>
        <v>2017</v>
      </c>
      <c r="H339" s="3">
        <f t="shared" si="27"/>
        <v>2</v>
      </c>
      <c r="I339" s="69"/>
      <c r="J339" s="3">
        <v>7</v>
      </c>
      <c r="K339" s="3">
        <v>7</v>
      </c>
      <c r="L339" s="3">
        <v>25.4</v>
      </c>
      <c r="M339" s="3">
        <v>368</v>
      </c>
      <c r="N339" s="3" t="str">
        <f t="shared" si="28"/>
        <v>2017</v>
      </c>
      <c r="O339" s="2">
        <v>407</v>
      </c>
    </row>
    <row r="340" spans="1:16" x14ac:dyDescent="0.35">
      <c r="A340" s="3">
        <v>2010</v>
      </c>
      <c r="B340" s="3">
        <v>10</v>
      </c>
      <c r="C340" s="3">
        <v>5</v>
      </c>
      <c r="D340" s="2">
        <v>623</v>
      </c>
      <c r="E340" s="3">
        <v>4</v>
      </c>
      <c r="F340" s="3" t="s">
        <v>45</v>
      </c>
      <c r="G340" s="3" t="str">
        <f t="shared" si="29"/>
        <v>2009</v>
      </c>
      <c r="H340" s="3">
        <f t="shared" si="27"/>
        <v>1</v>
      </c>
      <c r="I340" s="69"/>
      <c r="J340" t="s">
        <v>1062</v>
      </c>
      <c r="K340" s="3" t="s">
        <v>512</v>
      </c>
      <c r="L340">
        <v>37.799999999999997</v>
      </c>
      <c r="M340" s="3">
        <v>368</v>
      </c>
      <c r="N340" s="3" t="str">
        <f t="shared" si="28"/>
        <v>2007</v>
      </c>
      <c r="O340" s="2">
        <v>623</v>
      </c>
    </row>
    <row r="341" spans="1:16" x14ac:dyDescent="0.35">
      <c r="A341" s="3">
        <v>2023</v>
      </c>
      <c r="B341" s="3">
        <v>11</v>
      </c>
      <c r="C341" s="3">
        <v>3</v>
      </c>
      <c r="D341" s="2">
        <v>531</v>
      </c>
      <c r="E341" s="3">
        <v>4</v>
      </c>
      <c r="F341" s="3" t="s">
        <v>225</v>
      </c>
      <c r="G341" s="3" t="str">
        <f t="shared" si="29"/>
        <v>2022</v>
      </c>
      <c r="H341" s="3">
        <f t="shared" si="27"/>
        <v>1</v>
      </c>
      <c r="I341" s="69"/>
      <c r="J341" s="3">
        <v>2</v>
      </c>
      <c r="K341" s="3">
        <v>2</v>
      </c>
      <c r="L341" s="3">
        <v>43.8</v>
      </c>
      <c r="M341" s="3">
        <v>369</v>
      </c>
      <c r="N341" s="3" t="str">
        <f t="shared" si="28"/>
        <v>2021</v>
      </c>
      <c r="O341" s="2">
        <v>531</v>
      </c>
    </row>
    <row r="342" spans="1:16" x14ac:dyDescent="0.35">
      <c r="A342" s="3">
        <v>2022</v>
      </c>
      <c r="B342" s="3">
        <v>11</v>
      </c>
      <c r="C342" s="3">
        <v>1</v>
      </c>
      <c r="D342" s="2">
        <v>369</v>
      </c>
      <c r="E342" s="3">
        <v>4</v>
      </c>
      <c r="F342" s="3" t="s">
        <v>41</v>
      </c>
      <c r="G342" s="3" t="str">
        <f t="shared" si="29"/>
        <v>2013</v>
      </c>
      <c r="H342" s="3">
        <f t="shared" si="27"/>
        <v>9</v>
      </c>
      <c r="I342" s="69"/>
      <c r="J342" s="3" t="s">
        <v>49</v>
      </c>
      <c r="K342" s="3" t="s">
        <v>318</v>
      </c>
      <c r="L342" s="3">
        <v>3.5</v>
      </c>
      <c r="M342" s="3">
        <v>370</v>
      </c>
      <c r="N342" s="3" t="str">
        <f t="shared" si="28"/>
        <v>2011</v>
      </c>
      <c r="O342" s="2">
        <v>369</v>
      </c>
    </row>
    <row r="343" spans="1:16" x14ac:dyDescent="0.35">
      <c r="A343" s="3">
        <v>2024</v>
      </c>
      <c r="B343" s="3">
        <v>1</v>
      </c>
      <c r="C343" s="3">
        <v>25</v>
      </c>
      <c r="D343" s="2">
        <v>601</v>
      </c>
      <c r="E343" s="3">
        <v>1</v>
      </c>
      <c r="F343" s="3" t="s">
        <v>226</v>
      </c>
      <c r="G343" s="3" t="str">
        <f t="shared" si="29"/>
        <v>2017</v>
      </c>
      <c r="H343" s="3">
        <f t="shared" si="27"/>
        <v>7</v>
      </c>
      <c r="I343" s="69"/>
      <c r="J343" t="s">
        <v>228</v>
      </c>
      <c r="K343">
        <v>7</v>
      </c>
      <c r="L343">
        <v>44</v>
      </c>
      <c r="M343" s="3">
        <v>370</v>
      </c>
      <c r="N343" s="3" t="str">
        <f t="shared" si="28"/>
        <v>2017</v>
      </c>
      <c r="O343" s="2">
        <v>601</v>
      </c>
    </row>
    <row r="344" spans="1:16" x14ac:dyDescent="0.35">
      <c r="A344" s="3">
        <v>2024</v>
      </c>
      <c r="B344" s="3">
        <v>1</v>
      </c>
      <c r="C344" s="3">
        <v>25</v>
      </c>
      <c r="D344" s="2">
        <v>601</v>
      </c>
      <c r="E344" s="3">
        <v>1</v>
      </c>
      <c r="F344" s="3" t="s">
        <v>226</v>
      </c>
      <c r="G344" s="3" t="str">
        <f t="shared" si="29"/>
        <v>2017</v>
      </c>
      <c r="H344" s="3">
        <f t="shared" si="27"/>
        <v>7</v>
      </c>
      <c r="I344" s="69"/>
      <c r="J344" t="s">
        <v>228</v>
      </c>
      <c r="K344">
        <v>7</v>
      </c>
      <c r="L344">
        <v>44</v>
      </c>
      <c r="M344" s="3">
        <v>370</v>
      </c>
      <c r="N344" s="3" t="str">
        <f t="shared" si="28"/>
        <v>2017</v>
      </c>
      <c r="O344" s="2">
        <v>601</v>
      </c>
    </row>
    <row r="345" spans="1:16" x14ac:dyDescent="0.35">
      <c r="A345" s="3">
        <v>2024</v>
      </c>
      <c r="B345" s="3">
        <v>8</v>
      </c>
      <c r="C345" s="3">
        <v>19</v>
      </c>
      <c r="D345" s="2">
        <v>789</v>
      </c>
      <c r="E345" s="3">
        <v>3</v>
      </c>
      <c r="F345" s="3" t="s">
        <v>225</v>
      </c>
      <c r="G345" s="3" t="str">
        <f t="shared" si="29"/>
        <v>2021</v>
      </c>
      <c r="H345" s="3">
        <f t="shared" si="27"/>
        <v>3</v>
      </c>
      <c r="I345" s="69"/>
      <c r="J345">
        <v>3</v>
      </c>
      <c r="K345">
        <v>3</v>
      </c>
      <c r="L345">
        <v>57.3</v>
      </c>
      <c r="M345" s="3">
        <v>370</v>
      </c>
      <c r="N345" s="3" t="str">
        <f t="shared" si="28"/>
        <v>2021</v>
      </c>
      <c r="O345" s="2">
        <v>789</v>
      </c>
    </row>
    <row r="346" spans="1:16" x14ac:dyDescent="0.35">
      <c r="A346" s="3">
        <v>2017</v>
      </c>
      <c r="B346" s="3">
        <v>8</v>
      </c>
      <c r="C346" s="3">
        <v>14</v>
      </c>
      <c r="D346" s="2">
        <v>90</v>
      </c>
      <c r="E346" s="15">
        <v>3</v>
      </c>
      <c r="F346" s="3" t="s">
        <v>45</v>
      </c>
      <c r="G346" s="3" t="str">
        <f t="shared" si="29"/>
        <v>2011</v>
      </c>
      <c r="H346" s="3">
        <f t="shared" si="27"/>
        <v>6</v>
      </c>
      <c r="I346" s="69"/>
      <c r="J346" s="3" t="s">
        <v>317</v>
      </c>
      <c r="K346" s="3" t="s">
        <v>317</v>
      </c>
      <c r="L346" s="3">
        <v>42.2</v>
      </c>
      <c r="M346" s="3">
        <v>371</v>
      </c>
      <c r="N346" s="3" t="str">
        <f t="shared" si="28"/>
        <v>2007</v>
      </c>
      <c r="O346" s="2">
        <v>90</v>
      </c>
    </row>
    <row r="347" spans="1:16" x14ac:dyDescent="0.35">
      <c r="A347" s="3">
        <v>2024</v>
      </c>
      <c r="B347" s="3">
        <v>2</v>
      </c>
      <c r="C347" s="3">
        <v>23</v>
      </c>
      <c r="D347" s="2">
        <v>645</v>
      </c>
      <c r="E347" s="3">
        <v>1</v>
      </c>
      <c r="F347" s="3" t="s">
        <v>225</v>
      </c>
      <c r="G347" s="3" t="str">
        <f t="shared" si="29"/>
        <v>2022</v>
      </c>
      <c r="H347" s="3">
        <f t="shared" si="27"/>
        <v>2</v>
      </c>
      <c r="I347" s="69"/>
      <c r="J347" t="s">
        <v>21</v>
      </c>
      <c r="K347" s="3">
        <v>2</v>
      </c>
      <c r="L347">
        <v>46.1</v>
      </c>
      <c r="M347" s="3">
        <v>371</v>
      </c>
      <c r="N347" s="3" t="str">
        <f t="shared" si="28"/>
        <v>2021</v>
      </c>
      <c r="O347" s="2">
        <v>645</v>
      </c>
    </row>
    <row r="348" spans="1:16" x14ac:dyDescent="0.35">
      <c r="A348" s="3">
        <v>2024</v>
      </c>
      <c r="B348" s="3">
        <v>8</v>
      </c>
      <c r="C348" s="3">
        <v>8</v>
      </c>
      <c r="D348" s="2">
        <v>702</v>
      </c>
      <c r="E348" s="3">
        <v>3</v>
      </c>
      <c r="F348" s="3" t="s">
        <v>45</v>
      </c>
      <c r="G348" s="3" t="str">
        <f t="shared" si="29"/>
        <v>2011</v>
      </c>
      <c r="H348" s="3">
        <f t="shared" si="27"/>
        <v>13</v>
      </c>
      <c r="I348" s="69"/>
      <c r="J348" t="s">
        <v>46</v>
      </c>
      <c r="K348" t="s">
        <v>317</v>
      </c>
      <c r="L348">
        <v>41.5</v>
      </c>
      <c r="M348" s="3">
        <v>371</v>
      </c>
      <c r="N348" s="3" t="str">
        <f t="shared" si="28"/>
        <v>2007</v>
      </c>
      <c r="O348" s="2">
        <v>702</v>
      </c>
    </row>
    <row r="349" spans="1:16" x14ac:dyDescent="0.35">
      <c r="A349" s="3">
        <v>2024</v>
      </c>
      <c r="B349" s="3">
        <v>8</v>
      </c>
      <c r="C349" s="3">
        <v>19</v>
      </c>
      <c r="D349" s="2">
        <v>746</v>
      </c>
      <c r="E349" s="3">
        <v>3</v>
      </c>
      <c r="F349" s="3" t="s">
        <v>225</v>
      </c>
      <c r="G349" s="3" t="str">
        <f t="shared" si="29"/>
        <v>2021</v>
      </c>
      <c r="H349" s="3">
        <f t="shared" si="27"/>
        <v>3</v>
      </c>
      <c r="I349" s="69"/>
      <c r="J349">
        <v>3</v>
      </c>
      <c r="K349">
        <v>3</v>
      </c>
      <c r="L349">
        <v>49.9</v>
      </c>
      <c r="M349" s="3">
        <v>371</v>
      </c>
      <c r="N349" s="3" t="str">
        <f t="shared" si="28"/>
        <v>2021</v>
      </c>
      <c r="O349" s="2">
        <v>746</v>
      </c>
    </row>
    <row r="350" spans="1:16" x14ac:dyDescent="0.35">
      <c r="A350" s="3">
        <v>2024</v>
      </c>
      <c r="B350">
        <v>8</v>
      </c>
      <c r="C350" s="3">
        <v>19</v>
      </c>
      <c r="D350" s="2">
        <v>816</v>
      </c>
      <c r="E350" s="3">
        <v>3</v>
      </c>
      <c r="F350" s="3" t="s">
        <v>225</v>
      </c>
      <c r="G350" s="3" t="str">
        <f t="shared" si="29"/>
        <v>2021</v>
      </c>
      <c r="H350" s="3">
        <f t="shared" si="27"/>
        <v>3</v>
      </c>
      <c r="I350" s="69"/>
      <c r="J350">
        <v>3</v>
      </c>
      <c r="K350">
        <v>3</v>
      </c>
      <c r="L350">
        <v>53.4</v>
      </c>
      <c r="M350" s="3">
        <v>371</v>
      </c>
      <c r="N350" s="3" t="str">
        <f t="shared" si="28"/>
        <v>2021</v>
      </c>
      <c r="O350" s="2">
        <v>816</v>
      </c>
    </row>
    <row r="351" spans="1:16" x14ac:dyDescent="0.35">
      <c r="A351" s="3">
        <v>2024</v>
      </c>
      <c r="B351" s="3">
        <v>8</v>
      </c>
      <c r="C351" s="3">
        <v>19</v>
      </c>
      <c r="D351" s="2">
        <v>784</v>
      </c>
      <c r="E351" s="3">
        <v>3</v>
      </c>
      <c r="F351" s="3" t="s">
        <v>225</v>
      </c>
      <c r="G351" s="3" t="str">
        <f t="shared" si="29"/>
        <v>2021</v>
      </c>
      <c r="H351" s="3">
        <f t="shared" si="27"/>
        <v>3</v>
      </c>
      <c r="I351" s="69"/>
      <c r="J351">
        <v>3</v>
      </c>
      <c r="K351">
        <v>3</v>
      </c>
      <c r="L351">
        <v>52.1</v>
      </c>
      <c r="M351" s="3">
        <v>372</v>
      </c>
      <c r="N351" s="3" t="str">
        <f t="shared" si="28"/>
        <v>2021</v>
      </c>
      <c r="O351" s="2">
        <v>784</v>
      </c>
    </row>
    <row r="352" spans="1:16" x14ac:dyDescent="0.35">
      <c r="A352" s="3">
        <v>2023</v>
      </c>
      <c r="B352" s="3">
        <v>10</v>
      </c>
      <c r="C352" s="3">
        <v>31</v>
      </c>
      <c r="D352" s="2">
        <v>504</v>
      </c>
      <c r="E352" s="3">
        <v>4</v>
      </c>
      <c r="F352" s="3" t="s">
        <v>225</v>
      </c>
      <c r="G352" s="3" t="str">
        <f t="shared" si="29"/>
        <v>2022</v>
      </c>
      <c r="H352" s="3">
        <f t="shared" si="27"/>
        <v>1</v>
      </c>
      <c r="I352" s="69"/>
      <c r="J352" s="3">
        <v>2</v>
      </c>
      <c r="K352" s="3">
        <v>2</v>
      </c>
      <c r="L352" s="3">
        <v>44</v>
      </c>
      <c r="M352" s="3">
        <v>373</v>
      </c>
      <c r="N352" s="3" t="str">
        <f t="shared" si="28"/>
        <v>2021</v>
      </c>
      <c r="O352" s="2">
        <v>504</v>
      </c>
      <c r="P352">
        <v>15.17</v>
      </c>
    </row>
    <row r="353" spans="1:16" x14ac:dyDescent="0.35">
      <c r="A353" s="3">
        <v>2023</v>
      </c>
      <c r="B353" s="3">
        <v>10</v>
      </c>
      <c r="C353" s="3">
        <v>31</v>
      </c>
      <c r="D353" s="2">
        <v>504</v>
      </c>
      <c r="E353" s="3">
        <v>4</v>
      </c>
      <c r="F353" s="3" t="s">
        <v>225</v>
      </c>
      <c r="G353" s="3" t="str">
        <f t="shared" si="29"/>
        <v>2022</v>
      </c>
      <c r="H353" s="3">
        <f t="shared" si="27"/>
        <v>1</v>
      </c>
      <c r="I353" s="69"/>
      <c r="J353" s="3">
        <v>2</v>
      </c>
      <c r="K353" s="3">
        <v>2</v>
      </c>
      <c r="L353" s="3">
        <v>44</v>
      </c>
      <c r="M353" s="3">
        <v>373</v>
      </c>
      <c r="N353" s="3" t="str">
        <f t="shared" si="28"/>
        <v>2021</v>
      </c>
      <c r="O353" s="2">
        <v>504</v>
      </c>
      <c r="P353">
        <v>14.26</v>
      </c>
    </row>
    <row r="354" spans="1:16" x14ac:dyDescent="0.35">
      <c r="A354" s="3">
        <v>2021</v>
      </c>
      <c r="B354" s="3">
        <v>10</v>
      </c>
      <c r="C354" s="3" t="s">
        <v>28</v>
      </c>
      <c r="D354" s="2">
        <v>29</v>
      </c>
      <c r="E354" s="3">
        <v>4</v>
      </c>
      <c r="F354" s="3" t="s">
        <v>41</v>
      </c>
      <c r="G354" s="3" t="str">
        <f t="shared" si="29"/>
        <v>2013</v>
      </c>
      <c r="H354" s="3">
        <f t="shared" si="27"/>
        <v>8</v>
      </c>
      <c r="I354" s="69"/>
      <c r="J354" s="3" t="s">
        <v>318</v>
      </c>
      <c r="K354" s="3" t="s">
        <v>318</v>
      </c>
      <c r="L354" s="3">
        <v>41.3</v>
      </c>
      <c r="M354" s="3">
        <v>373</v>
      </c>
      <c r="N354" s="3" t="str">
        <f t="shared" si="28"/>
        <v>2011</v>
      </c>
      <c r="O354" s="2">
        <v>29</v>
      </c>
    </row>
    <row r="355" spans="1:16" x14ac:dyDescent="0.35">
      <c r="A355" s="3">
        <v>2023</v>
      </c>
      <c r="B355" s="3">
        <v>7</v>
      </c>
      <c r="C355" s="3">
        <v>21</v>
      </c>
      <c r="D355" s="2">
        <v>446</v>
      </c>
      <c r="E355" s="3">
        <v>3</v>
      </c>
      <c r="F355" s="3" t="s">
        <v>20</v>
      </c>
      <c r="G355" s="3" t="str">
        <f t="shared" si="29"/>
        <v>2020</v>
      </c>
      <c r="H355" s="3">
        <f t="shared" si="27"/>
        <v>3</v>
      </c>
      <c r="I355" s="69"/>
      <c r="J355" s="3" t="s">
        <v>70</v>
      </c>
      <c r="K355" s="3">
        <v>37</v>
      </c>
      <c r="L355" s="3">
        <v>4.2</v>
      </c>
      <c r="M355" s="3">
        <v>373</v>
      </c>
      <c r="N355" s="3" t="str">
        <f t="shared" si="28"/>
        <v>2018</v>
      </c>
      <c r="O355" s="2">
        <v>446</v>
      </c>
    </row>
    <row r="356" spans="1:16" x14ac:dyDescent="0.35">
      <c r="A356" s="3">
        <v>2023</v>
      </c>
      <c r="B356" s="3">
        <v>7</v>
      </c>
      <c r="C356" s="3">
        <v>21</v>
      </c>
      <c r="D356" s="2">
        <v>446</v>
      </c>
      <c r="E356" s="3">
        <v>3</v>
      </c>
      <c r="F356" s="3" t="s">
        <v>20</v>
      </c>
      <c r="G356" s="3" t="str">
        <f t="shared" si="29"/>
        <v>2020</v>
      </c>
      <c r="H356" s="3">
        <f t="shared" si="27"/>
        <v>3</v>
      </c>
      <c r="I356" s="69"/>
      <c r="J356" s="3" t="s">
        <v>70</v>
      </c>
      <c r="K356" s="3">
        <v>37</v>
      </c>
      <c r="L356" s="3">
        <v>4.2</v>
      </c>
      <c r="M356" s="3">
        <v>373</v>
      </c>
      <c r="N356" s="3" t="str">
        <f t="shared" si="28"/>
        <v>2018</v>
      </c>
      <c r="O356" s="2">
        <v>446</v>
      </c>
    </row>
    <row r="357" spans="1:16" x14ac:dyDescent="0.35">
      <c r="A357" s="3">
        <v>2023</v>
      </c>
      <c r="B357" s="3">
        <v>7</v>
      </c>
      <c r="C357" s="3">
        <v>21</v>
      </c>
      <c r="D357" s="2">
        <v>446</v>
      </c>
      <c r="E357" s="3">
        <v>3</v>
      </c>
      <c r="F357" s="3" t="s">
        <v>20</v>
      </c>
      <c r="G357" s="3" t="str">
        <f t="shared" si="29"/>
        <v>2020</v>
      </c>
      <c r="H357" s="3">
        <f t="shared" si="27"/>
        <v>3</v>
      </c>
      <c r="I357" s="69"/>
      <c r="J357" s="3" t="s">
        <v>70</v>
      </c>
      <c r="K357" s="3">
        <v>37</v>
      </c>
      <c r="L357" s="3">
        <v>4.2</v>
      </c>
      <c r="M357" s="3">
        <v>373</v>
      </c>
      <c r="N357" s="3" t="str">
        <f t="shared" si="28"/>
        <v>2018</v>
      </c>
      <c r="O357" s="2">
        <v>446</v>
      </c>
    </row>
    <row r="358" spans="1:16" x14ac:dyDescent="0.35">
      <c r="A358" s="3">
        <v>2024</v>
      </c>
      <c r="B358" s="3">
        <v>8</v>
      </c>
      <c r="C358" s="3">
        <v>15</v>
      </c>
      <c r="D358" s="2">
        <v>735</v>
      </c>
      <c r="E358" s="3">
        <v>3</v>
      </c>
      <c r="F358" s="3" t="s">
        <v>225</v>
      </c>
      <c r="G358" s="3" t="str">
        <f t="shared" si="29"/>
        <v>2021</v>
      </c>
      <c r="H358" s="3">
        <f t="shared" si="27"/>
        <v>3</v>
      </c>
      <c r="I358" s="69"/>
      <c r="J358">
        <v>3</v>
      </c>
      <c r="K358">
        <v>3</v>
      </c>
      <c r="L358">
        <v>50.7</v>
      </c>
      <c r="M358" s="3">
        <v>373</v>
      </c>
      <c r="N358" s="3" t="str">
        <f t="shared" si="28"/>
        <v>2021</v>
      </c>
      <c r="O358" s="2">
        <v>735</v>
      </c>
    </row>
    <row r="359" spans="1:16" x14ac:dyDescent="0.35">
      <c r="A359" s="3">
        <v>2024</v>
      </c>
      <c r="B359">
        <v>8</v>
      </c>
      <c r="C359" s="3">
        <v>9</v>
      </c>
      <c r="D359" s="2">
        <v>861</v>
      </c>
      <c r="E359" s="3">
        <v>3</v>
      </c>
      <c r="F359" t="s">
        <v>41</v>
      </c>
      <c r="G359" s="3" t="str">
        <f t="shared" si="29"/>
        <v>2013</v>
      </c>
      <c r="H359" s="3">
        <f t="shared" si="27"/>
        <v>11</v>
      </c>
      <c r="I359" s="69"/>
      <c r="J359" t="s">
        <v>42</v>
      </c>
      <c r="K359" t="s">
        <v>318</v>
      </c>
      <c r="L359">
        <v>39.799999999999997</v>
      </c>
      <c r="M359" s="3">
        <v>373</v>
      </c>
      <c r="N359" s="3" t="str">
        <f t="shared" si="28"/>
        <v>2011</v>
      </c>
      <c r="O359" s="2">
        <v>861</v>
      </c>
    </row>
    <row r="360" spans="1:16" x14ac:dyDescent="0.35">
      <c r="A360" s="3">
        <v>2023</v>
      </c>
      <c r="B360" s="3">
        <v>7</v>
      </c>
      <c r="C360" s="3">
        <v>17</v>
      </c>
      <c r="D360" s="2">
        <v>394</v>
      </c>
      <c r="E360" s="3">
        <v>3</v>
      </c>
      <c r="F360" s="3" t="s">
        <v>45</v>
      </c>
      <c r="G360" s="3" t="str">
        <f t="shared" si="29"/>
        <v>2011</v>
      </c>
      <c r="H360" s="3">
        <f t="shared" si="27"/>
        <v>12</v>
      </c>
      <c r="I360" s="69"/>
      <c r="J360" s="3" t="s">
        <v>632</v>
      </c>
      <c r="K360" s="3" t="s">
        <v>317</v>
      </c>
      <c r="L360" s="3">
        <v>35.799999999999997</v>
      </c>
      <c r="M360" s="3">
        <v>374</v>
      </c>
      <c r="N360" s="3" t="str">
        <f t="shared" si="28"/>
        <v>2007</v>
      </c>
      <c r="O360" s="2">
        <v>394</v>
      </c>
    </row>
    <row r="361" spans="1:16" x14ac:dyDescent="0.35">
      <c r="A361" s="3">
        <v>2019</v>
      </c>
      <c r="B361" s="3">
        <v>2</v>
      </c>
      <c r="C361" s="3">
        <v>19</v>
      </c>
      <c r="D361" s="2">
        <v>150</v>
      </c>
      <c r="E361" s="3">
        <v>1</v>
      </c>
      <c r="F361" s="3" t="s">
        <v>41</v>
      </c>
      <c r="G361" s="3" t="str">
        <f t="shared" si="29"/>
        <v>2012</v>
      </c>
      <c r="H361" s="3">
        <f t="shared" si="27"/>
        <v>7</v>
      </c>
      <c r="I361" s="69"/>
      <c r="J361" s="3" t="s">
        <v>541</v>
      </c>
      <c r="K361" s="3" t="s">
        <v>461</v>
      </c>
      <c r="L361" s="3">
        <v>43.7</v>
      </c>
      <c r="M361" s="3">
        <v>376</v>
      </c>
      <c r="N361" s="3" t="str">
        <f t="shared" si="28"/>
        <v>2011</v>
      </c>
      <c r="O361" s="2">
        <v>150</v>
      </c>
    </row>
    <row r="362" spans="1:16" x14ac:dyDescent="0.35">
      <c r="A362" s="3">
        <v>2019</v>
      </c>
      <c r="B362" s="3">
        <v>2</v>
      </c>
      <c r="C362" s="3">
        <v>19</v>
      </c>
      <c r="D362" s="2">
        <v>150</v>
      </c>
      <c r="E362" s="3">
        <v>1</v>
      </c>
      <c r="F362" s="3" t="s">
        <v>41</v>
      </c>
      <c r="G362" s="3" t="str">
        <f t="shared" si="29"/>
        <v>2012</v>
      </c>
      <c r="H362" s="3">
        <f t="shared" si="27"/>
        <v>7</v>
      </c>
      <c r="I362" s="69"/>
      <c r="J362" s="3" t="s">
        <v>541</v>
      </c>
      <c r="K362" s="3" t="s">
        <v>461</v>
      </c>
      <c r="L362" s="3">
        <v>43.7</v>
      </c>
      <c r="M362" s="3">
        <v>376</v>
      </c>
      <c r="N362" s="3" t="str">
        <f t="shared" si="28"/>
        <v>2011</v>
      </c>
      <c r="O362" s="2">
        <v>150</v>
      </c>
    </row>
    <row r="363" spans="1:16" x14ac:dyDescent="0.35">
      <c r="A363" s="3">
        <v>2019</v>
      </c>
      <c r="B363" s="3">
        <v>8</v>
      </c>
      <c r="C363" s="3">
        <v>9</v>
      </c>
      <c r="D363" s="2">
        <v>315</v>
      </c>
      <c r="E363" s="3">
        <v>3</v>
      </c>
      <c r="F363" s="3" t="s">
        <v>45</v>
      </c>
      <c r="G363" s="3" t="str">
        <f t="shared" si="29"/>
        <v>2011</v>
      </c>
      <c r="H363" s="3">
        <f t="shared" si="27"/>
        <v>8</v>
      </c>
      <c r="I363" s="69"/>
      <c r="J363" s="3" t="s">
        <v>317</v>
      </c>
      <c r="K363" s="3" t="s">
        <v>317</v>
      </c>
      <c r="L363" s="3">
        <v>31.7</v>
      </c>
      <c r="M363" s="3">
        <v>376</v>
      </c>
      <c r="N363" s="3" t="str">
        <f t="shared" si="28"/>
        <v>2007</v>
      </c>
      <c r="O363" s="2">
        <v>315</v>
      </c>
    </row>
    <row r="364" spans="1:16" x14ac:dyDescent="0.35">
      <c r="A364" s="3">
        <v>2024</v>
      </c>
      <c r="B364" s="3">
        <v>8</v>
      </c>
      <c r="C364" s="3">
        <v>15</v>
      </c>
      <c r="D364" s="2">
        <v>731</v>
      </c>
      <c r="E364" s="3">
        <v>3</v>
      </c>
      <c r="F364" s="3" t="s">
        <v>225</v>
      </c>
      <c r="G364" s="3" t="str">
        <f t="shared" si="29"/>
        <v>2021</v>
      </c>
      <c r="H364" s="3">
        <f t="shared" si="27"/>
        <v>3</v>
      </c>
      <c r="I364" s="69"/>
      <c r="J364">
        <v>3</v>
      </c>
      <c r="K364">
        <v>3</v>
      </c>
      <c r="L364">
        <v>68.7</v>
      </c>
      <c r="M364" s="3">
        <v>376</v>
      </c>
      <c r="N364" s="3" t="str">
        <f t="shared" si="28"/>
        <v>2021</v>
      </c>
      <c r="O364" s="2">
        <v>731</v>
      </c>
    </row>
    <row r="365" spans="1:16" x14ac:dyDescent="0.35">
      <c r="A365" s="3">
        <v>2023</v>
      </c>
      <c r="B365" s="3">
        <v>7</v>
      </c>
      <c r="C365" s="3">
        <v>17</v>
      </c>
      <c r="D365" s="2">
        <v>383</v>
      </c>
      <c r="E365" s="3">
        <v>3</v>
      </c>
      <c r="F365" s="3" t="s">
        <v>45</v>
      </c>
      <c r="G365" s="3" t="str">
        <f t="shared" si="29"/>
        <v>2011</v>
      </c>
      <c r="H365" s="3">
        <f t="shared" si="27"/>
        <v>12</v>
      </c>
      <c r="I365" s="69"/>
      <c r="J365" s="3" t="s">
        <v>46</v>
      </c>
      <c r="K365" s="3" t="s">
        <v>317</v>
      </c>
      <c r="L365" s="3">
        <v>40.1</v>
      </c>
      <c r="M365" s="3">
        <v>377</v>
      </c>
      <c r="N365" s="3" t="str">
        <f t="shared" si="28"/>
        <v>2007</v>
      </c>
      <c r="O365" s="2">
        <v>383</v>
      </c>
    </row>
    <row r="366" spans="1:16" x14ac:dyDescent="0.35">
      <c r="A366" s="3">
        <v>2024</v>
      </c>
      <c r="B366" s="3">
        <v>3</v>
      </c>
      <c r="C366" s="3">
        <v>28</v>
      </c>
      <c r="D366" s="2">
        <v>660</v>
      </c>
      <c r="E366" s="3">
        <v>2</v>
      </c>
      <c r="F366" s="3" t="s">
        <v>41</v>
      </c>
      <c r="G366" s="3" t="str">
        <f t="shared" si="29"/>
        <v>2013</v>
      </c>
      <c r="H366" s="3">
        <f t="shared" si="27"/>
        <v>11</v>
      </c>
      <c r="I366" s="69"/>
      <c r="J366" t="s">
        <v>42</v>
      </c>
      <c r="K366" t="s">
        <v>318</v>
      </c>
      <c r="L366">
        <v>49.2</v>
      </c>
      <c r="M366" s="3">
        <v>377</v>
      </c>
      <c r="N366" s="3" t="str">
        <f t="shared" si="28"/>
        <v>2011</v>
      </c>
      <c r="O366" s="2">
        <v>660</v>
      </c>
    </row>
    <row r="367" spans="1:16" x14ac:dyDescent="0.35">
      <c r="A367" s="3">
        <v>2023</v>
      </c>
      <c r="B367" s="3">
        <v>2</v>
      </c>
      <c r="C367" s="3">
        <v>12</v>
      </c>
      <c r="D367" s="2">
        <v>114</v>
      </c>
      <c r="E367" s="15">
        <v>1</v>
      </c>
      <c r="F367" s="3" t="s">
        <v>20</v>
      </c>
      <c r="G367" s="3" t="str">
        <f t="shared" si="29"/>
        <v>2020</v>
      </c>
      <c r="H367" s="3">
        <f t="shared" si="27"/>
        <v>3</v>
      </c>
      <c r="I367" s="69"/>
      <c r="J367" s="3">
        <v>7</v>
      </c>
      <c r="K367" s="3">
        <v>7</v>
      </c>
      <c r="L367" s="3">
        <v>99.8</v>
      </c>
      <c r="M367" s="3">
        <v>378</v>
      </c>
      <c r="N367" s="3" t="str">
        <f t="shared" si="28"/>
        <v>2018</v>
      </c>
      <c r="O367" s="2">
        <v>114</v>
      </c>
    </row>
    <row r="368" spans="1:16" x14ac:dyDescent="0.35">
      <c r="A368" s="3">
        <v>2024</v>
      </c>
      <c r="B368" s="3">
        <v>3</v>
      </c>
      <c r="C368" s="3">
        <v>13</v>
      </c>
      <c r="D368" s="2">
        <v>673</v>
      </c>
      <c r="E368" s="3">
        <v>2</v>
      </c>
      <c r="F368" s="3" t="s">
        <v>226</v>
      </c>
      <c r="G368" s="3" t="str">
        <f t="shared" si="29"/>
        <v>2017</v>
      </c>
      <c r="H368" s="3">
        <f t="shared" si="27"/>
        <v>7</v>
      </c>
      <c r="I368" s="69"/>
      <c r="J368" t="s">
        <v>783</v>
      </c>
      <c r="K368">
        <v>7</v>
      </c>
      <c r="L368">
        <v>45.2</v>
      </c>
      <c r="M368" s="3">
        <v>378</v>
      </c>
      <c r="N368" s="3" t="str">
        <f t="shared" si="28"/>
        <v>2017</v>
      </c>
      <c r="O368" s="2">
        <v>673</v>
      </c>
    </row>
    <row r="369" spans="1:15" x14ac:dyDescent="0.35">
      <c r="A369" s="3">
        <v>2024</v>
      </c>
      <c r="B369">
        <v>8</v>
      </c>
      <c r="C369" s="3">
        <v>19</v>
      </c>
      <c r="D369" s="2">
        <v>826</v>
      </c>
      <c r="E369" s="3">
        <v>3</v>
      </c>
      <c r="F369" s="3" t="s">
        <v>225</v>
      </c>
      <c r="G369" s="3" t="str">
        <f t="shared" si="29"/>
        <v>2021</v>
      </c>
      <c r="H369" s="3">
        <f t="shared" si="27"/>
        <v>3</v>
      </c>
      <c r="I369" s="69"/>
      <c r="J369">
        <v>3</v>
      </c>
      <c r="K369">
        <v>3</v>
      </c>
      <c r="L369">
        <v>57.4</v>
      </c>
      <c r="M369" s="3">
        <v>378</v>
      </c>
      <c r="N369" s="3" t="str">
        <f t="shared" si="28"/>
        <v>2021</v>
      </c>
      <c r="O369" s="2">
        <v>826</v>
      </c>
    </row>
    <row r="370" spans="1:15" x14ac:dyDescent="0.35">
      <c r="A370" s="3">
        <v>2016</v>
      </c>
      <c r="B370" s="3">
        <v>8</v>
      </c>
      <c r="C370" s="3">
        <v>31</v>
      </c>
      <c r="D370" s="2">
        <v>247</v>
      </c>
      <c r="E370" s="3">
        <v>3</v>
      </c>
      <c r="F370" s="3" t="s">
        <v>45</v>
      </c>
      <c r="G370" s="3" t="str">
        <f t="shared" si="29"/>
        <v>2009</v>
      </c>
      <c r="H370" s="3">
        <f t="shared" si="27"/>
        <v>7</v>
      </c>
      <c r="I370" s="69"/>
      <c r="J370" s="3" t="s">
        <v>657</v>
      </c>
      <c r="K370" s="3" t="s">
        <v>488</v>
      </c>
      <c r="L370" s="3">
        <v>45.5</v>
      </c>
      <c r="M370" s="3">
        <v>379</v>
      </c>
      <c r="N370" s="3" t="str">
        <f t="shared" si="28"/>
        <v>2007</v>
      </c>
      <c r="O370" s="2">
        <v>247</v>
      </c>
    </row>
    <row r="371" spans="1:15" x14ac:dyDescent="0.35">
      <c r="A371" s="3">
        <v>2023</v>
      </c>
      <c r="B371" s="3">
        <v>7</v>
      </c>
      <c r="C371" s="3">
        <v>19</v>
      </c>
      <c r="D371" s="2">
        <v>358</v>
      </c>
      <c r="E371" s="3">
        <v>3</v>
      </c>
      <c r="F371" s="3" t="s">
        <v>41</v>
      </c>
      <c r="G371" s="3" t="str">
        <f t="shared" si="29"/>
        <v>2013</v>
      </c>
      <c r="H371" s="3">
        <f t="shared" si="27"/>
        <v>10</v>
      </c>
      <c r="I371" s="69"/>
      <c r="J371" s="3" t="s">
        <v>42</v>
      </c>
      <c r="K371" s="3" t="s">
        <v>318</v>
      </c>
      <c r="L371" s="3">
        <v>44.7</v>
      </c>
      <c r="M371" s="3">
        <v>379</v>
      </c>
      <c r="N371" s="3" t="str">
        <f t="shared" si="28"/>
        <v>2011</v>
      </c>
      <c r="O371" s="2">
        <v>358</v>
      </c>
    </row>
    <row r="372" spans="1:15" x14ac:dyDescent="0.35">
      <c r="A372" s="3">
        <v>2024</v>
      </c>
      <c r="B372" s="3">
        <v>3</v>
      </c>
      <c r="C372" s="3">
        <v>12</v>
      </c>
      <c r="D372" s="2">
        <v>691</v>
      </c>
      <c r="E372" s="3">
        <v>2</v>
      </c>
      <c r="F372" s="3" t="s">
        <v>45</v>
      </c>
      <c r="G372" s="3" t="str">
        <f t="shared" si="29"/>
        <v>2011</v>
      </c>
      <c r="H372" s="3">
        <f t="shared" si="27"/>
        <v>13</v>
      </c>
      <c r="I372" s="69"/>
      <c r="J372" t="s">
        <v>1110</v>
      </c>
      <c r="K372" t="s">
        <v>317</v>
      </c>
      <c r="L372">
        <v>51.1</v>
      </c>
      <c r="M372" s="3">
        <v>379</v>
      </c>
      <c r="N372" s="3" t="str">
        <f t="shared" si="28"/>
        <v>2007</v>
      </c>
      <c r="O372" s="2">
        <v>691</v>
      </c>
    </row>
    <row r="373" spans="1:15" x14ac:dyDescent="0.35">
      <c r="A373" s="3">
        <v>2023</v>
      </c>
      <c r="B373" s="3">
        <v>7</v>
      </c>
      <c r="C373" s="3">
        <v>19</v>
      </c>
      <c r="D373" s="2">
        <v>359</v>
      </c>
      <c r="E373" s="3">
        <v>3</v>
      </c>
      <c r="F373" s="3" t="s">
        <v>41</v>
      </c>
      <c r="G373" s="3" t="str">
        <f t="shared" si="29"/>
        <v>2013</v>
      </c>
      <c r="H373" s="3">
        <f t="shared" si="27"/>
        <v>10</v>
      </c>
      <c r="I373" s="69"/>
      <c r="J373" s="3" t="s">
        <v>42</v>
      </c>
      <c r="K373" s="3" t="s">
        <v>318</v>
      </c>
      <c r="L373" s="3">
        <v>43.9</v>
      </c>
      <c r="M373" s="3">
        <v>380</v>
      </c>
      <c r="N373" s="3" t="str">
        <f t="shared" si="28"/>
        <v>2011</v>
      </c>
      <c r="O373" s="2">
        <v>359</v>
      </c>
    </row>
    <row r="374" spans="1:15" x14ac:dyDescent="0.35">
      <c r="A374" s="3">
        <v>2024</v>
      </c>
      <c r="B374" s="3">
        <v>2</v>
      </c>
      <c r="C374" s="3">
        <v>23</v>
      </c>
      <c r="D374" s="2">
        <v>642</v>
      </c>
      <c r="E374" s="3">
        <v>1</v>
      </c>
      <c r="F374" s="3" t="s">
        <v>225</v>
      </c>
      <c r="G374" s="3" t="str">
        <f t="shared" si="29"/>
        <v>2022</v>
      </c>
      <c r="H374" s="3">
        <f t="shared" si="27"/>
        <v>2</v>
      </c>
      <c r="I374" s="69"/>
      <c r="J374" t="s">
        <v>21</v>
      </c>
      <c r="K374" s="3">
        <v>2</v>
      </c>
      <c r="L374">
        <v>55.2</v>
      </c>
      <c r="M374" s="3">
        <v>380</v>
      </c>
      <c r="N374" s="3" t="str">
        <f t="shared" si="28"/>
        <v>2021</v>
      </c>
      <c r="O374" s="2">
        <v>642</v>
      </c>
    </row>
    <row r="375" spans="1:15" x14ac:dyDescent="0.35">
      <c r="A375" s="3">
        <v>2024</v>
      </c>
      <c r="B375" s="3">
        <v>3</v>
      </c>
      <c r="C375" s="3">
        <v>12</v>
      </c>
      <c r="D375" s="2">
        <v>679</v>
      </c>
      <c r="E375" s="3">
        <v>2</v>
      </c>
      <c r="F375" s="3" t="s">
        <v>45</v>
      </c>
      <c r="G375" s="3" t="str">
        <f t="shared" si="29"/>
        <v>2009</v>
      </c>
      <c r="H375" s="3">
        <f t="shared" si="27"/>
        <v>15</v>
      </c>
      <c r="I375" s="69"/>
      <c r="J375" t="s">
        <v>1100</v>
      </c>
      <c r="K375" t="s">
        <v>488</v>
      </c>
      <c r="L375">
        <v>47.5</v>
      </c>
      <c r="M375" s="3">
        <v>380</v>
      </c>
      <c r="N375" s="3" t="str">
        <f t="shared" si="28"/>
        <v>2007</v>
      </c>
      <c r="O375" s="2">
        <v>679</v>
      </c>
    </row>
    <row r="376" spans="1:15" x14ac:dyDescent="0.35">
      <c r="A376" s="3">
        <v>2024</v>
      </c>
      <c r="B376" s="3">
        <v>8</v>
      </c>
      <c r="C376" s="3">
        <v>8</v>
      </c>
      <c r="D376" s="2">
        <v>700</v>
      </c>
      <c r="E376" s="3">
        <v>3</v>
      </c>
      <c r="F376" s="3" t="s">
        <v>45</v>
      </c>
      <c r="G376" s="3" t="str">
        <f t="shared" si="29"/>
        <v>2011</v>
      </c>
      <c r="H376" s="3">
        <f t="shared" si="27"/>
        <v>13</v>
      </c>
      <c r="I376" s="69"/>
      <c r="J376" t="s">
        <v>46</v>
      </c>
      <c r="K376" t="s">
        <v>317</v>
      </c>
      <c r="L376">
        <v>42.9</v>
      </c>
      <c r="M376" s="3">
        <v>380</v>
      </c>
      <c r="N376" s="3" t="str">
        <f t="shared" si="28"/>
        <v>2007</v>
      </c>
      <c r="O376" s="2">
        <v>700</v>
      </c>
    </row>
    <row r="377" spans="1:15" x14ac:dyDescent="0.35">
      <c r="A377" s="3">
        <v>2024</v>
      </c>
      <c r="B377" s="3">
        <v>6</v>
      </c>
      <c r="C377" s="3">
        <v>19</v>
      </c>
      <c r="D377" s="2">
        <v>757</v>
      </c>
      <c r="E377" s="3">
        <v>3</v>
      </c>
      <c r="F377" s="3" t="s">
        <v>225</v>
      </c>
      <c r="G377" s="3" t="str">
        <f t="shared" si="29"/>
        <v>2021</v>
      </c>
      <c r="H377" s="3">
        <f t="shared" si="27"/>
        <v>3</v>
      </c>
      <c r="I377" s="69"/>
      <c r="J377" s="6" t="s">
        <v>1076</v>
      </c>
      <c r="K377">
        <v>3</v>
      </c>
      <c r="L377">
        <v>52.4</v>
      </c>
      <c r="M377" s="3">
        <v>380</v>
      </c>
      <c r="N377" s="3" t="str">
        <f t="shared" si="28"/>
        <v>2021</v>
      </c>
      <c r="O377" s="2">
        <v>757</v>
      </c>
    </row>
    <row r="378" spans="1:15" x14ac:dyDescent="0.35">
      <c r="A378" s="3">
        <v>2024</v>
      </c>
      <c r="B378" s="3">
        <v>8</v>
      </c>
      <c r="C378" s="3">
        <v>19</v>
      </c>
      <c r="D378" s="2">
        <v>779</v>
      </c>
      <c r="E378" s="3">
        <v>3</v>
      </c>
      <c r="F378" s="3" t="s">
        <v>225</v>
      </c>
      <c r="G378" s="3" t="str">
        <f t="shared" si="29"/>
        <v>2021</v>
      </c>
      <c r="H378" s="3">
        <f t="shared" si="27"/>
        <v>3</v>
      </c>
      <c r="I378" s="69"/>
      <c r="J378">
        <v>3</v>
      </c>
      <c r="K378">
        <v>3</v>
      </c>
      <c r="L378">
        <v>57.6</v>
      </c>
      <c r="M378" s="3">
        <v>380</v>
      </c>
      <c r="N378" s="3" t="str">
        <f t="shared" si="28"/>
        <v>2021</v>
      </c>
      <c r="O378" s="2">
        <v>779</v>
      </c>
    </row>
    <row r="379" spans="1:15" x14ac:dyDescent="0.35">
      <c r="A379" s="3">
        <v>2024</v>
      </c>
      <c r="B379" s="3">
        <v>8</v>
      </c>
      <c r="C379" s="3">
        <v>19</v>
      </c>
      <c r="D379" s="2">
        <v>783</v>
      </c>
      <c r="E379" s="3">
        <v>3</v>
      </c>
      <c r="F379" s="3" t="s">
        <v>225</v>
      </c>
      <c r="G379" s="3" t="str">
        <f t="shared" si="29"/>
        <v>2021</v>
      </c>
      <c r="H379" s="3">
        <f t="shared" si="27"/>
        <v>3</v>
      </c>
      <c r="I379" s="69"/>
      <c r="J379">
        <v>3</v>
      </c>
      <c r="K379">
        <v>3</v>
      </c>
      <c r="L379">
        <v>51.2</v>
      </c>
      <c r="M379" s="3">
        <v>380</v>
      </c>
      <c r="N379" s="3" t="str">
        <f t="shared" si="28"/>
        <v>2021</v>
      </c>
      <c r="O379" s="2">
        <v>783</v>
      </c>
    </row>
    <row r="380" spans="1:15" x14ac:dyDescent="0.35">
      <c r="A380" s="3">
        <v>2023</v>
      </c>
      <c r="B380" s="3">
        <v>8</v>
      </c>
      <c r="C380" s="3">
        <v>2</v>
      </c>
      <c r="D380" s="2">
        <v>415</v>
      </c>
      <c r="E380" s="3">
        <v>3</v>
      </c>
      <c r="F380" s="3" t="s">
        <v>226</v>
      </c>
      <c r="G380" s="3" t="str">
        <f t="shared" si="29"/>
        <v>2017</v>
      </c>
      <c r="H380" s="3">
        <f t="shared" si="27"/>
        <v>6</v>
      </c>
      <c r="I380" s="69"/>
      <c r="J380" s="3" t="s">
        <v>878</v>
      </c>
      <c r="K380" s="3">
        <v>7</v>
      </c>
      <c r="L380" s="3">
        <v>51.9</v>
      </c>
      <c r="M380" s="3">
        <v>381</v>
      </c>
      <c r="N380" s="3" t="str">
        <f t="shared" si="28"/>
        <v>2017</v>
      </c>
      <c r="O380" s="2">
        <v>415</v>
      </c>
    </row>
    <row r="381" spans="1:15" x14ac:dyDescent="0.35">
      <c r="A381" s="3">
        <v>2024</v>
      </c>
      <c r="B381" s="3">
        <v>8</v>
      </c>
      <c r="C381" s="3">
        <v>19</v>
      </c>
      <c r="D381" s="2">
        <v>795</v>
      </c>
      <c r="E381" s="3">
        <v>3</v>
      </c>
      <c r="F381" s="3" t="s">
        <v>225</v>
      </c>
      <c r="G381" s="3" t="str">
        <f t="shared" si="29"/>
        <v>2021</v>
      </c>
      <c r="H381" s="3">
        <f t="shared" si="27"/>
        <v>3</v>
      </c>
      <c r="I381" s="69"/>
      <c r="J381">
        <v>3</v>
      </c>
      <c r="K381">
        <v>3</v>
      </c>
      <c r="L381">
        <v>49.8</v>
      </c>
      <c r="M381" s="3">
        <v>381</v>
      </c>
      <c r="N381" s="3" t="str">
        <f t="shared" si="28"/>
        <v>2021</v>
      </c>
      <c r="O381" s="2">
        <v>795</v>
      </c>
    </row>
    <row r="382" spans="1:15" x14ac:dyDescent="0.35">
      <c r="A382" s="3">
        <v>2017</v>
      </c>
      <c r="B382" s="3">
        <v>8</v>
      </c>
      <c r="C382" s="3">
        <v>14</v>
      </c>
      <c r="D382" s="2">
        <v>132</v>
      </c>
      <c r="E382" s="15">
        <v>3</v>
      </c>
      <c r="F382" s="3" t="s">
        <v>45</v>
      </c>
      <c r="G382" s="3" t="str">
        <f t="shared" si="29"/>
        <v>2011</v>
      </c>
      <c r="H382" s="3">
        <f t="shared" si="27"/>
        <v>6</v>
      </c>
      <c r="I382" s="69"/>
      <c r="J382" s="3" t="s">
        <v>317</v>
      </c>
      <c r="K382" s="3" t="s">
        <v>317</v>
      </c>
      <c r="L382" s="3">
        <v>44.4</v>
      </c>
      <c r="M382" s="3">
        <v>382</v>
      </c>
      <c r="N382" s="3" t="str">
        <f t="shared" si="28"/>
        <v>2007</v>
      </c>
      <c r="O382" s="2">
        <v>132</v>
      </c>
    </row>
    <row r="383" spans="1:15" x14ac:dyDescent="0.35">
      <c r="A383" s="3">
        <v>2023</v>
      </c>
      <c r="B383" s="3">
        <v>7</v>
      </c>
      <c r="C383" s="3">
        <v>18</v>
      </c>
      <c r="D383" s="2">
        <v>340</v>
      </c>
      <c r="E383" s="3">
        <v>3</v>
      </c>
      <c r="F383" s="3" t="s">
        <v>41</v>
      </c>
      <c r="G383" s="3" t="str">
        <f t="shared" si="29"/>
        <v>2012</v>
      </c>
      <c r="H383" s="3">
        <f t="shared" si="27"/>
        <v>11</v>
      </c>
      <c r="I383" s="69"/>
      <c r="J383" s="3" t="s">
        <v>551</v>
      </c>
      <c r="K383" s="3" t="s">
        <v>461</v>
      </c>
      <c r="L383" s="3">
        <v>47.1</v>
      </c>
      <c r="M383" s="3">
        <v>382</v>
      </c>
      <c r="N383" s="3" t="str">
        <f t="shared" si="28"/>
        <v>2011</v>
      </c>
      <c r="O383" s="2">
        <v>340</v>
      </c>
    </row>
    <row r="384" spans="1:15" x14ac:dyDescent="0.35">
      <c r="A384" s="3">
        <v>2024</v>
      </c>
      <c r="B384" s="3">
        <v>3</v>
      </c>
      <c r="C384" s="3">
        <v>12</v>
      </c>
      <c r="D384" s="2">
        <v>690</v>
      </c>
      <c r="E384" s="3">
        <v>2</v>
      </c>
      <c r="F384" s="3" t="s">
        <v>45</v>
      </c>
      <c r="G384" s="3" t="str">
        <f t="shared" si="29"/>
        <v>2011</v>
      </c>
      <c r="H384" s="3">
        <f t="shared" si="27"/>
        <v>13</v>
      </c>
      <c r="I384" s="69"/>
      <c r="J384" t="s">
        <v>1110</v>
      </c>
      <c r="K384" t="s">
        <v>317</v>
      </c>
      <c r="L384">
        <v>54.3</v>
      </c>
      <c r="M384" s="3">
        <v>382</v>
      </c>
      <c r="N384" s="3" t="str">
        <f t="shared" si="28"/>
        <v>2007</v>
      </c>
      <c r="O384" s="2">
        <v>690</v>
      </c>
    </row>
    <row r="385" spans="1:16" x14ac:dyDescent="0.35">
      <c r="A385" s="3">
        <v>2017</v>
      </c>
      <c r="B385" s="3">
        <v>7</v>
      </c>
      <c r="C385" s="3">
        <v>8</v>
      </c>
      <c r="D385" s="2">
        <v>94</v>
      </c>
      <c r="E385" s="15">
        <v>3</v>
      </c>
      <c r="F385" s="3" t="s">
        <v>41</v>
      </c>
      <c r="G385" s="3" t="str">
        <f t="shared" si="29"/>
        <v>2013</v>
      </c>
      <c r="H385" s="3">
        <f t="shared" si="27"/>
        <v>4</v>
      </c>
      <c r="I385" s="69"/>
      <c r="J385" s="3" t="s">
        <v>318</v>
      </c>
      <c r="K385" s="3" t="s">
        <v>318</v>
      </c>
      <c r="L385" s="3">
        <v>42.7</v>
      </c>
      <c r="M385" s="3">
        <v>383</v>
      </c>
      <c r="N385" s="3" t="str">
        <f t="shared" si="28"/>
        <v>2011</v>
      </c>
      <c r="O385" s="2">
        <v>94</v>
      </c>
    </row>
    <row r="386" spans="1:16" x14ac:dyDescent="0.35">
      <c r="A386" s="3">
        <v>2023</v>
      </c>
      <c r="B386" s="3">
        <v>7</v>
      </c>
      <c r="C386" s="3">
        <v>17</v>
      </c>
      <c r="D386" s="2">
        <v>382</v>
      </c>
      <c r="E386" s="3">
        <v>3</v>
      </c>
      <c r="F386" s="3" t="s">
        <v>45</v>
      </c>
      <c r="G386" s="3" t="str">
        <f t="shared" si="29"/>
        <v>2011</v>
      </c>
      <c r="H386" s="3">
        <f t="shared" ref="H386:H449" si="30">SUM(A386-G386)</f>
        <v>12</v>
      </c>
      <c r="I386" s="69"/>
      <c r="J386" s="3" t="s">
        <v>46</v>
      </c>
      <c r="K386" s="3" t="s">
        <v>317</v>
      </c>
      <c r="L386" s="3">
        <v>39.4</v>
      </c>
      <c r="M386" s="3">
        <v>383</v>
      </c>
      <c r="N386" s="3" t="str">
        <f t="shared" ref="N386:N449" si="31">IF(F386="PHD", "2007", IF(F386="TSL", "2011", IF(F386 = "SRS", "2018", IF(F386="WCA 3B", "2017", IF(F386="WCA 3A", "2021")))))</f>
        <v>2007</v>
      </c>
      <c r="O386" s="2">
        <v>382</v>
      </c>
    </row>
    <row r="387" spans="1:16" x14ac:dyDescent="0.35">
      <c r="A387" s="3">
        <v>2021</v>
      </c>
      <c r="B387" s="3">
        <v>4</v>
      </c>
      <c r="C387" s="3">
        <v>13</v>
      </c>
      <c r="D387" s="2">
        <v>495</v>
      </c>
      <c r="E387" s="3">
        <v>2</v>
      </c>
      <c r="F387" s="3" t="s">
        <v>226</v>
      </c>
      <c r="G387" s="3" t="str">
        <f t="shared" si="29"/>
        <v>2018</v>
      </c>
      <c r="H387" s="3">
        <f t="shared" si="30"/>
        <v>3</v>
      </c>
      <c r="I387" s="69"/>
      <c r="J387" s="3" t="s">
        <v>51</v>
      </c>
      <c r="K387" s="3" t="s">
        <v>929</v>
      </c>
      <c r="L387" s="16">
        <v>65</v>
      </c>
      <c r="M387" s="3">
        <v>383</v>
      </c>
      <c r="N387" s="3" t="str">
        <f t="shared" si="31"/>
        <v>2017</v>
      </c>
      <c r="O387" s="2">
        <v>495</v>
      </c>
    </row>
    <row r="388" spans="1:16" x14ac:dyDescent="0.35">
      <c r="A388" s="3">
        <v>2021</v>
      </c>
      <c r="B388" s="3" t="s">
        <v>28</v>
      </c>
      <c r="C388" s="3" t="s">
        <v>28</v>
      </c>
      <c r="D388" s="2">
        <v>494</v>
      </c>
      <c r="E388" s="3" t="s">
        <v>28</v>
      </c>
      <c r="F388" s="3" t="s">
        <v>226</v>
      </c>
      <c r="G388" s="3" t="str">
        <f t="shared" si="29"/>
        <v>2018</v>
      </c>
      <c r="H388" s="3">
        <f t="shared" si="30"/>
        <v>3</v>
      </c>
      <c r="I388" s="69"/>
      <c r="J388" s="3" t="s">
        <v>51</v>
      </c>
      <c r="K388" s="3" t="s">
        <v>929</v>
      </c>
      <c r="L388" s="16">
        <v>50</v>
      </c>
      <c r="M388" s="3">
        <v>384</v>
      </c>
      <c r="N388" s="3" t="str">
        <f t="shared" si="31"/>
        <v>2017</v>
      </c>
      <c r="O388" s="2">
        <v>494</v>
      </c>
    </row>
    <row r="389" spans="1:16" x14ac:dyDescent="0.35">
      <c r="A389" s="3">
        <v>2024</v>
      </c>
      <c r="B389" s="3">
        <v>1</v>
      </c>
      <c r="C389" s="3">
        <v>16</v>
      </c>
      <c r="D389" s="2">
        <v>569</v>
      </c>
      <c r="E389" s="3">
        <v>1</v>
      </c>
      <c r="F389" s="3" t="s">
        <v>45</v>
      </c>
      <c r="G389" s="3" t="str">
        <f t="shared" si="29"/>
        <v>2011</v>
      </c>
      <c r="H389" s="3">
        <f t="shared" si="30"/>
        <v>13</v>
      </c>
      <c r="I389" s="69"/>
      <c r="J389" t="s">
        <v>615</v>
      </c>
      <c r="K389" s="3" t="s">
        <v>317</v>
      </c>
      <c r="L389">
        <v>53.3</v>
      </c>
      <c r="M389" s="3">
        <v>384</v>
      </c>
      <c r="N389" s="3" t="str">
        <f t="shared" si="31"/>
        <v>2007</v>
      </c>
      <c r="O389" s="2">
        <v>569</v>
      </c>
    </row>
    <row r="390" spans="1:16" x14ac:dyDescent="0.35">
      <c r="A390" s="3">
        <v>2024</v>
      </c>
      <c r="B390" s="3">
        <v>8</v>
      </c>
      <c r="C390" s="3">
        <v>19</v>
      </c>
      <c r="D390" s="2">
        <v>742</v>
      </c>
      <c r="E390" s="3">
        <v>3</v>
      </c>
      <c r="F390" s="3" t="s">
        <v>225</v>
      </c>
      <c r="G390" s="3" t="str">
        <f t="shared" si="29"/>
        <v>2021</v>
      </c>
      <c r="H390" s="3">
        <f t="shared" si="30"/>
        <v>3</v>
      </c>
      <c r="I390" s="69"/>
      <c r="J390">
        <v>3</v>
      </c>
      <c r="K390">
        <v>3</v>
      </c>
      <c r="L390">
        <v>48.6</v>
      </c>
      <c r="M390" s="3">
        <v>384</v>
      </c>
      <c r="N390" s="3" t="str">
        <f t="shared" si="31"/>
        <v>2021</v>
      </c>
      <c r="O390" s="2">
        <v>742</v>
      </c>
    </row>
    <row r="391" spans="1:16" x14ac:dyDescent="0.35">
      <c r="A391" s="3">
        <v>2023</v>
      </c>
      <c r="B391" s="3">
        <v>7</v>
      </c>
      <c r="C391" s="3">
        <v>19</v>
      </c>
      <c r="D391" s="2">
        <v>375</v>
      </c>
      <c r="E391" s="3">
        <v>3</v>
      </c>
      <c r="F391" s="3" t="s">
        <v>41</v>
      </c>
      <c r="G391" s="3" t="str">
        <f t="shared" ref="G391:G454" si="32">IF(K391="A55","2009",IF(K391="A59","2009",IF(K391="A60","2010",IF(K391="A62","2011",IF(K391="CP","2013",IF(K391="MD","2012",IF(K391="TS","2013",IF(K391="DL","2018",IF(K391="SCU","2018",IF(K391="NCU","2018",IF(K391="C1C","2018",IF(K391="C1E","2018",IF(K391="RS1S","2018",IF(K391="C2B","2018",IF(K391="DB3","2018",IF(AND(K391=6,F391="SRS"),"2018",IF(AND(K391=7,F391="SRS"),"2020",IF(AND(K391=8,F391="SRS"),"2020",IF(K391=23,"2019",IF(AND(K391=7,F391="WCA 3B"),"2017",IF(AND(K391=8,F391="WCA 3B"),"2019",IF(K391=1,"2021",IF(K391=2,"2022",IF(K391=3,"2021",IF(K391=4,"2021",IF(K391=5,"2022",IF(AND(K391=6,F391="WCA 3A"),"2022",IF(K391=9,"2023",IF(K391=10,"2023",IF(K391=37,"2020"))))))))))))))))))))))))))))))</f>
        <v>2012</v>
      </c>
      <c r="H391" s="3">
        <f t="shared" si="30"/>
        <v>11</v>
      </c>
      <c r="I391" s="69"/>
      <c r="J391" s="3" t="s">
        <v>544</v>
      </c>
      <c r="K391" s="3" t="s">
        <v>461</v>
      </c>
      <c r="L391" s="3">
        <v>4.9000000000000004</v>
      </c>
      <c r="M391" s="3">
        <v>385</v>
      </c>
      <c r="N391" s="3" t="str">
        <f t="shared" si="31"/>
        <v>2011</v>
      </c>
      <c r="O391" s="2">
        <v>375</v>
      </c>
    </row>
    <row r="392" spans="1:16" x14ac:dyDescent="0.35">
      <c r="A392" s="3">
        <v>2024</v>
      </c>
      <c r="B392" s="3">
        <v>3</v>
      </c>
      <c r="C392" s="3">
        <v>28</v>
      </c>
      <c r="D392" s="2">
        <v>654</v>
      </c>
      <c r="E392" s="3">
        <v>2</v>
      </c>
      <c r="F392" s="3" t="s">
        <v>41</v>
      </c>
      <c r="G392" s="3" t="str">
        <f t="shared" si="32"/>
        <v>2013</v>
      </c>
      <c r="H392" s="3">
        <f t="shared" si="30"/>
        <v>11</v>
      </c>
      <c r="I392" s="69"/>
      <c r="J392" t="s">
        <v>49</v>
      </c>
      <c r="K392" t="s">
        <v>318</v>
      </c>
      <c r="L392">
        <v>49.6</v>
      </c>
      <c r="M392" s="3">
        <v>385</v>
      </c>
      <c r="N392" s="3" t="str">
        <f t="shared" si="31"/>
        <v>2011</v>
      </c>
      <c r="O392" s="2">
        <v>654</v>
      </c>
    </row>
    <row r="393" spans="1:16" x14ac:dyDescent="0.35">
      <c r="A393" s="3">
        <v>2024</v>
      </c>
      <c r="B393" s="3">
        <v>1</v>
      </c>
      <c r="C393" s="3">
        <v>16</v>
      </c>
      <c r="D393" s="2">
        <v>570</v>
      </c>
      <c r="E393" s="3">
        <v>1</v>
      </c>
      <c r="F393" s="3" t="s">
        <v>45</v>
      </c>
      <c r="G393" s="3" t="str">
        <f t="shared" si="32"/>
        <v>2011</v>
      </c>
      <c r="H393" s="3">
        <f t="shared" si="30"/>
        <v>13</v>
      </c>
      <c r="I393" s="69"/>
      <c r="J393" t="s">
        <v>615</v>
      </c>
      <c r="K393" s="3" t="s">
        <v>317</v>
      </c>
      <c r="L393">
        <v>51.6</v>
      </c>
      <c r="M393" s="3">
        <v>386</v>
      </c>
      <c r="N393" s="3" t="str">
        <f t="shared" si="31"/>
        <v>2007</v>
      </c>
      <c r="O393" s="2">
        <v>570</v>
      </c>
    </row>
    <row r="394" spans="1:16" x14ac:dyDescent="0.35">
      <c r="A394" s="3">
        <v>2024</v>
      </c>
      <c r="B394" s="3">
        <v>1</v>
      </c>
      <c r="C394" s="3">
        <v>16</v>
      </c>
      <c r="D394" s="2">
        <v>570</v>
      </c>
      <c r="E394" s="3">
        <v>1</v>
      </c>
      <c r="F394" s="3" t="s">
        <v>45</v>
      </c>
      <c r="G394" s="3" t="str">
        <f t="shared" si="32"/>
        <v>2011</v>
      </c>
      <c r="H394" s="3">
        <f t="shared" si="30"/>
        <v>13</v>
      </c>
      <c r="I394" s="69"/>
      <c r="J394" t="s">
        <v>615</v>
      </c>
      <c r="K394" s="3" t="s">
        <v>317</v>
      </c>
      <c r="L394">
        <v>51.6</v>
      </c>
      <c r="M394" s="3">
        <v>386</v>
      </c>
      <c r="N394" s="3" t="str">
        <f t="shared" si="31"/>
        <v>2007</v>
      </c>
      <c r="O394" s="2">
        <v>570</v>
      </c>
    </row>
    <row r="395" spans="1:16" x14ac:dyDescent="0.35">
      <c r="A395" s="3">
        <v>2024</v>
      </c>
      <c r="B395" s="3">
        <v>1</v>
      </c>
      <c r="C395" s="3">
        <v>16</v>
      </c>
      <c r="D395" s="2">
        <v>570</v>
      </c>
      <c r="E395" s="3">
        <v>1</v>
      </c>
      <c r="F395" s="3" t="s">
        <v>45</v>
      </c>
      <c r="G395" s="3" t="str">
        <f t="shared" si="32"/>
        <v>2011</v>
      </c>
      <c r="H395" s="3">
        <f t="shared" si="30"/>
        <v>13</v>
      </c>
      <c r="I395" s="69"/>
      <c r="J395" t="s">
        <v>615</v>
      </c>
      <c r="K395" s="3" t="s">
        <v>317</v>
      </c>
      <c r="L395">
        <v>51.6</v>
      </c>
      <c r="M395" s="3">
        <v>386</v>
      </c>
      <c r="N395" s="3" t="str">
        <f t="shared" si="31"/>
        <v>2007</v>
      </c>
      <c r="O395" s="2">
        <v>570</v>
      </c>
    </row>
    <row r="396" spans="1:16" x14ac:dyDescent="0.35">
      <c r="A396" s="3">
        <v>2024</v>
      </c>
      <c r="B396" s="3">
        <v>1</v>
      </c>
      <c r="C396" s="3">
        <v>16</v>
      </c>
      <c r="D396" s="2">
        <v>570</v>
      </c>
      <c r="E396" s="3">
        <v>1</v>
      </c>
      <c r="F396" s="3" t="s">
        <v>45</v>
      </c>
      <c r="G396" s="3" t="str">
        <f t="shared" si="32"/>
        <v>2011</v>
      </c>
      <c r="H396" s="3">
        <f t="shared" si="30"/>
        <v>13</v>
      </c>
      <c r="I396" s="69"/>
      <c r="J396" t="s">
        <v>615</v>
      </c>
      <c r="K396" s="3" t="s">
        <v>317</v>
      </c>
      <c r="L396">
        <v>51.6</v>
      </c>
      <c r="M396" s="3">
        <v>386</v>
      </c>
      <c r="N396" s="3" t="str">
        <f t="shared" si="31"/>
        <v>2007</v>
      </c>
      <c r="O396" s="2">
        <v>570</v>
      </c>
    </row>
    <row r="397" spans="1:16" x14ac:dyDescent="0.35">
      <c r="A397" s="3">
        <v>2016</v>
      </c>
      <c r="B397" s="3">
        <v>11</v>
      </c>
      <c r="C397" s="3">
        <v>7</v>
      </c>
      <c r="D397" s="2">
        <v>227</v>
      </c>
      <c r="E397" s="3">
        <v>4</v>
      </c>
      <c r="F397" s="3" t="s">
        <v>45</v>
      </c>
      <c r="G397" s="3" t="str">
        <f t="shared" si="32"/>
        <v>2009</v>
      </c>
      <c r="H397" s="3">
        <f t="shared" si="30"/>
        <v>7</v>
      </c>
      <c r="I397" s="69"/>
      <c r="J397" s="3" t="s">
        <v>671</v>
      </c>
      <c r="K397" s="3" t="s">
        <v>512</v>
      </c>
      <c r="L397" s="3">
        <v>51.8</v>
      </c>
      <c r="M397" s="3">
        <v>387</v>
      </c>
      <c r="N397" s="3" t="str">
        <f t="shared" si="31"/>
        <v>2007</v>
      </c>
      <c r="O397" s="2">
        <v>227</v>
      </c>
      <c r="P397">
        <v>21.29</v>
      </c>
    </row>
    <row r="398" spans="1:16" x14ac:dyDescent="0.35">
      <c r="A398" s="3">
        <v>2023</v>
      </c>
      <c r="B398" s="3">
        <v>7</v>
      </c>
      <c r="C398" s="3">
        <v>17</v>
      </c>
      <c r="D398" s="2">
        <v>388</v>
      </c>
      <c r="E398" s="3">
        <v>3</v>
      </c>
      <c r="F398" s="3" t="s">
        <v>45</v>
      </c>
      <c r="G398" s="3" t="str">
        <f t="shared" si="32"/>
        <v>2011</v>
      </c>
      <c r="H398" s="3">
        <f t="shared" si="30"/>
        <v>12</v>
      </c>
      <c r="I398" s="69"/>
      <c r="J398" s="3" t="s">
        <v>632</v>
      </c>
      <c r="K398" s="3" t="s">
        <v>317</v>
      </c>
      <c r="L398" s="3">
        <v>42.6</v>
      </c>
      <c r="M398" s="3">
        <v>387</v>
      </c>
      <c r="N398" s="3" t="str">
        <f t="shared" si="31"/>
        <v>2007</v>
      </c>
      <c r="O398" s="2">
        <v>388</v>
      </c>
    </row>
    <row r="399" spans="1:16" x14ac:dyDescent="0.35">
      <c r="A399" s="3">
        <v>2023</v>
      </c>
      <c r="B399" s="3">
        <v>7</v>
      </c>
      <c r="C399" s="3">
        <v>21</v>
      </c>
      <c r="D399" s="2">
        <v>412</v>
      </c>
      <c r="E399" s="3">
        <v>3</v>
      </c>
      <c r="F399" s="3" t="s">
        <v>20</v>
      </c>
      <c r="G399" s="3" t="str">
        <f t="shared" si="32"/>
        <v>2020</v>
      </c>
      <c r="H399" s="3">
        <f t="shared" si="30"/>
        <v>3</v>
      </c>
      <c r="I399" s="69"/>
      <c r="J399" s="3" t="s">
        <v>55</v>
      </c>
      <c r="K399" s="3">
        <v>8</v>
      </c>
      <c r="L399" s="3">
        <v>52.7</v>
      </c>
      <c r="M399" s="3">
        <v>387</v>
      </c>
      <c r="N399" s="3" t="str">
        <f t="shared" si="31"/>
        <v>2018</v>
      </c>
      <c r="O399" s="2">
        <v>412</v>
      </c>
    </row>
    <row r="400" spans="1:16" x14ac:dyDescent="0.35">
      <c r="A400" s="3">
        <v>2024</v>
      </c>
      <c r="B400" s="3">
        <v>8</v>
      </c>
      <c r="C400" s="3">
        <v>12</v>
      </c>
      <c r="D400" s="2">
        <v>699</v>
      </c>
      <c r="E400" s="3">
        <v>3</v>
      </c>
      <c r="F400" s="3" t="s">
        <v>41</v>
      </c>
      <c r="G400" s="3" t="str">
        <f t="shared" si="32"/>
        <v>2012</v>
      </c>
      <c r="H400" s="3">
        <f t="shared" si="30"/>
        <v>12</v>
      </c>
      <c r="I400" s="69"/>
      <c r="J400" t="s">
        <v>1119</v>
      </c>
      <c r="K400" t="s">
        <v>461</v>
      </c>
      <c r="L400">
        <v>43</v>
      </c>
      <c r="M400" s="3">
        <v>387</v>
      </c>
      <c r="N400" s="3" t="str">
        <f t="shared" si="31"/>
        <v>2011</v>
      </c>
      <c r="O400" s="2">
        <v>699</v>
      </c>
    </row>
    <row r="401" spans="1:15" x14ac:dyDescent="0.35">
      <c r="A401" s="3">
        <v>2024</v>
      </c>
      <c r="B401">
        <v>8</v>
      </c>
      <c r="C401" s="3">
        <v>15</v>
      </c>
      <c r="D401" s="2">
        <v>830</v>
      </c>
      <c r="E401" s="3">
        <v>3</v>
      </c>
      <c r="F401" s="3" t="s">
        <v>225</v>
      </c>
      <c r="G401" s="3" t="str">
        <f t="shared" si="32"/>
        <v>2021</v>
      </c>
      <c r="H401" s="3">
        <f t="shared" si="30"/>
        <v>3</v>
      </c>
      <c r="I401" s="69"/>
      <c r="J401" t="s">
        <v>237</v>
      </c>
      <c r="K401">
        <v>3</v>
      </c>
      <c r="L401">
        <v>60.2</v>
      </c>
      <c r="M401" s="3">
        <v>387</v>
      </c>
      <c r="N401" s="3" t="str">
        <f t="shared" si="31"/>
        <v>2021</v>
      </c>
      <c r="O401" s="2">
        <v>830</v>
      </c>
    </row>
    <row r="402" spans="1:15" x14ac:dyDescent="0.35">
      <c r="A402" s="3">
        <v>2022</v>
      </c>
      <c r="B402" s="3">
        <v>1</v>
      </c>
      <c r="C402" s="3" t="s">
        <v>28</v>
      </c>
      <c r="D402" s="2">
        <v>59</v>
      </c>
      <c r="E402" s="3">
        <v>1</v>
      </c>
      <c r="F402" s="3" t="s">
        <v>41</v>
      </c>
      <c r="G402" s="3" t="str">
        <f t="shared" si="32"/>
        <v>2012</v>
      </c>
      <c r="H402" s="3">
        <f t="shared" si="30"/>
        <v>10</v>
      </c>
      <c r="I402" s="69"/>
      <c r="J402" s="3" t="s">
        <v>461</v>
      </c>
      <c r="K402" s="3" t="s">
        <v>461</v>
      </c>
      <c r="L402" s="3">
        <v>51.1</v>
      </c>
      <c r="M402" s="3">
        <v>388</v>
      </c>
      <c r="N402" s="3" t="str">
        <f t="shared" si="31"/>
        <v>2011</v>
      </c>
      <c r="O402" s="2">
        <v>59</v>
      </c>
    </row>
    <row r="403" spans="1:15" x14ac:dyDescent="0.35">
      <c r="A403" s="3">
        <v>2024</v>
      </c>
      <c r="B403" s="3">
        <v>1</v>
      </c>
      <c r="C403" s="3">
        <v>17</v>
      </c>
      <c r="D403" s="2">
        <v>562</v>
      </c>
      <c r="E403" s="3">
        <v>1</v>
      </c>
      <c r="F403" s="3" t="s">
        <v>41</v>
      </c>
      <c r="G403" s="3" t="str">
        <f t="shared" si="32"/>
        <v>2013</v>
      </c>
      <c r="H403" s="3">
        <f t="shared" si="30"/>
        <v>11</v>
      </c>
      <c r="I403" s="69"/>
      <c r="J403" t="s">
        <v>42</v>
      </c>
      <c r="K403" s="3" t="s">
        <v>318</v>
      </c>
      <c r="L403">
        <v>51.4</v>
      </c>
      <c r="M403" s="3">
        <v>388</v>
      </c>
      <c r="N403" s="3" t="str">
        <f t="shared" si="31"/>
        <v>2011</v>
      </c>
      <c r="O403" s="2">
        <v>562</v>
      </c>
    </row>
    <row r="404" spans="1:15" x14ac:dyDescent="0.35">
      <c r="A404" s="3">
        <v>2019</v>
      </c>
      <c r="B404" s="3">
        <v>11</v>
      </c>
      <c r="C404" s="3">
        <v>27</v>
      </c>
      <c r="D404" s="2">
        <v>50</v>
      </c>
      <c r="E404" s="3">
        <v>4</v>
      </c>
      <c r="F404" s="3" t="s">
        <v>45</v>
      </c>
      <c r="G404" s="3" t="str">
        <f t="shared" si="32"/>
        <v>2009</v>
      </c>
      <c r="H404" s="3">
        <f t="shared" si="30"/>
        <v>10</v>
      </c>
      <c r="I404" s="69"/>
      <c r="J404" s="3" t="s">
        <v>488</v>
      </c>
      <c r="K404" s="3" t="s">
        <v>488</v>
      </c>
      <c r="L404" s="3">
        <v>57.7</v>
      </c>
      <c r="M404" s="3">
        <v>389</v>
      </c>
      <c r="N404" s="3" t="str">
        <f t="shared" si="31"/>
        <v>2007</v>
      </c>
      <c r="O404" s="2">
        <v>50</v>
      </c>
    </row>
    <row r="405" spans="1:15" x14ac:dyDescent="0.35">
      <c r="A405" s="3">
        <v>2023</v>
      </c>
      <c r="B405" s="3">
        <v>11</v>
      </c>
      <c r="C405" s="3">
        <v>2</v>
      </c>
      <c r="D405" s="2">
        <v>536</v>
      </c>
      <c r="E405" s="3">
        <v>4</v>
      </c>
      <c r="F405" s="3" t="s">
        <v>45</v>
      </c>
      <c r="G405" s="3" t="str">
        <f t="shared" si="32"/>
        <v>2011</v>
      </c>
      <c r="H405" s="3">
        <f t="shared" si="30"/>
        <v>12</v>
      </c>
      <c r="I405" s="69"/>
      <c r="J405" t="s">
        <v>990</v>
      </c>
      <c r="K405" s="3" t="s">
        <v>317</v>
      </c>
      <c r="L405" s="3">
        <v>50.8</v>
      </c>
      <c r="M405" s="3">
        <v>389</v>
      </c>
      <c r="N405" s="3" t="str">
        <f t="shared" si="31"/>
        <v>2007</v>
      </c>
      <c r="O405" s="2">
        <v>536</v>
      </c>
    </row>
    <row r="406" spans="1:15" x14ac:dyDescent="0.35">
      <c r="A406" s="3">
        <v>2011</v>
      </c>
      <c r="B406" s="3">
        <v>9</v>
      </c>
      <c r="C406" s="3">
        <v>11</v>
      </c>
      <c r="D406" s="2">
        <v>621</v>
      </c>
      <c r="E406" s="3">
        <v>3</v>
      </c>
      <c r="F406" s="3" t="s">
        <v>45</v>
      </c>
      <c r="G406" s="3" t="str">
        <f t="shared" si="32"/>
        <v>2011</v>
      </c>
      <c r="H406" s="3">
        <f t="shared" si="30"/>
        <v>0</v>
      </c>
      <c r="I406" s="69"/>
      <c r="J406" t="s">
        <v>602</v>
      </c>
      <c r="K406" s="3" t="s">
        <v>317</v>
      </c>
      <c r="L406">
        <v>47.6</v>
      </c>
      <c r="M406" s="3">
        <v>389</v>
      </c>
      <c r="N406" s="3" t="str">
        <f t="shared" si="31"/>
        <v>2007</v>
      </c>
      <c r="O406" s="2">
        <v>621</v>
      </c>
    </row>
    <row r="407" spans="1:15" x14ac:dyDescent="0.35">
      <c r="A407" s="3">
        <v>2017</v>
      </c>
      <c r="B407" s="3">
        <v>11</v>
      </c>
      <c r="C407" s="3">
        <v>9</v>
      </c>
      <c r="D407" s="2">
        <v>76</v>
      </c>
      <c r="E407" s="15">
        <v>4</v>
      </c>
      <c r="F407" s="3" t="s">
        <v>45</v>
      </c>
      <c r="G407" s="3" t="str">
        <f t="shared" si="32"/>
        <v>2011</v>
      </c>
      <c r="H407" s="3">
        <f t="shared" si="30"/>
        <v>6</v>
      </c>
      <c r="I407" s="69"/>
      <c r="J407" s="3" t="s">
        <v>317</v>
      </c>
      <c r="K407" s="3" t="s">
        <v>317</v>
      </c>
      <c r="L407" s="3">
        <v>49.7</v>
      </c>
      <c r="M407" s="3">
        <v>390</v>
      </c>
      <c r="N407" s="3" t="str">
        <f t="shared" si="31"/>
        <v>2007</v>
      </c>
      <c r="O407" s="2">
        <v>76</v>
      </c>
    </row>
    <row r="408" spans="1:15" x14ac:dyDescent="0.35">
      <c r="A408" s="3">
        <v>2023</v>
      </c>
      <c r="B408" s="3">
        <v>2</v>
      </c>
      <c r="C408" s="3">
        <v>18</v>
      </c>
      <c r="D408" s="2">
        <v>145</v>
      </c>
      <c r="E408" s="15">
        <v>1</v>
      </c>
      <c r="F408" s="3" t="s">
        <v>41</v>
      </c>
      <c r="G408" s="3" t="str">
        <f t="shared" si="32"/>
        <v>2013</v>
      </c>
      <c r="H408" s="3">
        <f t="shared" si="30"/>
        <v>10</v>
      </c>
      <c r="I408" s="69"/>
      <c r="J408" s="3" t="s">
        <v>91</v>
      </c>
      <c r="K408" s="3" t="s">
        <v>318</v>
      </c>
      <c r="L408" s="3">
        <v>51.8</v>
      </c>
      <c r="M408" s="3">
        <v>390</v>
      </c>
      <c r="N408" s="3" t="str">
        <f t="shared" si="31"/>
        <v>2011</v>
      </c>
      <c r="O408" s="2">
        <v>145</v>
      </c>
    </row>
    <row r="409" spans="1:15" x14ac:dyDescent="0.35">
      <c r="A409" s="3">
        <v>2024</v>
      </c>
      <c r="B409" s="3">
        <v>8</v>
      </c>
      <c r="C409" s="3">
        <v>19</v>
      </c>
      <c r="D409" s="2">
        <v>810</v>
      </c>
      <c r="E409" s="3">
        <v>3</v>
      </c>
      <c r="F409" s="3" t="s">
        <v>225</v>
      </c>
      <c r="G409" s="3" t="str">
        <f t="shared" si="32"/>
        <v>2021</v>
      </c>
      <c r="H409" s="3">
        <f t="shared" si="30"/>
        <v>3</v>
      </c>
      <c r="I409" s="69"/>
      <c r="J409">
        <v>3</v>
      </c>
      <c r="K409">
        <v>3</v>
      </c>
      <c r="L409">
        <v>61.7</v>
      </c>
      <c r="M409" s="3">
        <v>390</v>
      </c>
      <c r="N409" s="3" t="str">
        <f t="shared" si="31"/>
        <v>2021</v>
      </c>
      <c r="O409" s="2">
        <v>810</v>
      </c>
    </row>
    <row r="410" spans="1:15" x14ac:dyDescent="0.35">
      <c r="A410" s="3">
        <v>2019</v>
      </c>
      <c r="B410" s="3">
        <v>1</v>
      </c>
      <c r="C410" s="3" t="s">
        <v>28</v>
      </c>
      <c r="D410" s="2">
        <v>64</v>
      </c>
      <c r="E410" s="3">
        <v>1</v>
      </c>
      <c r="F410" s="3" t="s">
        <v>41</v>
      </c>
      <c r="G410" s="3" t="str">
        <f t="shared" si="32"/>
        <v>2012</v>
      </c>
      <c r="H410" s="3">
        <f t="shared" si="30"/>
        <v>7</v>
      </c>
      <c r="I410" s="69"/>
      <c r="J410" s="3" t="s">
        <v>461</v>
      </c>
      <c r="K410" s="3" t="s">
        <v>461</v>
      </c>
      <c r="L410" s="3">
        <v>43.7</v>
      </c>
      <c r="M410" s="3">
        <v>391</v>
      </c>
      <c r="N410" s="3" t="str">
        <f t="shared" si="31"/>
        <v>2011</v>
      </c>
      <c r="O410" s="2">
        <v>64</v>
      </c>
    </row>
    <row r="411" spans="1:15" x14ac:dyDescent="0.35">
      <c r="A411" s="3">
        <v>2023</v>
      </c>
      <c r="B411" s="3">
        <v>8</v>
      </c>
      <c r="C411" s="3">
        <v>2</v>
      </c>
      <c r="D411" s="2">
        <v>442</v>
      </c>
      <c r="E411" s="3">
        <v>3</v>
      </c>
      <c r="F411" s="3" t="s">
        <v>226</v>
      </c>
      <c r="G411" s="3" t="str">
        <f t="shared" si="32"/>
        <v>2019</v>
      </c>
      <c r="H411" s="3">
        <f t="shared" si="30"/>
        <v>4</v>
      </c>
      <c r="I411" s="69"/>
      <c r="J411" s="3" t="s">
        <v>231</v>
      </c>
      <c r="K411" s="3">
        <v>8</v>
      </c>
      <c r="L411" s="3">
        <v>46.6</v>
      </c>
      <c r="M411" s="3">
        <v>391</v>
      </c>
      <c r="N411" s="3" t="str">
        <f t="shared" si="31"/>
        <v>2017</v>
      </c>
      <c r="O411" s="2">
        <v>442</v>
      </c>
    </row>
    <row r="412" spans="1:15" x14ac:dyDescent="0.35">
      <c r="A412" s="3">
        <v>2024</v>
      </c>
      <c r="B412" s="3">
        <v>3</v>
      </c>
      <c r="C412" s="3">
        <v>12</v>
      </c>
      <c r="D412" s="2">
        <v>687</v>
      </c>
      <c r="E412" s="3">
        <v>2</v>
      </c>
      <c r="F412" s="3" t="s">
        <v>45</v>
      </c>
      <c r="G412" s="3" t="str">
        <f t="shared" si="32"/>
        <v>2011</v>
      </c>
      <c r="H412" s="3">
        <f t="shared" si="30"/>
        <v>13</v>
      </c>
      <c r="I412" s="69"/>
      <c r="J412" t="s">
        <v>1105</v>
      </c>
      <c r="K412" t="s">
        <v>317</v>
      </c>
      <c r="L412">
        <v>60.6</v>
      </c>
      <c r="M412" s="3">
        <v>391</v>
      </c>
      <c r="N412" s="3" t="str">
        <f t="shared" si="31"/>
        <v>2007</v>
      </c>
      <c r="O412" s="2">
        <v>687</v>
      </c>
    </row>
    <row r="413" spans="1:15" x14ac:dyDescent="0.35">
      <c r="A413" s="3">
        <v>2024</v>
      </c>
      <c r="B413">
        <v>8</v>
      </c>
      <c r="C413" s="3">
        <v>15</v>
      </c>
      <c r="D413" s="2">
        <v>829</v>
      </c>
      <c r="E413" s="3">
        <v>3</v>
      </c>
      <c r="F413" s="3" t="s">
        <v>225</v>
      </c>
      <c r="G413" s="3" t="str">
        <f t="shared" si="32"/>
        <v>2021</v>
      </c>
      <c r="H413" s="3">
        <f t="shared" si="30"/>
        <v>3</v>
      </c>
      <c r="I413" s="69"/>
      <c r="J413" t="s">
        <v>237</v>
      </c>
      <c r="K413">
        <v>3</v>
      </c>
      <c r="L413">
        <v>54.4</v>
      </c>
      <c r="M413" s="3">
        <v>391</v>
      </c>
      <c r="N413" s="3" t="str">
        <f t="shared" si="31"/>
        <v>2021</v>
      </c>
      <c r="O413" s="2">
        <v>829</v>
      </c>
    </row>
    <row r="414" spans="1:15" x14ac:dyDescent="0.35">
      <c r="A414" s="3">
        <v>2023</v>
      </c>
      <c r="B414" s="3">
        <v>2</v>
      </c>
      <c r="C414" s="3">
        <v>10</v>
      </c>
      <c r="D414" s="2">
        <v>141</v>
      </c>
      <c r="E414" s="15">
        <v>1</v>
      </c>
      <c r="F414" s="3" t="s">
        <v>41</v>
      </c>
      <c r="G414" s="3" t="str">
        <f t="shared" si="32"/>
        <v>2013</v>
      </c>
      <c r="H414" s="3">
        <f t="shared" si="30"/>
        <v>10</v>
      </c>
      <c r="I414" s="69"/>
      <c r="J414" s="3" t="s">
        <v>91</v>
      </c>
      <c r="K414" s="3" t="s">
        <v>318</v>
      </c>
      <c r="L414" s="3">
        <v>138.80000000000001</v>
      </c>
      <c r="M414" s="3">
        <v>392</v>
      </c>
      <c r="N414" s="3" t="str">
        <f t="shared" si="31"/>
        <v>2011</v>
      </c>
      <c r="O414" s="2">
        <v>141</v>
      </c>
    </row>
    <row r="415" spans="1:15" x14ac:dyDescent="0.35">
      <c r="A415" s="3">
        <v>2016</v>
      </c>
      <c r="B415" s="3">
        <v>8</v>
      </c>
      <c r="C415" s="3">
        <v>31</v>
      </c>
      <c r="D415" s="2">
        <v>287</v>
      </c>
      <c r="E415" s="3">
        <v>3</v>
      </c>
      <c r="F415" s="3" t="s">
        <v>45</v>
      </c>
      <c r="G415" s="3" t="str">
        <f t="shared" si="32"/>
        <v>2011</v>
      </c>
      <c r="H415" s="3">
        <f t="shared" si="30"/>
        <v>5</v>
      </c>
      <c r="I415" s="69"/>
      <c r="J415" s="3" t="s">
        <v>749</v>
      </c>
      <c r="K415" s="3" t="s">
        <v>317</v>
      </c>
      <c r="L415" s="3">
        <v>47.6</v>
      </c>
      <c r="M415" s="3">
        <v>392</v>
      </c>
      <c r="N415" s="3" t="str">
        <f t="shared" si="31"/>
        <v>2007</v>
      </c>
      <c r="O415" s="2">
        <v>287</v>
      </c>
    </row>
    <row r="416" spans="1:15" x14ac:dyDescent="0.35">
      <c r="A416" s="3">
        <v>2023</v>
      </c>
      <c r="B416" s="3">
        <v>11</v>
      </c>
      <c r="C416" s="3">
        <v>17</v>
      </c>
      <c r="D416" s="2">
        <v>500</v>
      </c>
      <c r="E416" s="3">
        <v>4</v>
      </c>
      <c r="F416" s="3" t="s">
        <v>225</v>
      </c>
      <c r="G416" s="3" t="str">
        <f t="shared" si="32"/>
        <v>2022</v>
      </c>
      <c r="H416" s="3">
        <f t="shared" si="30"/>
        <v>1</v>
      </c>
      <c r="I416" s="69"/>
      <c r="J416" s="3" t="s">
        <v>235</v>
      </c>
      <c r="K416" s="3">
        <v>5</v>
      </c>
      <c r="L416" s="3">
        <v>50.4</v>
      </c>
      <c r="M416" s="3">
        <v>392</v>
      </c>
      <c r="N416" s="3" t="str">
        <f t="shared" si="31"/>
        <v>2021</v>
      </c>
      <c r="O416" s="2">
        <v>500</v>
      </c>
    </row>
    <row r="417" spans="1:16" x14ac:dyDescent="0.35">
      <c r="A417" s="3">
        <v>2017</v>
      </c>
      <c r="B417" s="3">
        <v>8</v>
      </c>
      <c r="C417" s="3">
        <v>14</v>
      </c>
      <c r="D417" s="2">
        <v>89</v>
      </c>
      <c r="E417" s="15">
        <v>3</v>
      </c>
      <c r="F417" s="3" t="s">
        <v>45</v>
      </c>
      <c r="G417" s="3" t="str">
        <f t="shared" si="32"/>
        <v>2011</v>
      </c>
      <c r="H417" s="3">
        <f t="shared" si="30"/>
        <v>6</v>
      </c>
      <c r="I417" s="69"/>
      <c r="J417" s="3" t="s">
        <v>317</v>
      </c>
      <c r="K417" s="3" t="s">
        <v>317</v>
      </c>
      <c r="L417" s="3">
        <v>52.2</v>
      </c>
      <c r="M417" s="3">
        <v>393</v>
      </c>
      <c r="N417" s="3" t="str">
        <f t="shared" si="31"/>
        <v>2007</v>
      </c>
      <c r="O417" s="2">
        <v>89</v>
      </c>
    </row>
    <row r="418" spans="1:16" x14ac:dyDescent="0.35">
      <c r="A418" s="3">
        <v>2023</v>
      </c>
      <c r="B418" s="3">
        <v>7</v>
      </c>
      <c r="C418" s="3">
        <v>17</v>
      </c>
      <c r="D418" s="2">
        <v>396</v>
      </c>
      <c r="E418" s="3">
        <v>3</v>
      </c>
      <c r="F418" s="3" t="s">
        <v>45</v>
      </c>
      <c r="G418" s="3" t="str">
        <f t="shared" si="32"/>
        <v>2011</v>
      </c>
      <c r="H418" s="3">
        <f t="shared" si="30"/>
        <v>12</v>
      </c>
      <c r="I418" s="69"/>
      <c r="J418" s="3" t="s">
        <v>632</v>
      </c>
      <c r="K418" s="3" t="s">
        <v>317</v>
      </c>
      <c r="L418" s="3">
        <v>34.799999999999997</v>
      </c>
      <c r="M418" s="3">
        <v>393</v>
      </c>
      <c r="N418" s="3" t="str">
        <f t="shared" si="31"/>
        <v>2007</v>
      </c>
      <c r="O418" s="2">
        <v>396</v>
      </c>
    </row>
    <row r="419" spans="1:16" x14ac:dyDescent="0.35">
      <c r="A419" s="3">
        <v>2024</v>
      </c>
      <c r="B419" s="3">
        <v>8</v>
      </c>
      <c r="C419" s="3">
        <v>13</v>
      </c>
      <c r="D419" s="2">
        <v>711</v>
      </c>
      <c r="E419" s="3">
        <v>3</v>
      </c>
      <c r="F419" s="3" t="s">
        <v>225</v>
      </c>
      <c r="G419" s="3" t="str">
        <f t="shared" si="32"/>
        <v>2022</v>
      </c>
      <c r="H419" s="3">
        <f t="shared" si="30"/>
        <v>2</v>
      </c>
      <c r="I419" s="69"/>
      <c r="J419" t="s">
        <v>1126</v>
      </c>
      <c r="K419">
        <v>2</v>
      </c>
      <c r="L419">
        <v>55.7</v>
      </c>
      <c r="M419" s="3">
        <v>393</v>
      </c>
      <c r="N419" s="3" t="str">
        <f t="shared" si="31"/>
        <v>2021</v>
      </c>
      <c r="O419" s="2">
        <v>711</v>
      </c>
    </row>
    <row r="420" spans="1:16" x14ac:dyDescent="0.35">
      <c r="A420" s="3">
        <v>2022</v>
      </c>
      <c r="B420" s="3">
        <v>11</v>
      </c>
      <c r="C420" s="3">
        <v>7</v>
      </c>
      <c r="D420" s="2">
        <v>103</v>
      </c>
      <c r="E420" s="15">
        <v>4</v>
      </c>
      <c r="F420" s="3" t="s">
        <v>41</v>
      </c>
      <c r="G420" s="3" t="str">
        <f t="shared" si="32"/>
        <v>2012</v>
      </c>
      <c r="H420" s="3">
        <f t="shared" si="30"/>
        <v>10</v>
      </c>
      <c r="I420" s="69"/>
      <c r="J420" s="3" t="s">
        <v>551</v>
      </c>
      <c r="K420" s="3" t="s">
        <v>461</v>
      </c>
      <c r="L420" s="3">
        <v>53.7</v>
      </c>
      <c r="M420" s="3">
        <v>394</v>
      </c>
      <c r="N420" s="3" t="str">
        <f t="shared" si="31"/>
        <v>2011</v>
      </c>
      <c r="O420" s="2">
        <v>103</v>
      </c>
      <c r="P420">
        <v>20.239999999999998</v>
      </c>
    </row>
    <row r="421" spans="1:16" x14ac:dyDescent="0.35">
      <c r="A421" s="3">
        <v>2022</v>
      </c>
      <c r="B421" s="3">
        <v>3</v>
      </c>
      <c r="C421" s="3" t="s">
        <v>28</v>
      </c>
      <c r="D421" s="2">
        <v>7</v>
      </c>
      <c r="E421" s="3">
        <v>2</v>
      </c>
      <c r="F421" s="3" t="s">
        <v>20</v>
      </c>
      <c r="G421" s="3" t="str">
        <f t="shared" si="32"/>
        <v>2019</v>
      </c>
      <c r="H421" s="3">
        <f t="shared" si="30"/>
        <v>3</v>
      </c>
      <c r="I421" s="69"/>
      <c r="J421" s="3">
        <v>23</v>
      </c>
      <c r="K421" s="3">
        <v>23</v>
      </c>
      <c r="L421" s="3">
        <v>53.5</v>
      </c>
      <c r="M421" s="3">
        <v>394</v>
      </c>
      <c r="N421" s="3" t="str">
        <f t="shared" si="31"/>
        <v>2018</v>
      </c>
      <c r="O421" s="2">
        <v>7</v>
      </c>
    </row>
    <row r="422" spans="1:16" x14ac:dyDescent="0.35">
      <c r="A422" s="3">
        <v>2022</v>
      </c>
      <c r="B422" s="3">
        <v>11</v>
      </c>
      <c r="C422" s="3">
        <v>22</v>
      </c>
      <c r="D422" s="2">
        <v>115</v>
      </c>
      <c r="E422" s="15">
        <v>4</v>
      </c>
      <c r="F422" s="3" t="s">
        <v>41</v>
      </c>
      <c r="G422" s="3" t="str">
        <f t="shared" si="32"/>
        <v>2012</v>
      </c>
      <c r="H422" s="3">
        <f t="shared" si="30"/>
        <v>10</v>
      </c>
      <c r="I422" s="69"/>
      <c r="J422" s="3" t="s">
        <v>461</v>
      </c>
      <c r="K422" s="3" t="s">
        <v>461</v>
      </c>
      <c r="L422" s="3">
        <v>48.5</v>
      </c>
      <c r="M422" s="3">
        <v>394</v>
      </c>
      <c r="N422" s="3" t="str">
        <f t="shared" si="31"/>
        <v>2011</v>
      </c>
      <c r="O422" s="2">
        <v>115</v>
      </c>
    </row>
    <row r="423" spans="1:16" x14ac:dyDescent="0.35">
      <c r="A423" s="3">
        <v>2019</v>
      </c>
      <c r="B423" s="3">
        <v>1</v>
      </c>
      <c r="C423" s="3" t="s">
        <v>28</v>
      </c>
      <c r="D423" s="2">
        <v>63</v>
      </c>
      <c r="E423" s="3">
        <v>1</v>
      </c>
      <c r="F423" s="3" t="s">
        <v>41</v>
      </c>
      <c r="G423" s="3" t="str">
        <f t="shared" si="32"/>
        <v>2012</v>
      </c>
      <c r="H423" s="3">
        <f t="shared" si="30"/>
        <v>7</v>
      </c>
      <c r="I423" s="69"/>
      <c r="J423" s="3" t="s">
        <v>461</v>
      </c>
      <c r="K423" s="3" t="s">
        <v>461</v>
      </c>
      <c r="L423" s="3">
        <v>49.3</v>
      </c>
      <c r="M423" s="3">
        <v>395</v>
      </c>
      <c r="N423" s="3" t="str">
        <f t="shared" si="31"/>
        <v>2011</v>
      </c>
      <c r="O423" s="2">
        <v>63</v>
      </c>
      <c r="P423">
        <v>15.4</v>
      </c>
    </row>
    <row r="424" spans="1:16" x14ac:dyDescent="0.35">
      <c r="A424" s="3">
        <v>2022</v>
      </c>
      <c r="B424" s="3">
        <v>1</v>
      </c>
      <c r="C424" s="3" t="s">
        <v>28</v>
      </c>
      <c r="D424" s="2">
        <v>26</v>
      </c>
      <c r="E424" s="3">
        <v>1</v>
      </c>
      <c r="F424" s="3" t="s">
        <v>20</v>
      </c>
      <c r="G424" s="3" t="str">
        <f t="shared" si="32"/>
        <v>2020</v>
      </c>
      <c r="H424" s="3">
        <f t="shared" si="30"/>
        <v>2</v>
      </c>
      <c r="I424" s="69"/>
      <c r="J424" s="3">
        <v>7</v>
      </c>
      <c r="K424" s="3">
        <v>7</v>
      </c>
      <c r="L424" s="3">
        <v>67.8</v>
      </c>
      <c r="M424" s="3">
        <v>395</v>
      </c>
      <c r="N424" s="3" t="str">
        <f t="shared" si="31"/>
        <v>2018</v>
      </c>
      <c r="O424" s="2">
        <v>26</v>
      </c>
    </row>
    <row r="425" spans="1:16" x14ac:dyDescent="0.35">
      <c r="A425" s="3">
        <v>2023</v>
      </c>
      <c r="B425" s="3">
        <v>7</v>
      </c>
      <c r="C425" s="3">
        <v>17</v>
      </c>
      <c r="D425" s="2">
        <v>398</v>
      </c>
      <c r="E425" s="3">
        <v>3</v>
      </c>
      <c r="F425" s="3" t="s">
        <v>45</v>
      </c>
      <c r="G425" s="3" t="str">
        <f t="shared" si="32"/>
        <v>2011</v>
      </c>
      <c r="H425" s="3">
        <f t="shared" si="30"/>
        <v>12</v>
      </c>
      <c r="I425" s="69"/>
      <c r="J425" s="3" t="s">
        <v>632</v>
      </c>
      <c r="K425" s="3" t="s">
        <v>317</v>
      </c>
      <c r="L425" s="3">
        <v>4.0999999999999996</v>
      </c>
      <c r="M425" s="3">
        <v>395</v>
      </c>
      <c r="N425" s="3" t="str">
        <f t="shared" si="31"/>
        <v>2007</v>
      </c>
      <c r="O425" s="2">
        <v>398</v>
      </c>
    </row>
    <row r="426" spans="1:16" x14ac:dyDescent="0.35">
      <c r="A426" s="3">
        <v>2023</v>
      </c>
      <c r="B426" s="3">
        <v>10</v>
      </c>
      <c r="C426" s="3">
        <v>31</v>
      </c>
      <c r="D426" s="2">
        <v>542</v>
      </c>
      <c r="E426" s="3">
        <v>4</v>
      </c>
      <c r="F426" s="3" t="s">
        <v>225</v>
      </c>
      <c r="G426" s="3" t="str">
        <f t="shared" si="32"/>
        <v>2022</v>
      </c>
      <c r="H426" s="3">
        <f t="shared" si="30"/>
        <v>1</v>
      </c>
      <c r="I426" s="69"/>
      <c r="J426" t="s">
        <v>67</v>
      </c>
      <c r="K426" s="3">
        <v>2</v>
      </c>
      <c r="L426" s="3">
        <v>64.8</v>
      </c>
      <c r="M426" s="3">
        <v>395</v>
      </c>
      <c r="N426" s="3" t="str">
        <f t="shared" si="31"/>
        <v>2021</v>
      </c>
      <c r="O426" s="2">
        <v>542</v>
      </c>
    </row>
    <row r="427" spans="1:16" x14ac:dyDescent="0.35">
      <c r="A427" s="3">
        <v>2024</v>
      </c>
      <c r="B427" s="3">
        <v>8</v>
      </c>
      <c r="C427" s="3">
        <v>19</v>
      </c>
      <c r="D427" s="2">
        <v>727</v>
      </c>
      <c r="E427" s="3">
        <v>3</v>
      </c>
      <c r="F427" s="3" t="s">
        <v>225</v>
      </c>
      <c r="G427" s="3" t="str">
        <f t="shared" si="32"/>
        <v>2021</v>
      </c>
      <c r="H427" s="3">
        <f t="shared" si="30"/>
        <v>3</v>
      </c>
      <c r="I427" s="69"/>
      <c r="J427">
        <v>3</v>
      </c>
      <c r="K427">
        <v>3</v>
      </c>
      <c r="L427">
        <v>85.3</v>
      </c>
      <c r="M427" s="3">
        <v>395</v>
      </c>
      <c r="N427" s="3" t="str">
        <f t="shared" si="31"/>
        <v>2021</v>
      </c>
      <c r="O427" s="2">
        <v>727</v>
      </c>
    </row>
    <row r="428" spans="1:16" x14ac:dyDescent="0.35">
      <c r="A428" s="3">
        <v>2016</v>
      </c>
      <c r="B428" s="3">
        <v>8</v>
      </c>
      <c r="C428" s="3">
        <v>31</v>
      </c>
      <c r="D428" s="2">
        <v>278</v>
      </c>
      <c r="E428" s="3">
        <v>3</v>
      </c>
      <c r="F428" s="3" t="s">
        <v>45</v>
      </c>
      <c r="G428" s="3" t="str">
        <f t="shared" si="32"/>
        <v>2009</v>
      </c>
      <c r="H428" s="3">
        <f t="shared" si="30"/>
        <v>7</v>
      </c>
      <c r="I428" s="69"/>
      <c r="J428" s="3" t="s">
        <v>742</v>
      </c>
      <c r="K428" s="3" t="s">
        <v>488</v>
      </c>
      <c r="L428" s="3">
        <v>53.3</v>
      </c>
      <c r="M428" s="3">
        <v>396</v>
      </c>
      <c r="N428" s="3" t="str">
        <f t="shared" si="31"/>
        <v>2007</v>
      </c>
      <c r="O428" s="2">
        <v>278</v>
      </c>
    </row>
    <row r="429" spans="1:16" x14ac:dyDescent="0.35">
      <c r="A429" s="3">
        <v>2024</v>
      </c>
      <c r="B429" s="3">
        <v>8</v>
      </c>
      <c r="C429" s="3">
        <v>19</v>
      </c>
      <c r="D429" s="2">
        <v>787</v>
      </c>
      <c r="E429" s="3">
        <v>3</v>
      </c>
      <c r="F429" s="3" t="s">
        <v>225</v>
      </c>
      <c r="G429" s="3" t="str">
        <f t="shared" si="32"/>
        <v>2021</v>
      </c>
      <c r="H429" s="3">
        <f t="shared" si="30"/>
        <v>3</v>
      </c>
      <c r="I429" s="69"/>
      <c r="J429">
        <v>3</v>
      </c>
      <c r="K429">
        <v>3</v>
      </c>
      <c r="L429">
        <v>71.2</v>
      </c>
      <c r="M429" s="3">
        <v>396</v>
      </c>
      <c r="N429" s="3" t="str">
        <f t="shared" si="31"/>
        <v>2021</v>
      </c>
      <c r="O429" s="2">
        <v>787</v>
      </c>
    </row>
    <row r="430" spans="1:16" x14ac:dyDescent="0.35">
      <c r="A430" s="3">
        <v>2022</v>
      </c>
      <c r="B430" s="3">
        <v>11</v>
      </c>
      <c r="C430" s="3">
        <v>18</v>
      </c>
      <c r="D430" s="2">
        <v>111</v>
      </c>
      <c r="E430" s="15">
        <v>4</v>
      </c>
      <c r="F430" s="3" t="s">
        <v>225</v>
      </c>
      <c r="G430" s="3" t="str">
        <f t="shared" si="32"/>
        <v>2021</v>
      </c>
      <c r="H430" s="3">
        <f t="shared" si="30"/>
        <v>1</v>
      </c>
      <c r="I430" s="69"/>
      <c r="J430" s="3">
        <v>1</v>
      </c>
      <c r="K430" s="3">
        <v>1</v>
      </c>
      <c r="L430" s="3">
        <v>55.1</v>
      </c>
      <c r="M430" s="3">
        <v>397</v>
      </c>
      <c r="N430" s="3" t="str">
        <f t="shared" si="31"/>
        <v>2021</v>
      </c>
      <c r="O430" s="2">
        <v>111</v>
      </c>
    </row>
    <row r="431" spans="1:16" x14ac:dyDescent="0.35">
      <c r="A431" s="3">
        <v>2023</v>
      </c>
      <c r="B431" s="3">
        <v>7</v>
      </c>
      <c r="C431" s="3">
        <v>17</v>
      </c>
      <c r="D431" s="2">
        <v>380</v>
      </c>
      <c r="E431" s="3">
        <v>3</v>
      </c>
      <c r="F431" s="3" t="s">
        <v>45</v>
      </c>
      <c r="G431" s="3" t="str">
        <f t="shared" si="32"/>
        <v>2011</v>
      </c>
      <c r="H431" s="3">
        <f t="shared" si="30"/>
        <v>12</v>
      </c>
      <c r="I431" s="69"/>
      <c r="J431" s="3" t="s">
        <v>46</v>
      </c>
      <c r="K431" s="3" t="s">
        <v>317</v>
      </c>
      <c r="L431" s="3">
        <v>49.9</v>
      </c>
      <c r="M431" s="3">
        <v>397</v>
      </c>
      <c r="N431" s="3" t="str">
        <f t="shared" si="31"/>
        <v>2007</v>
      </c>
      <c r="O431" s="2">
        <v>380</v>
      </c>
    </row>
    <row r="432" spans="1:16" x14ac:dyDescent="0.35">
      <c r="A432" s="3">
        <v>2024</v>
      </c>
      <c r="B432" s="3">
        <v>8</v>
      </c>
      <c r="C432" s="3">
        <v>15</v>
      </c>
      <c r="D432" s="2">
        <v>772</v>
      </c>
      <c r="E432" s="3">
        <v>3</v>
      </c>
      <c r="F432" s="3" t="s">
        <v>225</v>
      </c>
      <c r="G432" s="3" t="str">
        <f t="shared" si="32"/>
        <v>2021</v>
      </c>
      <c r="H432" s="3">
        <f t="shared" si="30"/>
        <v>3</v>
      </c>
      <c r="I432" s="69"/>
      <c r="J432">
        <v>3</v>
      </c>
      <c r="K432">
        <v>3</v>
      </c>
      <c r="L432">
        <v>61.8</v>
      </c>
      <c r="M432" s="3">
        <v>397</v>
      </c>
      <c r="N432" s="3" t="str">
        <f t="shared" si="31"/>
        <v>2021</v>
      </c>
      <c r="O432" s="2">
        <v>772</v>
      </c>
    </row>
    <row r="433" spans="1:20" x14ac:dyDescent="0.35">
      <c r="A433" s="3">
        <v>2024</v>
      </c>
      <c r="B433" s="3">
        <v>8</v>
      </c>
      <c r="C433" s="3">
        <v>15</v>
      </c>
      <c r="D433" s="2">
        <v>733</v>
      </c>
      <c r="E433" s="3">
        <v>3</v>
      </c>
      <c r="F433" s="3" t="s">
        <v>225</v>
      </c>
      <c r="G433" s="3" t="str">
        <f t="shared" si="32"/>
        <v>2021</v>
      </c>
      <c r="H433" s="3">
        <f t="shared" si="30"/>
        <v>3</v>
      </c>
      <c r="I433" s="69"/>
      <c r="J433">
        <v>3</v>
      </c>
      <c r="K433">
        <v>3</v>
      </c>
      <c r="L433">
        <v>80.2</v>
      </c>
      <c r="M433" s="3">
        <v>398</v>
      </c>
      <c r="N433" s="3" t="str">
        <f t="shared" si="31"/>
        <v>2021</v>
      </c>
      <c r="O433" s="2">
        <v>733</v>
      </c>
    </row>
    <row r="434" spans="1:20" x14ac:dyDescent="0.35">
      <c r="A434" s="3">
        <v>2023</v>
      </c>
      <c r="B434" s="3">
        <v>2</v>
      </c>
      <c r="C434" s="3">
        <v>10</v>
      </c>
      <c r="D434" s="2">
        <v>144</v>
      </c>
      <c r="E434" s="15">
        <v>1</v>
      </c>
      <c r="F434" s="3" t="s">
        <v>41</v>
      </c>
      <c r="G434" s="3" t="str">
        <f t="shared" si="32"/>
        <v>2013</v>
      </c>
      <c r="H434" s="3">
        <f t="shared" si="30"/>
        <v>10</v>
      </c>
      <c r="I434" s="69"/>
      <c r="J434" s="3" t="s">
        <v>91</v>
      </c>
      <c r="K434" s="3" t="s">
        <v>318</v>
      </c>
      <c r="L434" s="3">
        <v>147.19999999999999</v>
      </c>
      <c r="M434" s="3">
        <v>400</v>
      </c>
      <c r="N434" s="3" t="str">
        <f t="shared" si="31"/>
        <v>2011</v>
      </c>
      <c r="O434" s="2">
        <v>144</v>
      </c>
    </row>
    <row r="435" spans="1:20" x14ac:dyDescent="0.35">
      <c r="A435" s="3">
        <v>2024</v>
      </c>
      <c r="B435" s="3">
        <v>1</v>
      </c>
      <c r="C435" s="3">
        <v>26</v>
      </c>
      <c r="D435" s="2">
        <v>553</v>
      </c>
      <c r="E435" s="3">
        <v>1</v>
      </c>
      <c r="F435" s="3" t="s">
        <v>225</v>
      </c>
      <c r="G435" s="3" t="str">
        <f t="shared" si="32"/>
        <v>2021</v>
      </c>
      <c r="H435" s="3">
        <f t="shared" si="30"/>
        <v>3</v>
      </c>
      <c r="I435" s="69"/>
      <c r="J435" t="s">
        <v>76</v>
      </c>
      <c r="K435">
        <v>1</v>
      </c>
      <c r="L435">
        <v>61.3</v>
      </c>
      <c r="M435" s="3">
        <v>400</v>
      </c>
      <c r="N435" s="3" t="str">
        <f t="shared" si="31"/>
        <v>2021</v>
      </c>
      <c r="O435" s="2">
        <v>553</v>
      </c>
    </row>
    <row r="436" spans="1:20" x14ac:dyDescent="0.35">
      <c r="A436" s="3">
        <v>2011</v>
      </c>
      <c r="B436" s="3">
        <v>9</v>
      </c>
      <c r="C436" s="3">
        <v>11</v>
      </c>
      <c r="D436" s="2">
        <v>622</v>
      </c>
      <c r="E436" s="3">
        <v>3</v>
      </c>
      <c r="F436" s="3" t="s">
        <v>45</v>
      </c>
      <c r="G436" s="3" t="str">
        <f t="shared" si="32"/>
        <v>2011</v>
      </c>
      <c r="H436" s="3">
        <f t="shared" si="30"/>
        <v>0</v>
      </c>
      <c r="I436" s="69"/>
      <c r="J436" t="s">
        <v>602</v>
      </c>
      <c r="K436" s="3" t="s">
        <v>317</v>
      </c>
      <c r="L436">
        <v>61.9</v>
      </c>
      <c r="M436" s="3">
        <v>400</v>
      </c>
      <c r="N436" s="3" t="str">
        <f t="shared" si="31"/>
        <v>2007</v>
      </c>
      <c r="O436" s="2">
        <v>622</v>
      </c>
    </row>
    <row r="437" spans="1:20" x14ac:dyDescent="0.35">
      <c r="A437" s="3">
        <v>2024</v>
      </c>
      <c r="B437" s="3">
        <v>1</v>
      </c>
      <c r="C437" s="3">
        <v>30</v>
      </c>
      <c r="D437" s="2">
        <v>629</v>
      </c>
      <c r="E437" s="3">
        <v>1</v>
      </c>
      <c r="F437" s="3" t="s">
        <v>225</v>
      </c>
      <c r="G437" s="3" t="str">
        <f t="shared" si="32"/>
        <v>2022</v>
      </c>
      <c r="H437" s="3">
        <f t="shared" si="30"/>
        <v>2</v>
      </c>
      <c r="I437" s="69"/>
      <c r="J437" t="s">
        <v>21</v>
      </c>
      <c r="K437" s="3">
        <v>2</v>
      </c>
      <c r="L437">
        <v>66.3</v>
      </c>
      <c r="M437" s="3">
        <v>400</v>
      </c>
      <c r="N437" s="3" t="str">
        <f t="shared" si="31"/>
        <v>2021</v>
      </c>
      <c r="O437" s="2">
        <v>629</v>
      </c>
    </row>
    <row r="438" spans="1:20" x14ac:dyDescent="0.35">
      <c r="A438" s="3">
        <v>2019</v>
      </c>
      <c r="B438" s="3">
        <v>8</v>
      </c>
      <c r="C438" s="3">
        <v>6</v>
      </c>
      <c r="D438" s="2">
        <v>268</v>
      </c>
      <c r="E438" s="3">
        <v>3</v>
      </c>
      <c r="F438" s="3" t="s">
        <v>226</v>
      </c>
      <c r="G438" s="3" t="str">
        <f t="shared" si="32"/>
        <v>2017</v>
      </c>
      <c r="H438" s="3">
        <f t="shared" si="30"/>
        <v>2</v>
      </c>
      <c r="I438" s="69"/>
      <c r="J438" s="3" t="s">
        <v>228</v>
      </c>
      <c r="K438" s="3">
        <v>7</v>
      </c>
      <c r="L438" s="3">
        <v>50.8</v>
      </c>
      <c r="M438" s="3">
        <v>401</v>
      </c>
      <c r="N438" s="3" t="str">
        <f t="shared" si="31"/>
        <v>2017</v>
      </c>
      <c r="O438" s="2">
        <v>268</v>
      </c>
    </row>
    <row r="439" spans="1:20" x14ac:dyDescent="0.35">
      <c r="A439" s="3">
        <v>2024</v>
      </c>
      <c r="B439" s="3">
        <v>8</v>
      </c>
      <c r="C439" s="3">
        <v>19</v>
      </c>
      <c r="D439" s="2">
        <v>781</v>
      </c>
      <c r="E439" s="3">
        <v>3</v>
      </c>
      <c r="F439" s="3" t="s">
        <v>225</v>
      </c>
      <c r="G439" s="3" t="str">
        <f t="shared" si="32"/>
        <v>2021</v>
      </c>
      <c r="H439" s="3">
        <f t="shared" si="30"/>
        <v>3</v>
      </c>
      <c r="I439" s="69"/>
      <c r="J439">
        <v>3</v>
      </c>
      <c r="K439">
        <v>3</v>
      </c>
      <c r="L439">
        <v>57.3</v>
      </c>
      <c r="M439" s="3">
        <v>401</v>
      </c>
      <c r="N439" s="3" t="str">
        <f t="shared" si="31"/>
        <v>2021</v>
      </c>
      <c r="O439" s="2">
        <v>781</v>
      </c>
    </row>
    <row r="440" spans="1:20" x14ac:dyDescent="0.35">
      <c r="A440" s="3">
        <v>2018</v>
      </c>
      <c r="B440" s="3">
        <v>8</v>
      </c>
      <c r="C440" s="3">
        <v>16</v>
      </c>
      <c r="D440" s="2">
        <v>328</v>
      </c>
      <c r="E440" s="3">
        <v>3</v>
      </c>
      <c r="F440" s="3" t="s">
        <v>45</v>
      </c>
      <c r="G440" s="3" t="str">
        <f t="shared" si="32"/>
        <v>2011</v>
      </c>
      <c r="H440" s="3">
        <f t="shared" si="30"/>
        <v>7</v>
      </c>
      <c r="I440" s="69"/>
      <c r="J440" s="3" t="s">
        <v>632</v>
      </c>
      <c r="K440" s="3" t="s">
        <v>317</v>
      </c>
      <c r="L440" s="3">
        <v>40.9</v>
      </c>
      <c r="M440" s="3">
        <v>402</v>
      </c>
      <c r="N440" s="3" t="str">
        <f t="shared" si="31"/>
        <v>2007</v>
      </c>
      <c r="O440" s="2">
        <v>328</v>
      </c>
      <c r="Q440" s="2">
        <v>71.89</v>
      </c>
    </row>
    <row r="441" spans="1:20" x14ac:dyDescent="0.35">
      <c r="A441" s="3">
        <v>2024</v>
      </c>
      <c r="B441" s="3">
        <v>8</v>
      </c>
      <c r="C441" s="3">
        <v>8</v>
      </c>
      <c r="D441" s="2">
        <v>698</v>
      </c>
      <c r="E441" s="3">
        <v>3</v>
      </c>
      <c r="F441" s="3" t="s">
        <v>45</v>
      </c>
      <c r="G441" s="3" t="str">
        <f t="shared" si="32"/>
        <v>2009</v>
      </c>
      <c r="H441" s="3">
        <f t="shared" si="30"/>
        <v>15</v>
      </c>
      <c r="I441" s="69"/>
      <c r="J441" t="s">
        <v>742</v>
      </c>
      <c r="K441" t="s">
        <v>488</v>
      </c>
      <c r="L441">
        <v>54.5</v>
      </c>
      <c r="M441" s="3">
        <v>402</v>
      </c>
      <c r="N441" s="3" t="str">
        <f t="shared" si="31"/>
        <v>2007</v>
      </c>
      <c r="O441" s="2">
        <v>698</v>
      </c>
    </row>
    <row r="442" spans="1:20" x14ac:dyDescent="0.35">
      <c r="A442" s="3">
        <v>2023</v>
      </c>
      <c r="B442" s="3">
        <v>7</v>
      </c>
      <c r="C442" s="3">
        <v>17</v>
      </c>
      <c r="D442" s="2">
        <v>392</v>
      </c>
      <c r="E442" s="3">
        <v>3</v>
      </c>
      <c r="F442" s="3" t="s">
        <v>45</v>
      </c>
      <c r="G442" s="3" t="str">
        <f t="shared" si="32"/>
        <v>2011</v>
      </c>
      <c r="H442" s="3">
        <f t="shared" si="30"/>
        <v>12</v>
      </c>
      <c r="I442" s="69"/>
      <c r="J442" s="3" t="s">
        <v>632</v>
      </c>
      <c r="K442" s="3" t="s">
        <v>317</v>
      </c>
      <c r="L442" s="3">
        <v>44.5</v>
      </c>
      <c r="M442" s="3">
        <v>403</v>
      </c>
      <c r="N442" s="3" t="str">
        <f t="shared" si="31"/>
        <v>2007</v>
      </c>
      <c r="O442" s="2">
        <v>392</v>
      </c>
    </row>
    <row r="443" spans="1:20" x14ac:dyDescent="0.35">
      <c r="A443" s="3">
        <v>2024</v>
      </c>
      <c r="B443" s="3">
        <v>8</v>
      </c>
      <c r="C443" s="3">
        <v>15</v>
      </c>
      <c r="D443" s="2">
        <v>732</v>
      </c>
      <c r="E443" s="3">
        <v>3</v>
      </c>
      <c r="F443" s="3" t="s">
        <v>225</v>
      </c>
      <c r="G443" s="3" t="str">
        <f t="shared" si="32"/>
        <v>2021</v>
      </c>
      <c r="H443" s="3">
        <f t="shared" si="30"/>
        <v>3</v>
      </c>
      <c r="I443" s="69"/>
      <c r="J443">
        <v>3</v>
      </c>
      <c r="K443">
        <v>3</v>
      </c>
      <c r="L443">
        <v>67.900000000000006</v>
      </c>
      <c r="M443" s="3">
        <v>403</v>
      </c>
      <c r="N443" s="3" t="str">
        <f t="shared" si="31"/>
        <v>2021</v>
      </c>
      <c r="O443" s="2">
        <v>732</v>
      </c>
    </row>
    <row r="444" spans="1:20" x14ac:dyDescent="0.35">
      <c r="A444" s="3">
        <v>2023</v>
      </c>
      <c r="B444" s="3">
        <v>7</v>
      </c>
      <c r="C444" s="3">
        <v>17</v>
      </c>
      <c r="D444" s="2">
        <v>390</v>
      </c>
      <c r="E444" s="3">
        <v>3</v>
      </c>
      <c r="F444" s="3" t="s">
        <v>45</v>
      </c>
      <c r="G444" s="3" t="str">
        <f t="shared" si="32"/>
        <v>2011</v>
      </c>
      <c r="H444" s="3">
        <f t="shared" si="30"/>
        <v>12</v>
      </c>
      <c r="I444" s="69"/>
      <c r="J444" s="3" t="s">
        <v>632</v>
      </c>
      <c r="K444" s="3" t="s">
        <v>317</v>
      </c>
      <c r="L444" s="3">
        <v>46.7</v>
      </c>
      <c r="M444" s="3">
        <v>404</v>
      </c>
      <c r="N444" s="3" t="str">
        <f t="shared" si="31"/>
        <v>2007</v>
      </c>
      <c r="O444" s="2">
        <v>390</v>
      </c>
    </row>
    <row r="445" spans="1:20" x14ac:dyDescent="0.35">
      <c r="A445" s="3">
        <v>2023</v>
      </c>
      <c r="B445" s="3">
        <v>10</v>
      </c>
      <c r="C445" s="3">
        <v>31</v>
      </c>
      <c r="D445" s="2">
        <v>543</v>
      </c>
      <c r="E445" s="3">
        <v>4</v>
      </c>
      <c r="F445" s="3" t="s">
        <v>225</v>
      </c>
      <c r="G445" s="3" t="str">
        <f t="shared" si="32"/>
        <v>2022</v>
      </c>
      <c r="H445" s="3">
        <f t="shared" si="30"/>
        <v>1</v>
      </c>
      <c r="I445" s="69"/>
      <c r="J445" t="s">
        <v>67</v>
      </c>
      <c r="K445" s="3">
        <v>2</v>
      </c>
      <c r="L445" s="3">
        <v>73.400000000000006</v>
      </c>
      <c r="M445" s="3">
        <v>404</v>
      </c>
      <c r="N445" s="3" t="str">
        <f t="shared" si="31"/>
        <v>2021</v>
      </c>
      <c r="O445" s="2">
        <v>543</v>
      </c>
    </row>
    <row r="446" spans="1:20" x14ac:dyDescent="0.35">
      <c r="A446" s="3">
        <v>2024</v>
      </c>
      <c r="B446" s="3">
        <v>8</v>
      </c>
      <c r="C446" s="3">
        <v>14</v>
      </c>
      <c r="D446" s="2">
        <v>775</v>
      </c>
      <c r="E446" s="3">
        <v>3</v>
      </c>
      <c r="F446" s="3" t="s">
        <v>225</v>
      </c>
      <c r="G446" s="3" t="str">
        <f t="shared" si="32"/>
        <v>2021</v>
      </c>
      <c r="H446" s="3">
        <f t="shared" si="30"/>
        <v>3</v>
      </c>
      <c r="I446" s="69"/>
      <c r="J446" t="s">
        <v>227</v>
      </c>
      <c r="K446">
        <v>4</v>
      </c>
      <c r="L446">
        <v>53.7</v>
      </c>
      <c r="M446" s="3">
        <v>404</v>
      </c>
      <c r="N446" s="3" t="str">
        <f t="shared" si="31"/>
        <v>2021</v>
      </c>
      <c r="O446" s="2">
        <v>775</v>
      </c>
    </row>
    <row r="447" spans="1:20" x14ac:dyDescent="0.35">
      <c r="A447" s="3">
        <v>2022</v>
      </c>
      <c r="B447" s="3">
        <v>11</v>
      </c>
      <c r="C447" s="3">
        <v>4</v>
      </c>
      <c r="D447" s="2">
        <v>106</v>
      </c>
      <c r="E447" s="15">
        <v>4</v>
      </c>
      <c r="F447" s="3" t="s">
        <v>45</v>
      </c>
      <c r="G447" s="3" t="str">
        <f t="shared" si="32"/>
        <v>2011</v>
      </c>
      <c r="H447" s="3">
        <f t="shared" si="30"/>
        <v>11</v>
      </c>
      <c r="I447" s="69"/>
      <c r="J447" s="3" t="s">
        <v>317</v>
      </c>
      <c r="K447" s="3" t="s">
        <v>317</v>
      </c>
      <c r="L447" s="3">
        <v>55.2</v>
      </c>
      <c r="M447" s="3">
        <v>405</v>
      </c>
      <c r="N447" s="3" t="str">
        <f t="shared" si="31"/>
        <v>2007</v>
      </c>
      <c r="O447" s="2">
        <v>106</v>
      </c>
    </row>
    <row r="448" spans="1:20" x14ac:dyDescent="0.35">
      <c r="A448" s="3">
        <v>2019</v>
      </c>
      <c r="B448" s="3">
        <v>8</v>
      </c>
      <c r="C448" s="3">
        <v>9</v>
      </c>
      <c r="D448" s="2">
        <v>322</v>
      </c>
      <c r="E448" s="3">
        <v>3</v>
      </c>
      <c r="F448" s="3" t="s">
        <v>45</v>
      </c>
      <c r="G448" s="3" t="str">
        <f t="shared" si="32"/>
        <v>2011</v>
      </c>
      <c r="H448" s="3">
        <f t="shared" si="30"/>
        <v>8</v>
      </c>
      <c r="I448" s="69"/>
      <c r="J448" s="3" t="s">
        <v>46</v>
      </c>
      <c r="K448" s="3" t="s">
        <v>317</v>
      </c>
      <c r="L448" s="3">
        <v>43.6</v>
      </c>
      <c r="M448" s="3">
        <v>406</v>
      </c>
      <c r="N448" s="3" t="str">
        <f t="shared" si="31"/>
        <v>2007</v>
      </c>
      <c r="O448" s="2">
        <v>322</v>
      </c>
      <c r="T448">
        <v>7.08</v>
      </c>
    </row>
    <row r="449" spans="1:18" x14ac:dyDescent="0.35">
      <c r="A449" s="3">
        <v>2023</v>
      </c>
      <c r="B449" s="3">
        <v>7</v>
      </c>
      <c r="C449" s="3">
        <v>21</v>
      </c>
      <c r="D449" s="2">
        <v>411</v>
      </c>
      <c r="E449" s="3">
        <v>3</v>
      </c>
      <c r="F449" s="3" t="s">
        <v>20</v>
      </c>
      <c r="G449" s="3" t="str">
        <f t="shared" si="32"/>
        <v>2020</v>
      </c>
      <c r="H449" s="3">
        <f t="shared" si="30"/>
        <v>3</v>
      </c>
      <c r="I449" s="69"/>
      <c r="J449" s="3" t="s">
        <v>55</v>
      </c>
      <c r="K449" s="3">
        <v>8</v>
      </c>
      <c r="L449" s="3">
        <v>72.5</v>
      </c>
      <c r="M449" s="3">
        <v>406</v>
      </c>
      <c r="N449" s="3" t="str">
        <f t="shared" si="31"/>
        <v>2018</v>
      </c>
      <c r="O449" s="2">
        <v>411</v>
      </c>
      <c r="P449">
        <v>8.14</v>
      </c>
    </row>
    <row r="450" spans="1:18" x14ac:dyDescent="0.35">
      <c r="A450" s="3">
        <v>2024</v>
      </c>
      <c r="B450" s="3">
        <v>1</v>
      </c>
      <c r="C450" s="3">
        <v>17</v>
      </c>
      <c r="D450" s="2">
        <v>561</v>
      </c>
      <c r="E450" s="3">
        <v>1</v>
      </c>
      <c r="F450" s="3" t="s">
        <v>41</v>
      </c>
      <c r="G450" s="3" t="str">
        <f t="shared" si="32"/>
        <v>2013</v>
      </c>
      <c r="H450" s="3">
        <f t="shared" ref="H450:H513" si="33">SUM(A450-G450)</f>
        <v>11</v>
      </c>
      <c r="I450" s="69"/>
      <c r="J450" t="s">
        <v>42</v>
      </c>
      <c r="K450" s="3" t="s">
        <v>318</v>
      </c>
      <c r="L450">
        <v>58.2</v>
      </c>
      <c r="M450" s="3">
        <v>406</v>
      </c>
      <c r="N450" s="3" t="str">
        <f t="shared" ref="N450:N513" si="34">IF(F450="PHD", "2007", IF(F450="TSL", "2011", IF(F450 = "SRS", "2018", IF(F450="WCA 3B", "2017", IF(F450="WCA 3A", "2021")))))</f>
        <v>2011</v>
      </c>
      <c r="O450" s="2">
        <v>561</v>
      </c>
    </row>
    <row r="451" spans="1:18" x14ac:dyDescent="0.35">
      <c r="A451" s="3">
        <v>2024</v>
      </c>
      <c r="B451" s="3">
        <v>8</v>
      </c>
      <c r="C451" s="3">
        <v>19</v>
      </c>
      <c r="D451" s="2">
        <v>786</v>
      </c>
      <c r="E451" s="3">
        <v>3</v>
      </c>
      <c r="F451" s="3" t="s">
        <v>225</v>
      </c>
      <c r="G451" s="3" t="str">
        <f t="shared" si="32"/>
        <v>2021</v>
      </c>
      <c r="H451" s="3">
        <f t="shared" si="33"/>
        <v>3</v>
      </c>
      <c r="I451" s="69"/>
      <c r="J451">
        <v>3</v>
      </c>
      <c r="K451">
        <v>3</v>
      </c>
      <c r="L451">
        <v>58</v>
      </c>
      <c r="M451" s="3">
        <v>406</v>
      </c>
      <c r="N451" s="3" t="str">
        <f t="shared" si="34"/>
        <v>2021</v>
      </c>
      <c r="O451" s="2">
        <v>786</v>
      </c>
    </row>
    <row r="452" spans="1:18" x14ac:dyDescent="0.35">
      <c r="A452" s="3">
        <v>2024</v>
      </c>
      <c r="B452" s="3">
        <v>2</v>
      </c>
      <c r="C452" s="3">
        <v>23</v>
      </c>
      <c r="D452" s="2">
        <v>638</v>
      </c>
      <c r="E452" s="3">
        <v>1</v>
      </c>
      <c r="F452" s="3" t="s">
        <v>225</v>
      </c>
      <c r="G452" s="3" t="str">
        <f t="shared" si="32"/>
        <v>2022</v>
      </c>
      <c r="H452" s="3">
        <f t="shared" si="33"/>
        <v>2</v>
      </c>
      <c r="I452" s="69"/>
      <c r="J452" t="s">
        <v>21</v>
      </c>
      <c r="K452" s="3">
        <v>2</v>
      </c>
      <c r="L452">
        <v>64</v>
      </c>
      <c r="M452" s="3">
        <v>407</v>
      </c>
      <c r="N452" s="3" t="str">
        <f t="shared" si="34"/>
        <v>2021</v>
      </c>
      <c r="O452" s="2">
        <v>638</v>
      </c>
      <c r="P452">
        <v>15.12</v>
      </c>
    </row>
    <row r="453" spans="1:18" x14ac:dyDescent="0.35">
      <c r="A453" s="3">
        <v>2019</v>
      </c>
      <c r="B453" s="3">
        <v>2</v>
      </c>
      <c r="C453" s="3">
        <v>21</v>
      </c>
      <c r="D453" s="2">
        <v>170</v>
      </c>
      <c r="E453" s="3">
        <v>1</v>
      </c>
      <c r="F453" s="3" t="s">
        <v>45</v>
      </c>
      <c r="G453" s="3" t="str">
        <f t="shared" si="32"/>
        <v>2011</v>
      </c>
      <c r="H453" s="3">
        <f t="shared" si="33"/>
        <v>8</v>
      </c>
      <c r="I453" s="69"/>
      <c r="J453" s="3" t="s">
        <v>615</v>
      </c>
      <c r="K453" s="3" t="s">
        <v>317</v>
      </c>
      <c r="L453" s="3">
        <v>70.599999999999994</v>
      </c>
      <c r="M453" s="3">
        <v>407</v>
      </c>
      <c r="N453" s="3" t="str">
        <f t="shared" si="34"/>
        <v>2007</v>
      </c>
      <c r="O453" s="2">
        <v>170</v>
      </c>
    </row>
    <row r="454" spans="1:18" x14ac:dyDescent="0.35">
      <c r="A454" s="3">
        <v>2024</v>
      </c>
      <c r="B454" s="3">
        <v>1</v>
      </c>
      <c r="C454" s="3">
        <v>19</v>
      </c>
      <c r="D454" s="2">
        <v>581</v>
      </c>
      <c r="E454" s="3">
        <v>1</v>
      </c>
      <c r="F454" s="3" t="s">
        <v>41</v>
      </c>
      <c r="G454" s="3" t="str">
        <f t="shared" si="32"/>
        <v>2013</v>
      </c>
      <c r="H454" s="3">
        <f t="shared" si="33"/>
        <v>11</v>
      </c>
      <c r="I454" s="69"/>
      <c r="J454" t="s">
        <v>42</v>
      </c>
      <c r="K454" s="3" t="s">
        <v>318</v>
      </c>
      <c r="L454">
        <v>56</v>
      </c>
      <c r="M454" s="3">
        <v>407</v>
      </c>
      <c r="N454" s="3" t="str">
        <f t="shared" si="34"/>
        <v>2011</v>
      </c>
      <c r="O454" s="2">
        <v>581</v>
      </c>
    </row>
    <row r="455" spans="1:18" x14ac:dyDescent="0.35">
      <c r="A455" s="3">
        <v>2024</v>
      </c>
      <c r="B455" s="3">
        <v>1</v>
      </c>
      <c r="C455" s="3">
        <v>19</v>
      </c>
      <c r="D455" s="2">
        <v>581</v>
      </c>
      <c r="E455" s="3">
        <v>1</v>
      </c>
      <c r="F455" s="3" t="s">
        <v>41</v>
      </c>
      <c r="G455" s="3" t="str">
        <f t="shared" ref="G455:G518" si="35">IF(K455="A55","2009",IF(K455="A59","2009",IF(K455="A60","2010",IF(K455="A62","2011",IF(K455="CP","2013",IF(K455="MD","2012",IF(K455="TS","2013",IF(K455="DL","2018",IF(K455="SCU","2018",IF(K455="NCU","2018",IF(K455="C1C","2018",IF(K455="C1E","2018",IF(K455="RS1S","2018",IF(K455="C2B","2018",IF(K455="DB3","2018",IF(AND(K455=6,F455="SRS"),"2018",IF(AND(K455=7,F455="SRS"),"2020",IF(AND(K455=8,F455="SRS"),"2020",IF(K455=23,"2019",IF(AND(K455=7,F455="WCA 3B"),"2017",IF(AND(K455=8,F455="WCA 3B"),"2019",IF(K455=1,"2021",IF(K455=2,"2022",IF(K455=3,"2021",IF(K455=4,"2021",IF(K455=5,"2022",IF(AND(K455=6,F455="WCA 3A"),"2022",IF(K455=9,"2023",IF(K455=10,"2023",IF(K455=37,"2020"))))))))))))))))))))))))))))))</f>
        <v>2013</v>
      </c>
      <c r="H455" s="3">
        <f t="shared" si="33"/>
        <v>11</v>
      </c>
      <c r="I455" s="69"/>
      <c r="J455" t="s">
        <v>42</v>
      </c>
      <c r="K455" s="3" t="s">
        <v>318</v>
      </c>
      <c r="L455">
        <v>56</v>
      </c>
      <c r="M455" s="3">
        <v>407</v>
      </c>
      <c r="N455" s="3" t="str">
        <f t="shared" si="34"/>
        <v>2011</v>
      </c>
      <c r="O455" s="2">
        <v>581</v>
      </c>
    </row>
    <row r="456" spans="1:18" x14ac:dyDescent="0.35">
      <c r="A456" s="3">
        <v>2024</v>
      </c>
      <c r="B456" s="3">
        <v>4</v>
      </c>
      <c r="C456" s="3">
        <v>8</v>
      </c>
      <c r="D456" s="2">
        <v>651</v>
      </c>
      <c r="E456" s="3">
        <v>2</v>
      </c>
      <c r="F456" s="3" t="s">
        <v>225</v>
      </c>
      <c r="G456" s="3" t="str">
        <f t="shared" si="35"/>
        <v>2022</v>
      </c>
      <c r="H456" s="3">
        <f t="shared" si="33"/>
        <v>2</v>
      </c>
      <c r="I456" s="69"/>
      <c r="J456" t="s">
        <v>67</v>
      </c>
      <c r="K456" s="3">
        <v>2</v>
      </c>
      <c r="L456">
        <v>71.400000000000006</v>
      </c>
      <c r="M456" s="3">
        <v>409</v>
      </c>
      <c r="N456" s="3" t="str">
        <f t="shared" si="34"/>
        <v>2021</v>
      </c>
      <c r="O456" s="2">
        <v>651</v>
      </c>
      <c r="P456">
        <v>23.02</v>
      </c>
    </row>
    <row r="457" spans="1:18" x14ac:dyDescent="0.35">
      <c r="A457" s="3">
        <v>2024</v>
      </c>
      <c r="B457" s="3">
        <v>8</v>
      </c>
      <c r="C457" s="3">
        <v>15</v>
      </c>
      <c r="D457" s="2">
        <v>771</v>
      </c>
      <c r="E457" s="3">
        <v>3</v>
      </c>
      <c r="F457" s="3" t="s">
        <v>225</v>
      </c>
      <c r="G457" s="3" t="str">
        <f t="shared" si="35"/>
        <v>2021</v>
      </c>
      <c r="H457" s="3">
        <f t="shared" si="33"/>
        <v>3</v>
      </c>
      <c r="I457" s="69"/>
      <c r="J457">
        <v>3</v>
      </c>
      <c r="K457">
        <v>3</v>
      </c>
      <c r="L457">
        <v>72.8</v>
      </c>
      <c r="M457" s="3">
        <v>409</v>
      </c>
      <c r="N457" s="3" t="str">
        <f t="shared" si="34"/>
        <v>2021</v>
      </c>
      <c r="O457" s="2">
        <v>771</v>
      </c>
    </row>
    <row r="458" spans="1:18" x14ac:dyDescent="0.35">
      <c r="A458" s="3">
        <v>2009</v>
      </c>
      <c r="B458" s="3">
        <v>9</v>
      </c>
      <c r="C458" s="3">
        <v>4</v>
      </c>
      <c r="D458" s="2">
        <v>620</v>
      </c>
      <c r="E458" s="3">
        <v>3</v>
      </c>
      <c r="F458" s="3" t="s">
        <v>45</v>
      </c>
      <c r="G458" s="3" t="str">
        <f t="shared" si="35"/>
        <v>2009</v>
      </c>
      <c r="H458" s="3">
        <f t="shared" si="33"/>
        <v>0</v>
      </c>
      <c r="I458" s="69"/>
      <c r="J458" t="s">
        <v>662</v>
      </c>
      <c r="K458" s="3" t="s">
        <v>488</v>
      </c>
      <c r="L458">
        <v>73.900000000000006</v>
      </c>
      <c r="M458" s="3">
        <v>410</v>
      </c>
      <c r="N458" s="3" t="str">
        <f t="shared" si="34"/>
        <v>2007</v>
      </c>
      <c r="O458" s="2">
        <v>620</v>
      </c>
    </row>
    <row r="459" spans="1:18" x14ac:dyDescent="0.35">
      <c r="A459" s="3">
        <v>2023</v>
      </c>
      <c r="B459" s="3">
        <v>7</v>
      </c>
      <c r="C459" s="3">
        <v>31</v>
      </c>
      <c r="D459" s="2">
        <v>455</v>
      </c>
      <c r="E459" s="3">
        <v>3</v>
      </c>
      <c r="F459" s="3" t="s">
        <v>225</v>
      </c>
      <c r="G459" s="3" t="str">
        <f t="shared" si="35"/>
        <v>2022</v>
      </c>
      <c r="H459" s="3">
        <f t="shared" si="33"/>
        <v>1</v>
      </c>
      <c r="I459" s="69"/>
      <c r="J459" s="3" t="s">
        <v>67</v>
      </c>
      <c r="K459" s="3">
        <v>2</v>
      </c>
      <c r="L459" s="3">
        <v>70.7</v>
      </c>
      <c r="M459" s="3">
        <v>411</v>
      </c>
      <c r="N459" s="3" t="str">
        <f t="shared" si="34"/>
        <v>2021</v>
      </c>
      <c r="O459" s="2">
        <v>455</v>
      </c>
      <c r="R459">
        <v>8.67</v>
      </c>
    </row>
    <row r="460" spans="1:18" x14ac:dyDescent="0.35">
      <c r="A460" s="3">
        <v>2019</v>
      </c>
      <c r="B460" s="3">
        <v>11</v>
      </c>
      <c r="C460" s="3">
        <v>27</v>
      </c>
      <c r="D460" s="2">
        <v>49</v>
      </c>
      <c r="E460" s="3">
        <v>4</v>
      </c>
      <c r="F460" s="3" t="s">
        <v>45</v>
      </c>
      <c r="G460" s="3" t="str">
        <f t="shared" si="35"/>
        <v>2009</v>
      </c>
      <c r="H460" s="3">
        <f t="shared" si="33"/>
        <v>10</v>
      </c>
      <c r="I460" s="69"/>
      <c r="J460" s="3" t="s">
        <v>488</v>
      </c>
      <c r="K460" s="3" t="s">
        <v>488</v>
      </c>
      <c r="L460" s="3">
        <v>60.7</v>
      </c>
      <c r="M460" s="3">
        <v>411</v>
      </c>
      <c r="N460" s="3" t="str">
        <f t="shared" si="34"/>
        <v>2007</v>
      </c>
      <c r="O460" s="2">
        <v>49</v>
      </c>
    </row>
    <row r="461" spans="1:18" x14ac:dyDescent="0.35">
      <c r="A461" s="3">
        <v>2024</v>
      </c>
      <c r="B461" s="3">
        <v>8</v>
      </c>
      <c r="C461" s="3">
        <v>19</v>
      </c>
      <c r="D461" s="2">
        <v>791</v>
      </c>
      <c r="E461" s="3">
        <v>3</v>
      </c>
      <c r="F461" s="3" t="s">
        <v>225</v>
      </c>
      <c r="G461" s="3" t="str">
        <f t="shared" si="35"/>
        <v>2021</v>
      </c>
      <c r="H461" s="3">
        <f t="shared" si="33"/>
        <v>3</v>
      </c>
      <c r="I461" s="69"/>
      <c r="J461">
        <v>3</v>
      </c>
      <c r="K461">
        <v>3</v>
      </c>
      <c r="L461">
        <v>79</v>
      </c>
      <c r="M461" s="3">
        <v>411</v>
      </c>
      <c r="N461" s="3" t="str">
        <f t="shared" si="34"/>
        <v>2021</v>
      </c>
      <c r="O461" s="2">
        <v>791</v>
      </c>
    </row>
    <row r="462" spans="1:18" x14ac:dyDescent="0.35">
      <c r="A462" s="3">
        <v>2018</v>
      </c>
      <c r="B462" s="3">
        <v>8</v>
      </c>
      <c r="C462" s="3">
        <v>15</v>
      </c>
      <c r="D462" s="2">
        <v>306</v>
      </c>
      <c r="E462" s="3">
        <v>3</v>
      </c>
      <c r="F462" s="3" t="s">
        <v>41</v>
      </c>
      <c r="G462" s="3" t="str">
        <f t="shared" si="35"/>
        <v>2013</v>
      </c>
      <c r="H462" s="3">
        <f t="shared" si="33"/>
        <v>5</v>
      </c>
      <c r="I462" s="69"/>
      <c r="J462" s="3" t="s">
        <v>49</v>
      </c>
      <c r="K462" s="3" t="s">
        <v>318</v>
      </c>
      <c r="L462" s="3">
        <v>64.599999999999994</v>
      </c>
      <c r="M462" s="3">
        <v>412</v>
      </c>
      <c r="N462" s="3" t="str">
        <f t="shared" si="34"/>
        <v>2011</v>
      </c>
      <c r="O462" s="2">
        <v>306</v>
      </c>
    </row>
    <row r="463" spans="1:18" x14ac:dyDescent="0.35">
      <c r="A463" s="3">
        <v>2023</v>
      </c>
      <c r="B463" s="3">
        <v>8</v>
      </c>
      <c r="C463" s="3">
        <v>2</v>
      </c>
      <c r="D463" s="2">
        <v>434</v>
      </c>
      <c r="E463" s="3">
        <v>3</v>
      </c>
      <c r="F463" s="3" t="s">
        <v>225</v>
      </c>
      <c r="G463" s="3" t="str">
        <f t="shared" si="35"/>
        <v>2022</v>
      </c>
      <c r="H463" s="3">
        <f t="shared" si="33"/>
        <v>1</v>
      </c>
      <c r="I463" s="69"/>
      <c r="J463" s="3" t="s">
        <v>67</v>
      </c>
      <c r="K463" s="3">
        <v>2</v>
      </c>
      <c r="L463" s="3">
        <v>60.2</v>
      </c>
      <c r="M463" s="3">
        <v>412</v>
      </c>
      <c r="N463" s="3" t="str">
        <f t="shared" si="34"/>
        <v>2021</v>
      </c>
      <c r="O463" s="2">
        <v>434</v>
      </c>
    </row>
    <row r="464" spans="1:18" x14ac:dyDescent="0.35">
      <c r="A464" s="3">
        <v>2024</v>
      </c>
      <c r="B464" s="3">
        <v>1</v>
      </c>
      <c r="C464" s="3">
        <v>17</v>
      </c>
      <c r="D464" s="2">
        <v>564</v>
      </c>
      <c r="E464" s="3">
        <v>1</v>
      </c>
      <c r="F464" s="3" t="s">
        <v>41</v>
      </c>
      <c r="G464" s="3" t="str">
        <f t="shared" si="35"/>
        <v>2013</v>
      </c>
      <c r="H464" s="3">
        <f t="shared" si="33"/>
        <v>11</v>
      </c>
      <c r="I464" s="69"/>
      <c r="J464" t="s">
        <v>42</v>
      </c>
      <c r="K464" s="3" t="s">
        <v>318</v>
      </c>
      <c r="L464">
        <v>62</v>
      </c>
      <c r="M464" s="3">
        <v>412</v>
      </c>
      <c r="N464" s="3" t="str">
        <f t="shared" si="34"/>
        <v>2011</v>
      </c>
      <c r="O464" s="2">
        <v>564</v>
      </c>
    </row>
    <row r="465" spans="1:15" x14ac:dyDescent="0.35">
      <c r="A465" s="3">
        <v>2024</v>
      </c>
      <c r="B465" s="3">
        <v>8</v>
      </c>
      <c r="C465" s="3">
        <v>19</v>
      </c>
      <c r="D465" s="2">
        <v>788</v>
      </c>
      <c r="E465" s="3">
        <v>3</v>
      </c>
      <c r="F465" s="3" t="s">
        <v>225</v>
      </c>
      <c r="G465" s="3" t="str">
        <f t="shared" si="35"/>
        <v>2021</v>
      </c>
      <c r="H465" s="3">
        <f t="shared" si="33"/>
        <v>3</v>
      </c>
      <c r="I465" s="69"/>
      <c r="J465">
        <v>3</v>
      </c>
      <c r="K465">
        <v>3</v>
      </c>
      <c r="L465">
        <v>77.7</v>
      </c>
      <c r="M465" s="3">
        <v>412</v>
      </c>
      <c r="N465" s="3" t="str">
        <f t="shared" si="34"/>
        <v>2021</v>
      </c>
      <c r="O465" s="2">
        <v>788</v>
      </c>
    </row>
    <row r="466" spans="1:15" x14ac:dyDescent="0.35">
      <c r="A466" s="3">
        <v>2024</v>
      </c>
      <c r="B466" s="3">
        <v>8</v>
      </c>
      <c r="C466" s="3">
        <v>7</v>
      </c>
      <c r="D466" s="2">
        <v>807</v>
      </c>
      <c r="E466" s="3">
        <v>3</v>
      </c>
      <c r="F466" s="3" t="s">
        <v>20</v>
      </c>
      <c r="G466" s="3" t="str">
        <f t="shared" si="35"/>
        <v>2018</v>
      </c>
      <c r="H466" s="3">
        <f t="shared" si="33"/>
        <v>6</v>
      </c>
      <c r="I466" s="69"/>
      <c r="J466" t="s">
        <v>234</v>
      </c>
      <c r="K466">
        <v>6</v>
      </c>
      <c r="L466">
        <v>6.66</v>
      </c>
      <c r="M466" s="3">
        <v>412</v>
      </c>
      <c r="N466" s="3" t="str">
        <f t="shared" si="34"/>
        <v>2018</v>
      </c>
      <c r="O466" s="2">
        <v>807</v>
      </c>
    </row>
    <row r="467" spans="1:15" x14ac:dyDescent="0.35">
      <c r="A467" s="3">
        <v>2024</v>
      </c>
      <c r="B467" s="3">
        <v>8</v>
      </c>
      <c r="C467" s="3">
        <v>9</v>
      </c>
      <c r="D467" s="2">
        <v>715</v>
      </c>
      <c r="E467" s="3">
        <v>3</v>
      </c>
      <c r="F467" s="3" t="s">
        <v>41</v>
      </c>
      <c r="G467" s="3" t="str">
        <f t="shared" si="35"/>
        <v>2013</v>
      </c>
      <c r="H467" s="3">
        <f t="shared" si="33"/>
        <v>11</v>
      </c>
      <c r="I467" s="69"/>
      <c r="J467" t="s">
        <v>42</v>
      </c>
      <c r="K467" t="s">
        <v>318</v>
      </c>
      <c r="L467">
        <v>67.099999999999994</v>
      </c>
      <c r="M467" s="3">
        <v>413</v>
      </c>
      <c r="N467" s="3" t="str">
        <f t="shared" si="34"/>
        <v>2011</v>
      </c>
      <c r="O467" s="2">
        <v>715</v>
      </c>
    </row>
    <row r="468" spans="1:15" x14ac:dyDescent="0.35">
      <c r="A468" s="3">
        <v>2024</v>
      </c>
      <c r="B468" s="3">
        <v>8</v>
      </c>
      <c r="C468" s="3">
        <v>19</v>
      </c>
      <c r="D468" s="2">
        <v>753</v>
      </c>
      <c r="E468" s="3">
        <v>3</v>
      </c>
      <c r="F468" s="3" t="s">
        <v>225</v>
      </c>
      <c r="G468" s="3" t="str">
        <f t="shared" si="35"/>
        <v>2021</v>
      </c>
      <c r="H468" s="3">
        <f t="shared" si="33"/>
        <v>3</v>
      </c>
      <c r="I468" s="69"/>
      <c r="J468">
        <v>3</v>
      </c>
      <c r="K468">
        <v>3</v>
      </c>
      <c r="L468">
        <v>66.8</v>
      </c>
      <c r="M468" s="3">
        <v>413</v>
      </c>
      <c r="N468" s="3" t="str">
        <f t="shared" si="34"/>
        <v>2021</v>
      </c>
      <c r="O468" s="2">
        <v>753</v>
      </c>
    </row>
    <row r="469" spans="1:15" x14ac:dyDescent="0.35">
      <c r="A469" s="3">
        <v>2024</v>
      </c>
      <c r="B469" s="3">
        <v>8</v>
      </c>
      <c r="C469" s="3">
        <v>19</v>
      </c>
      <c r="D469" s="2">
        <v>778</v>
      </c>
      <c r="E469" s="3">
        <v>3</v>
      </c>
      <c r="F469" s="3" t="s">
        <v>225</v>
      </c>
      <c r="G469" s="3" t="str">
        <f t="shared" si="35"/>
        <v>2021</v>
      </c>
      <c r="H469" s="3">
        <f t="shared" si="33"/>
        <v>3</v>
      </c>
      <c r="I469" s="69"/>
      <c r="J469">
        <v>3</v>
      </c>
      <c r="K469">
        <v>3</v>
      </c>
      <c r="L469">
        <v>71</v>
      </c>
      <c r="M469" s="3">
        <v>413</v>
      </c>
      <c r="N469" s="3" t="str">
        <f t="shared" si="34"/>
        <v>2021</v>
      </c>
      <c r="O469" s="2">
        <v>778</v>
      </c>
    </row>
    <row r="470" spans="1:15" x14ac:dyDescent="0.35">
      <c r="A470" s="3">
        <v>2024</v>
      </c>
      <c r="B470" s="3">
        <v>8</v>
      </c>
      <c r="C470" s="3">
        <v>19</v>
      </c>
      <c r="D470" s="2">
        <v>754</v>
      </c>
      <c r="E470" s="3">
        <v>3</v>
      </c>
      <c r="F470" s="3" t="s">
        <v>225</v>
      </c>
      <c r="G470" s="3" t="str">
        <f t="shared" si="35"/>
        <v>2021</v>
      </c>
      <c r="H470" s="3">
        <f t="shared" si="33"/>
        <v>3</v>
      </c>
      <c r="I470" s="69"/>
      <c r="J470">
        <v>3</v>
      </c>
      <c r="K470">
        <v>3</v>
      </c>
      <c r="L470">
        <v>85.2</v>
      </c>
      <c r="M470" s="3">
        <v>414</v>
      </c>
      <c r="N470" s="3" t="str">
        <f t="shared" si="34"/>
        <v>2021</v>
      </c>
      <c r="O470" s="2">
        <v>754</v>
      </c>
    </row>
    <row r="471" spans="1:15" x14ac:dyDescent="0.35">
      <c r="A471" s="3">
        <v>2017</v>
      </c>
      <c r="B471" s="3">
        <v>11</v>
      </c>
      <c r="C471" s="3">
        <v>13</v>
      </c>
      <c r="D471" s="2">
        <v>65</v>
      </c>
      <c r="E471" s="3">
        <v>4</v>
      </c>
      <c r="F471" s="3" t="s">
        <v>41</v>
      </c>
      <c r="G471" s="3" t="str">
        <f t="shared" si="35"/>
        <v>2013</v>
      </c>
      <c r="H471" s="3">
        <f t="shared" si="33"/>
        <v>4</v>
      </c>
      <c r="I471" s="69"/>
      <c r="J471" s="3" t="s">
        <v>509</v>
      </c>
      <c r="K471" s="3" t="s">
        <v>458</v>
      </c>
      <c r="L471" s="3">
        <v>55.4</v>
      </c>
      <c r="M471" s="3">
        <v>415</v>
      </c>
      <c r="N471" s="3" t="str">
        <f t="shared" si="34"/>
        <v>2011</v>
      </c>
      <c r="O471" s="2">
        <v>65</v>
      </c>
    </row>
    <row r="472" spans="1:15" x14ac:dyDescent="0.35">
      <c r="A472" s="3">
        <v>2017</v>
      </c>
      <c r="B472" s="3">
        <v>11</v>
      </c>
      <c r="C472" s="3">
        <v>13</v>
      </c>
      <c r="D472" s="2">
        <v>65</v>
      </c>
      <c r="E472" s="3">
        <v>4</v>
      </c>
      <c r="F472" s="3" t="s">
        <v>41</v>
      </c>
      <c r="G472" s="3" t="str">
        <f t="shared" si="35"/>
        <v>2013</v>
      </c>
      <c r="H472" s="3">
        <f t="shared" si="33"/>
        <v>4</v>
      </c>
      <c r="I472" s="69"/>
      <c r="J472" s="3" t="s">
        <v>509</v>
      </c>
      <c r="K472" s="3" t="s">
        <v>458</v>
      </c>
      <c r="L472" s="3">
        <v>55.4</v>
      </c>
      <c r="M472" s="3">
        <v>415</v>
      </c>
      <c r="N472" s="3" t="str">
        <f t="shared" si="34"/>
        <v>2011</v>
      </c>
      <c r="O472" s="2">
        <v>65</v>
      </c>
    </row>
    <row r="473" spans="1:15" x14ac:dyDescent="0.35">
      <c r="A473" s="3">
        <v>2016</v>
      </c>
      <c r="B473" s="3">
        <v>9</v>
      </c>
      <c r="C473" s="3">
        <v>2</v>
      </c>
      <c r="D473" s="2">
        <v>293</v>
      </c>
      <c r="E473" s="3">
        <v>3</v>
      </c>
      <c r="F473" s="3" t="s">
        <v>41</v>
      </c>
      <c r="G473" s="3" t="str">
        <f t="shared" si="35"/>
        <v>2013</v>
      </c>
      <c r="H473" s="3">
        <f t="shared" si="33"/>
        <v>3</v>
      </c>
      <c r="I473" s="69"/>
      <c r="J473" s="3" t="s">
        <v>42</v>
      </c>
      <c r="K473" s="3" t="s">
        <v>318</v>
      </c>
      <c r="L473" s="3">
        <v>77.2</v>
      </c>
      <c r="M473" s="3">
        <v>415</v>
      </c>
      <c r="N473" s="3" t="str">
        <f t="shared" si="34"/>
        <v>2011</v>
      </c>
      <c r="O473" s="2">
        <v>293</v>
      </c>
    </row>
    <row r="474" spans="1:15" x14ac:dyDescent="0.35">
      <c r="A474" s="3">
        <v>2021</v>
      </c>
      <c r="B474" s="3">
        <v>4</v>
      </c>
      <c r="C474" s="3">
        <v>13</v>
      </c>
      <c r="D474" s="2">
        <v>489</v>
      </c>
      <c r="E474" s="3">
        <v>2</v>
      </c>
      <c r="F474" s="3" t="s">
        <v>226</v>
      </c>
      <c r="G474" s="3" t="str">
        <f t="shared" si="35"/>
        <v>2018</v>
      </c>
      <c r="H474" s="3">
        <f t="shared" si="33"/>
        <v>3</v>
      </c>
      <c r="I474" s="69"/>
      <c r="J474" s="3" t="s">
        <v>51</v>
      </c>
      <c r="K474" s="3" t="s">
        <v>936</v>
      </c>
      <c r="L474" s="16">
        <v>70</v>
      </c>
      <c r="M474" s="3">
        <v>415</v>
      </c>
      <c r="N474" s="3" t="str">
        <f t="shared" si="34"/>
        <v>2017</v>
      </c>
      <c r="O474" s="2">
        <v>489</v>
      </c>
    </row>
    <row r="475" spans="1:15" x14ac:dyDescent="0.35">
      <c r="A475" s="3">
        <v>2024</v>
      </c>
      <c r="B475" s="3">
        <v>3</v>
      </c>
      <c r="C475" s="3">
        <v>13</v>
      </c>
      <c r="D475" s="2">
        <v>692</v>
      </c>
      <c r="E475" s="3">
        <v>2</v>
      </c>
      <c r="F475" s="3" t="s">
        <v>226</v>
      </c>
      <c r="G475" s="3" t="str">
        <f t="shared" si="35"/>
        <v>2017</v>
      </c>
      <c r="H475" s="3">
        <f t="shared" si="33"/>
        <v>7</v>
      </c>
      <c r="I475" s="69"/>
      <c r="J475" t="s">
        <v>228</v>
      </c>
      <c r="K475">
        <v>7</v>
      </c>
      <c r="L475">
        <v>71.5</v>
      </c>
      <c r="M475" s="3">
        <v>415</v>
      </c>
      <c r="N475" s="3" t="str">
        <f t="shared" si="34"/>
        <v>2017</v>
      </c>
      <c r="O475" s="2">
        <v>692</v>
      </c>
    </row>
    <row r="476" spans="1:15" x14ac:dyDescent="0.35">
      <c r="A476" s="3">
        <v>2024</v>
      </c>
      <c r="B476" s="2">
        <v>8</v>
      </c>
      <c r="C476" s="3">
        <v>15</v>
      </c>
      <c r="D476" s="2">
        <v>773</v>
      </c>
      <c r="E476" s="3">
        <v>3</v>
      </c>
      <c r="F476" s="3" t="s">
        <v>225</v>
      </c>
      <c r="G476" s="3" t="str">
        <f t="shared" si="35"/>
        <v>2021</v>
      </c>
      <c r="H476" s="3">
        <f t="shared" si="33"/>
        <v>3</v>
      </c>
      <c r="I476" s="69"/>
      <c r="J476">
        <v>3</v>
      </c>
      <c r="K476">
        <v>3</v>
      </c>
      <c r="L476">
        <v>70.400000000000006</v>
      </c>
      <c r="M476" s="3">
        <v>415</v>
      </c>
      <c r="N476" s="3" t="str">
        <f t="shared" si="34"/>
        <v>2021</v>
      </c>
      <c r="O476" s="2">
        <v>773</v>
      </c>
    </row>
    <row r="477" spans="1:15" x14ac:dyDescent="0.35">
      <c r="A477" s="3">
        <v>2024</v>
      </c>
      <c r="B477" s="3">
        <v>8</v>
      </c>
      <c r="C477" s="3">
        <v>19</v>
      </c>
      <c r="D477" s="2">
        <v>744</v>
      </c>
      <c r="E477" s="3">
        <v>3</v>
      </c>
      <c r="F477" s="3" t="s">
        <v>225</v>
      </c>
      <c r="G477" s="3" t="str">
        <f t="shared" si="35"/>
        <v>2021</v>
      </c>
      <c r="H477" s="3">
        <f t="shared" si="33"/>
        <v>3</v>
      </c>
      <c r="I477" s="69"/>
      <c r="J477">
        <v>3</v>
      </c>
      <c r="K477">
        <v>3</v>
      </c>
      <c r="L477">
        <v>73.8</v>
      </c>
      <c r="M477" s="3">
        <v>416</v>
      </c>
      <c r="N477" s="3" t="str">
        <f t="shared" si="34"/>
        <v>2021</v>
      </c>
      <c r="O477" s="2">
        <v>744</v>
      </c>
    </row>
    <row r="478" spans="1:15" x14ac:dyDescent="0.35">
      <c r="A478" s="3">
        <v>2024</v>
      </c>
      <c r="B478" s="3">
        <v>8</v>
      </c>
      <c r="C478" s="3">
        <v>19</v>
      </c>
      <c r="D478" s="2">
        <v>782</v>
      </c>
      <c r="E478" s="3">
        <v>3</v>
      </c>
      <c r="F478" s="3" t="s">
        <v>225</v>
      </c>
      <c r="G478" s="3" t="str">
        <f t="shared" si="35"/>
        <v>2021</v>
      </c>
      <c r="H478" s="3">
        <f t="shared" si="33"/>
        <v>3</v>
      </c>
      <c r="I478" s="69"/>
      <c r="J478">
        <v>3</v>
      </c>
      <c r="K478">
        <v>3</v>
      </c>
      <c r="L478">
        <v>70.7</v>
      </c>
      <c r="M478" s="3">
        <v>416</v>
      </c>
      <c r="N478" s="3" t="str">
        <f t="shared" si="34"/>
        <v>2021</v>
      </c>
      <c r="O478" s="2">
        <v>782</v>
      </c>
    </row>
    <row r="479" spans="1:15" x14ac:dyDescent="0.35">
      <c r="A479" s="3">
        <v>2022</v>
      </c>
      <c r="B479" s="3">
        <v>11</v>
      </c>
      <c r="C479" s="3">
        <v>16</v>
      </c>
      <c r="D479" s="2">
        <v>112</v>
      </c>
      <c r="E479" s="15">
        <v>4</v>
      </c>
      <c r="F479" s="3" t="s">
        <v>225</v>
      </c>
      <c r="G479" s="3" t="str">
        <f t="shared" si="35"/>
        <v>2022</v>
      </c>
      <c r="H479" s="3">
        <f t="shared" si="33"/>
        <v>0</v>
      </c>
      <c r="I479" s="69"/>
      <c r="J479" s="3">
        <v>2</v>
      </c>
      <c r="K479" s="3">
        <v>2</v>
      </c>
      <c r="L479" s="3">
        <v>79.900000000000006</v>
      </c>
      <c r="M479" s="3">
        <v>417</v>
      </c>
      <c r="N479" s="3" t="str">
        <f t="shared" si="34"/>
        <v>2021</v>
      </c>
      <c r="O479" s="2">
        <v>112</v>
      </c>
    </row>
    <row r="480" spans="1:15" x14ac:dyDescent="0.35">
      <c r="A480" s="3">
        <v>2024</v>
      </c>
      <c r="B480" s="3">
        <v>1</v>
      </c>
      <c r="C480" s="3">
        <v>18</v>
      </c>
      <c r="D480" s="2">
        <v>558</v>
      </c>
      <c r="E480" s="3">
        <v>1</v>
      </c>
      <c r="F480" s="3" t="s">
        <v>41</v>
      </c>
      <c r="G480" s="3" t="str">
        <f t="shared" si="35"/>
        <v>2013</v>
      </c>
      <c r="H480" s="3">
        <f t="shared" si="33"/>
        <v>11</v>
      </c>
      <c r="I480" s="69"/>
      <c r="J480" t="s">
        <v>583</v>
      </c>
      <c r="K480" s="3" t="s">
        <v>318</v>
      </c>
      <c r="L480">
        <v>64.400000000000006</v>
      </c>
      <c r="M480" s="3">
        <v>417</v>
      </c>
      <c r="N480" s="3" t="str">
        <f t="shared" si="34"/>
        <v>2011</v>
      </c>
      <c r="O480" s="2">
        <v>558</v>
      </c>
    </row>
    <row r="481" spans="1:22" x14ac:dyDescent="0.35">
      <c r="A481" s="3">
        <v>2023</v>
      </c>
      <c r="B481" s="3">
        <v>11</v>
      </c>
      <c r="C481" s="3">
        <v>3</v>
      </c>
      <c r="D481" s="2">
        <v>532</v>
      </c>
      <c r="E481" s="3">
        <v>4</v>
      </c>
      <c r="F481" s="3" t="s">
        <v>225</v>
      </c>
      <c r="G481" s="3" t="str">
        <f t="shared" si="35"/>
        <v>2022</v>
      </c>
      <c r="H481" s="3">
        <f t="shared" si="33"/>
        <v>1</v>
      </c>
      <c r="I481" s="69"/>
      <c r="J481" s="3">
        <v>2</v>
      </c>
      <c r="K481" s="3">
        <v>2</v>
      </c>
      <c r="L481" s="3">
        <v>75.5</v>
      </c>
      <c r="M481" s="3">
        <v>418</v>
      </c>
      <c r="N481" s="3" t="str">
        <f t="shared" si="34"/>
        <v>2021</v>
      </c>
      <c r="O481" s="2">
        <v>532</v>
      </c>
    </row>
    <row r="482" spans="1:22" x14ac:dyDescent="0.35">
      <c r="A482" s="3">
        <v>2024</v>
      </c>
      <c r="B482">
        <v>8</v>
      </c>
      <c r="C482" s="3">
        <v>19</v>
      </c>
      <c r="D482" s="2">
        <v>825</v>
      </c>
      <c r="E482" s="3">
        <v>3</v>
      </c>
      <c r="F482" s="3" t="s">
        <v>225</v>
      </c>
      <c r="G482" s="3" t="str">
        <f t="shared" si="35"/>
        <v>2021</v>
      </c>
      <c r="H482" s="3">
        <f t="shared" si="33"/>
        <v>3</v>
      </c>
      <c r="I482" s="69"/>
      <c r="J482">
        <v>3</v>
      </c>
      <c r="K482">
        <v>3</v>
      </c>
      <c r="L482">
        <v>8.31</v>
      </c>
      <c r="M482" s="3">
        <v>419</v>
      </c>
      <c r="N482" s="3" t="str">
        <f t="shared" si="34"/>
        <v>2021</v>
      </c>
      <c r="O482" s="2">
        <v>825</v>
      </c>
    </row>
    <row r="483" spans="1:22" x14ac:dyDescent="0.35">
      <c r="A483" s="3">
        <v>2021</v>
      </c>
      <c r="B483" s="3" t="s">
        <v>28</v>
      </c>
      <c r="C483" s="3" t="s">
        <v>28</v>
      </c>
      <c r="D483" s="2">
        <v>2</v>
      </c>
      <c r="E483" s="3" t="s">
        <v>28</v>
      </c>
      <c r="F483" s="3" t="s">
        <v>45</v>
      </c>
      <c r="G483" s="3" t="str">
        <f t="shared" si="35"/>
        <v>2011</v>
      </c>
      <c r="H483" s="3">
        <f t="shared" si="33"/>
        <v>10</v>
      </c>
      <c r="I483" s="69"/>
      <c r="J483" s="3" t="s">
        <v>317</v>
      </c>
      <c r="K483" s="3" t="s">
        <v>317</v>
      </c>
      <c r="L483" s="3">
        <v>65.2</v>
      </c>
      <c r="M483" s="3">
        <v>420</v>
      </c>
      <c r="N483" s="3" t="str">
        <f t="shared" si="34"/>
        <v>2007</v>
      </c>
      <c r="O483" s="2">
        <v>2</v>
      </c>
    </row>
    <row r="484" spans="1:22" x14ac:dyDescent="0.35">
      <c r="A484" s="3">
        <v>2019</v>
      </c>
      <c r="B484" s="3">
        <v>11</v>
      </c>
      <c r="C484" s="3">
        <v>27</v>
      </c>
      <c r="D484" s="2">
        <v>44</v>
      </c>
      <c r="E484" s="3">
        <v>4</v>
      </c>
      <c r="F484" s="3" t="s">
        <v>45</v>
      </c>
      <c r="G484" s="3" t="str">
        <f t="shared" si="35"/>
        <v>2011</v>
      </c>
      <c r="H484" s="3">
        <f t="shared" si="33"/>
        <v>8</v>
      </c>
      <c r="I484" s="69"/>
      <c r="J484" s="3" t="s">
        <v>317</v>
      </c>
      <c r="K484" s="3" t="s">
        <v>317</v>
      </c>
      <c r="L484" s="3">
        <v>65.099999999999994</v>
      </c>
      <c r="M484" s="3">
        <v>420</v>
      </c>
      <c r="N484" s="3" t="str">
        <f t="shared" si="34"/>
        <v>2007</v>
      </c>
      <c r="O484" s="2">
        <v>44</v>
      </c>
      <c r="V484">
        <v>67</v>
      </c>
    </row>
    <row r="485" spans="1:22" x14ac:dyDescent="0.35">
      <c r="A485" s="3">
        <v>2024</v>
      </c>
      <c r="B485" s="3">
        <v>8</v>
      </c>
      <c r="C485" s="3">
        <v>19</v>
      </c>
      <c r="D485" s="2">
        <v>748</v>
      </c>
      <c r="E485" s="3">
        <v>3</v>
      </c>
      <c r="F485" s="3" t="s">
        <v>225</v>
      </c>
      <c r="G485" s="3" t="str">
        <f t="shared" si="35"/>
        <v>2021</v>
      </c>
      <c r="H485" s="3">
        <f t="shared" si="33"/>
        <v>3</v>
      </c>
      <c r="I485" s="69"/>
      <c r="J485">
        <v>3</v>
      </c>
      <c r="K485">
        <v>3</v>
      </c>
      <c r="L485">
        <v>77.7</v>
      </c>
      <c r="M485" s="3">
        <v>420</v>
      </c>
      <c r="N485" s="3" t="str">
        <f t="shared" si="34"/>
        <v>2021</v>
      </c>
      <c r="O485" s="2">
        <v>748</v>
      </c>
    </row>
    <row r="486" spans="1:22" x14ac:dyDescent="0.35">
      <c r="A486" s="3">
        <v>2024</v>
      </c>
      <c r="B486">
        <v>8</v>
      </c>
      <c r="C486" s="3">
        <v>19</v>
      </c>
      <c r="D486" s="2">
        <v>817</v>
      </c>
      <c r="E486" s="3">
        <v>3</v>
      </c>
      <c r="F486" s="3" t="s">
        <v>225</v>
      </c>
      <c r="G486" s="3" t="str">
        <f t="shared" si="35"/>
        <v>2021</v>
      </c>
      <c r="H486" s="3">
        <f t="shared" si="33"/>
        <v>3</v>
      </c>
      <c r="I486" s="69"/>
      <c r="J486">
        <v>3</v>
      </c>
      <c r="K486">
        <v>3</v>
      </c>
      <c r="L486">
        <v>75</v>
      </c>
      <c r="M486" s="3">
        <v>420</v>
      </c>
      <c r="N486" s="3" t="str">
        <f t="shared" si="34"/>
        <v>2021</v>
      </c>
      <c r="O486" s="2">
        <v>817</v>
      </c>
    </row>
    <row r="487" spans="1:22" x14ac:dyDescent="0.35">
      <c r="A487" s="3">
        <v>2024</v>
      </c>
      <c r="B487">
        <v>8</v>
      </c>
      <c r="C487" s="3">
        <v>15</v>
      </c>
      <c r="D487" s="2">
        <v>831</v>
      </c>
      <c r="E487" s="3">
        <v>3</v>
      </c>
      <c r="F487" s="3" t="s">
        <v>225</v>
      </c>
      <c r="G487" s="3" t="str">
        <f t="shared" si="35"/>
        <v>2021</v>
      </c>
      <c r="H487" s="3">
        <f t="shared" si="33"/>
        <v>3</v>
      </c>
      <c r="I487" s="69"/>
      <c r="J487" t="s">
        <v>237</v>
      </c>
      <c r="K487">
        <v>3</v>
      </c>
      <c r="L487">
        <v>84.6</v>
      </c>
      <c r="M487" s="3">
        <v>420</v>
      </c>
      <c r="N487" s="3" t="str">
        <f t="shared" si="34"/>
        <v>2021</v>
      </c>
      <c r="O487" s="2">
        <v>831</v>
      </c>
    </row>
    <row r="488" spans="1:22" x14ac:dyDescent="0.35">
      <c r="A488" s="3">
        <v>2023</v>
      </c>
      <c r="B488" s="3">
        <v>7</v>
      </c>
      <c r="C488" s="3">
        <v>26</v>
      </c>
      <c r="D488" s="2">
        <v>439</v>
      </c>
      <c r="E488" s="3">
        <v>3</v>
      </c>
      <c r="F488" s="3" t="s">
        <v>225</v>
      </c>
      <c r="G488" s="3" t="str">
        <f t="shared" si="35"/>
        <v>2021</v>
      </c>
      <c r="H488" s="3">
        <f t="shared" si="33"/>
        <v>2</v>
      </c>
      <c r="I488" s="69"/>
      <c r="J488" s="3" t="s">
        <v>94</v>
      </c>
      <c r="K488" s="3">
        <v>1</v>
      </c>
      <c r="L488" s="3">
        <v>63.1</v>
      </c>
      <c r="M488" s="3">
        <v>421</v>
      </c>
      <c r="N488" s="3" t="str">
        <f t="shared" si="34"/>
        <v>2021</v>
      </c>
      <c r="O488" s="2">
        <v>439</v>
      </c>
    </row>
    <row r="489" spans="1:22" x14ac:dyDescent="0.35">
      <c r="A489" s="3">
        <v>2024</v>
      </c>
      <c r="B489" s="3">
        <v>3</v>
      </c>
      <c r="C489" s="3">
        <v>12</v>
      </c>
      <c r="D489" s="2">
        <v>667</v>
      </c>
      <c r="E489" s="3">
        <v>2</v>
      </c>
      <c r="F489" s="3" t="s">
        <v>45</v>
      </c>
      <c r="G489" s="3" t="str">
        <f t="shared" si="35"/>
        <v>2011</v>
      </c>
      <c r="H489" s="3">
        <f t="shared" si="33"/>
        <v>13</v>
      </c>
      <c r="I489" s="69"/>
      <c r="J489" t="s">
        <v>236</v>
      </c>
      <c r="K489" t="s">
        <v>317</v>
      </c>
      <c r="L489">
        <v>72.3</v>
      </c>
      <c r="M489" s="3">
        <v>425</v>
      </c>
      <c r="N489" s="3" t="str">
        <f t="shared" si="34"/>
        <v>2007</v>
      </c>
      <c r="O489" s="2">
        <v>667</v>
      </c>
    </row>
    <row r="490" spans="1:22" x14ac:dyDescent="0.35">
      <c r="A490" s="3">
        <v>2024</v>
      </c>
      <c r="B490" s="3">
        <v>8</v>
      </c>
      <c r="C490" s="3">
        <v>8</v>
      </c>
      <c r="D490" s="2">
        <v>703</v>
      </c>
      <c r="E490" s="3">
        <v>3</v>
      </c>
      <c r="F490" s="3" t="s">
        <v>45</v>
      </c>
      <c r="G490" s="3" t="str">
        <f t="shared" si="35"/>
        <v>2011</v>
      </c>
      <c r="H490" s="3">
        <f t="shared" si="33"/>
        <v>13</v>
      </c>
      <c r="I490" s="69"/>
      <c r="J490" t="s">
        <v>46</v>
      </c>
      <c r="K490" t="s">
        <v>317</v>
      </c>
      <c r="L490">
        <v>69.2</v>
      </c>
      <c r="M490" s="3">
        <v>425</v>
      </c>
      <c r="N490" s="3" t="str">
        <f t="shared" si="34"/>
        <v>2007</v>
      </c>
      <c r="O490" s="2">
        <v>703</v>
      </c>
    </row>
    <row r="491" spans="1:22" x14ac:dyDescent="0.35">
      <c r="A491" s="3">
        <v>2024</v>
      </c>
      <c r="B491" s="3">
        <v>8</v>
      </c>
      <c r="C491" s="3">
        <v>15</v>
      </c>
      <c r="D491" s="2">
        <v>736</v>
      </c>
      <c r="E491" s="3">
        <v>3</v>
      </c>
      <c r="F491" s="3" t="s">
        <v>225</v>
      </c>
      <c r="G491" s="3" t="str">
        <f t="shared" si="35"/>
        <v>2021</v>
      </c>
      <c r="H491" s="3">
        <f t="shared" si="33"/>
        <v>3</v>
      </c>
      <c r="I491" s="69"/>
      <c r="J491">
        <v>3</v>
      </c>
      <c r="K491">
        <v>3</v>
      </c>
      <c r="L491">
        <v>92.2</v>
      </c>
      <c r="M491" s="3">
        <v>425</v>
      </c>
      <c r="N491" s="3" t="str">
        <f t="shared" si="34"/>
        <v>2021</v>
      </c>
      <c r="O491" s="2">
        <v>736</v>
      </c>
    </row>
    <row r="492" spans="1:22" x14ac:dyDescent="0.35">
      <c r="A492" s="3">
        <v>2024</v>
      </c>
      <c r="B492" s="3">
        <v>8</v>
      </c>
      <c r="C492" s="3">
        <v>19</v>
      </c>
      <c r="D492" s="2">
        <v>808</v>
      </c>
      <c r="E492" s="3">
        <v>3</v>
      </c>
      <c r="F492" s="3" t="s">
        <v>225</v>
      </c>
      <c r="G492" s="3" t="str">
        <f t="shared" si="35"/>
        <v>2021</v>
      </c>
      <c r="H492" s="3">
        <f t="shared" si="33"/>
        <v>3</v>
      </c>
      <c r="I492" s="69"/>
      <c r="J492">
        <v>3</v>
      </c>
      <c r="K492">
        <v>3</v>
      </c>
      <c r="L492">
        <v>79.5</v>
      </c>
      <c r="M492" s="3">
        <v>425</v>
      </c>
      <c r="N492" s="3" t="str">
        <f t="shared" si="34"/>
        <v>2021</v>
      </c>
      <c r="O492" s="2">
        <v>808</v>
      </c>
    </row>
    <row r="493" spans="1:22" x14ac:dyDescent="0.35">
      <c r="A493" s="3">
        <v>2011</v>
      </c>
      <c r="B493" s="3">
        <v>11</v>
      </c>
      <c r="C493" s="3">
        <v>14</v>
      </c>
      <c r="D493" s="2">
        <v>617</v>
      </c>
      <c r="E493" s="3">
        <v>4</v>
      </c>
      <c r="F493" s="3" t="s">
        <v>45</v>
      </c>
      <c r="G493" s="3" t="str">
        <f t="shared" si="35"/>
        <v>2009</v>
      </c>
      <c r="H493" s="3">
        <f t="shared" si="33"/>
        <v>2</v>
      </c>
      <c r="I493" s="69"/>
      <c r="J493" t="s">
        <v>671</v>
      </c>
      <c r="K493" s="3" t="s">
        <v>512</v>
      </c>
      <c r="L493">
        <v>75.3</v>
      </c>
      <c r="M493" s="3">
        <v>430</v>
      </c>
      <c r="N493" s="3" t="str">
        <f t="shared" si="34"/>
        <v>2007</v>
      </c>
      <c r="O493" s="2">
        <v>617</v>
      </c>
    </row>
    <row r="494" spans="1:22" x14ac:dyDescent="0.35">
      <c r="A494" s="3">
        <v>2024</v>
      </c>
      <c r="B494" s="3">
        <v>8</v>
      </c>
      <c r="C494" s="3">
        <v>15</v>
      </c>
      <c r="D494" s="2">
        <v>734</v>
      </c>
      <c r="E494" s="3">
        <v>3</v>
      </c>
      <c r="F494" s="3" t="s">
        <v>225</v>
      </c>
      <c r="G494" s="3" t="str">
        <f t="shared" si="35"/>
        <v>2021</v>
      </c>
      <c r="H494" s="3">
        <f t="shared" si="33"/>
        <v>3</v>
      </c>
      <c r="I494" s="69"/>
      <c r="J494">
        <v>3</v>
      </c>
      <c r="K494">
        <v>3</v>
      </c>
      <c r="L494">
        <v>86.9</v>
      </c>
      <c r="M494" s="3">
        <v>430</v>
      </c>
      <c r="N494" s="3" t="str">
        <f t="shared" si="34"/>
        <v>2021</v>
      </c>
      <c r="O494" s="2">
        <v>734</v>
      </c>
    </row>
    <row r="495" spans="1:22" x14ac:dyDescent="0.35">
      <c r="A495" s="3">
        <v>2022</v>
      </c>
      <c r="B495" s="3">
        <v>11</v>
      </c>
      <c r="C495" s="3">
        <v>1</v>
      </c>
      <c r="D495" s="2">
        <v>365</v>
      </c>
      <c r="E495" s="3">
        <v>4</v>
      </c>
      <c r="F495" s="3" t="s">
        <v>41</v>
      </c>
      <c r="G495" s="3" t="str">
        <f t="shared" si="35"/>
        <v>2013</v>
      </c>
      <c r="H495" s="3">
        <f t="shared" si="33"/>
        <v>9</v>
      </c>
      <c r="I495" s="69"/>
      <c r="J495" s="3" t="s">
        <v>583</v>
      </c>
      <c r="K495" s="3" t="s">
        <v>318</v>
      </c>
      <c r="L495" s="3">
        <v>6.5</v>
      </c>
      <c r="M495" s="3">
        <v>431</v>
      </c>
      <c r="N495" s="3" t="str">
        <f t="shared" si="34"/>
        <v>2011</v>
      </c>
      <c r="O495" s="2">
        <v>365</v>
      </c>
      <c r="P495">
        <v>16.73</v>
      </c>
    </row>
    <row r="496" spans="1:22" x14ac:dyDescent="0.35">
      <c r="A496" s="3">
        <v>2023</v>
      </c>
      <c r="B496" s="3">
        <v>7</v>
      </c>
      <c r="C496" s="3">
        <v>19</v>
      </c>
      <c r="D496" s="2">
        <v>357</v>
      </c>
      <c r="E496" s="3">
        <v>3</v>
      </c>
      <c r="F496" s="3" t="s">
        <v>41</v>
      </c>
      <c r="G496" s="3" t="str">
        <f t="shared" si="35"/>
        <v>2013</v>
      </c>
      <c r="H496" s="3">
        <f t="shared" si="33"/>
        <v>10</v>
      </c>
      <c r="I496" s="69"/>
      <c r="J496" s="3" t="s">
        <v>42</v>
      </c>
      <c r="K496" s="3" t="s">
        <v>318</v>
      </c>
      <c r="L496" s="3">
        <v>63.2</v>
      </c>
      <c r="M496" s="3">
        <v>432</v>
      </c>
      <c r="N496" s="3" t="str">
        <f t="shared" si="34"/>
        <v>2011</v>
      </c>
      <c r="O496" s="2">
        <v>357</v>
      </c>
    </row>
    <row r="497" spans="1:21" x14ac:dyDescent="0.35">
      <c r="A497" s="3">
        <v>2024</v>
      </c>
      <c r="B497" s="3">
        <v>2</v>
      </c>
      <c r="C497" s="3">
        <v>23</v>
      </c>
      <c r="D497" s="2">
        <v>639</v>
      </c>
      <c r="E497" s="3">
        <v>1</v>
      </c>
      <c r="F497" s="3" t="s">
        <v>225</v>
      </c>
      <c r="G497" s="3" t="str">
        <f t="shared" si="35"/>
        <v>2022</v>
      </c>
      <c r="H497" s="3">
        <f t="shared" si="33"/>
        <v>2</v>
      </c>
      <c r="I497" s="69"/>
      <c r="J497" t="s">
        <v>21</v>
      </c>
      <c r="K497" s="3">
        <v>2</v>
      </c>
      <c r="L497">
        <v>87.1</v>
      </c>
      <c r="M497" s="3">
        <v>432</v>
      </c>
      <c r="N497" s="3" t="str">
        <f t="shared" si="34"/>
        <v>2021</v>
      </c>
      <c r="O497" s="2">
        <v>639</v>
      </c>
    </row>
    <row r="498" spans="1:21" x14ac:dyDescent="0.35">
      <c r="A498" s="3">
        <v>2024</v>
      </c>
      <c r="B498" s="3">
        <v>8</v>
      </c>
      <c r="C498" s="3">
        <v>19</v>
      </c>
      <c r="D498" s="2">
        <v>749</v>
      </c>
      <c r="E498" s="3">
        <v>3</v>
      </c>
      <c r="F498" s="3" t="s">
        <v>225</v>
      </c>
      <c r="G498" s="3" t="str">
        <f t="shared" si="35"/>
        <v>2021</v>
      </c>
      <c r="H498" s="3">
        <f t="shared" si="33"/>
        <v>3</v>
      </c>
      <c r="I498" s="69"/>
      <c r="J498">
        <v>3</v>
      </c>
      <c r="K498">
        <v>3</v>
      </c>
      <c r="L498">
        <v>85.4</v>
      </c>
      <c r="M498" s="3">
        <v>432</v>
      </c>
      <c r="N498" s="3" t="str">
        <f t="shared" si="34"/>
        <v>2021</v>
      </c>
      <c r="O498" s="2">
        <v>749</v>
      </c>
    </row>
    <row r="499" spans="1:21" x14ac:dyDescent="0.35">
      <c r="A499" s="3">
        <v>2023</v>
      </c>
      <c r="B499" s="3">
        <v>2</v>
      </c>
      <c r="C499" s="3">
        <v>3</v>
      </c>
      <c r="D499" s="2">
        <v>136</v>
      </c>
      <c r="E499" s="15">
        <v>1</v>
      </c>
      <c r="F499" s="3" t="s">
        <v>226</v>
      </c>
      <c r="G499" s="3" t="str">
        <f t="shared" si="35"/>
        <v>2017</v>
      </c>
      <c r="H499" s="3">
        <f t="shared" si="33"/>
        <v>6</v>
      </c>
      <c r="I499" s="69"/>
      <c r="J499" s="3">
        <v>7</v>
      </c>
      <c r="K499" s="3">
        <v>7</v>
      </c>
      <c r="L499" s="3">
        <v>142.6</v>
      </c>
      <c r="M499" s="3">
        <v>433</v>
      </c>
      <c r="N499" s="3" t="str">
        <f t="shared" si="34"/>
        <v>2017</v>
      </c>
      <c r="O499" s="2">
        <v>136</v>
      </c>
    </row>
    <row r="500" spans="1:21" x14ac:dyDescent="0.35">
      <c r="A500" s="3">
        <v>2021</v>
      </c>
      <c r="B500" s="3">
        <v>10</v>
      </c>
      <c r="C500" s="3">
        <v>11</v>
      </c>
      <c r="D500" s="2">
        <v>459</v>
      </c>
      <c r="E500" s="3">
        <v>4</v>
      </c>
      <c r="F500" s="3" t="s">
        <v>226</v>
      </c>
      <c r="G500" s="3" t="str">
        <f t="shared" si="35"/>
        <v>2018</v>
      </c>
      <c r="H500" s="3">
        <f t="shared" si="33"/>
        <v>3</v>
      </c>
      <c r="I500" s="69"/>
      <c r="J500" s="3" t="s">
        <v>51</v>
      </c>
      <c r="K500" s="3" t="s">
        <v>916</v>
      </c>
      <c r="L500" s="16">
        <v>70</v>
      </c>
      <c r="M500" s="3">
        <v>433</v>
      </c>
      <c r="N500" s="3" t="str">
        <f t="shared" si="34"/>
        <v>2017</v>
      </c>
      <c r="O500" s="2">
        <v>459</v>
      </c>
    </row>
    <row r="501" spans="1:21" x14ac:dyDescent="0.35">
      <c r="A501" s="3">
        <v>2024</v>
      </c>
      <c r="B501" s="3">
        <v>8</v>
      </c>
      <c r="C501" s="3">
        <v>19</v>
      </c>
      <c r="D501" s="2">
        <v>796</v>
      </c>
      <c r="E501" s="3">
        <v>3</v>
      </c>
      <c r="F501" s="3" t="s">
        <v>225</v>
      </c>
      <c r="G501" s="3" t="str">
        <f t="shared" si="35"/>
        <v>2021</v>
      </c>
      <c r="H501" s="3">
        <f t="shared" si="33"/>
        <v>3</v>
      </c>
      <c r="I501" s="69"/>
      <c r="J501">
        <v>3</v>
      </c>
      <c r="K501">
        <v>3</v>
      </c>
      <c r="L501">
        <v>83.6</v>
      </c>
      <c r="M501" s="3">
        <v>434</v>
      </c>
      <c r="N501" s="3" t="str">
        <f t="shared" si="34"/>
        <v>2021</v>
      </c>
      <c r="O501" s="2">
        <v>796</v>
      </c>
    </row>
    <row r="502" spans="1:21" x14ac:dyDescent="0.35">
      <c r="A502" s="3">
        <v>2024</v>
      </c>
      <c r="B502" s="3">
        <v>8</v>
      </c>
      <c r="C502" s="3">
        <v>14</v>
      </c>
      <c r="D502" s="2">
        <v>695</v>
      </c>
      <c r="E502" s="3">
        <v>3</v>
      </c>
      <c r="F502" s="3" t="s">
        <v>225</v>
      </c>
      <c r="G502" s="3" t="str">
        <f t="shared" si="35"/>
        <v>2021</v>
      </c>
      <c r="H502" s="3">
        <f t="shared" si="33"/>
        <v>3</v>
      </c>
      <c r="I502" s="69"/>
      <c r="J502" t="s">
        <v>1018</v>
      </c>
      <c r="K502">
        <v>1</v>
      </c>
      <c r="L502">
        <v>69.7</v>
      </c>
      <c r="M502" s="3">
        <v>435</v>
      </c>
      <c r="N502" s="3" t="str">
        <f t="shared" si="34"/>
        <v>2021</v>
      </c>
      <c r="O502" s="2">
        <v>695</v>
      </c>
    </row>
    <row r="503" spans="1:21" x14ac:dyDescent="0.35">
      <c r="A503" s="3">
        <v>2023</v>
      </c>
      <c r="B503" s="3">
        <v>7</v>
      </c>
      <c r="C503" s="3">
        <v>28</v>
      </c>
      <c r="D503" s="2">
        <v>420</v>
      </c>
      <c r="E503" s="3">
        <v>3</v>
      </c>
      <c r="F503" s="3" t="s">
        <v>225</v>
      </c>
      <c r="G503" s="3" t="str">
        <f t="shared" si="35"/>
        <v>2021</v>
      </c>
      <c r="H503" s="3">
        <f t="shared" si="33"/>
        <v>2</v>
      </c>
      <c r="I503" s="69"/>
      <c r="J503" s="3" t="s">
        <v>61</v>
      </c>
      <c r="K503" s="3">
        <v>4</v>
      </c>
      <c r="L503" s="3">
        <v>79.8</v>
      </c>
      <c r="M503" s="3">
        <v>436.8</v>
      </c>
      <c r="N503" s="3" t="str">
        <f t="shared" si="34"/>
        <v>2021</v>
      </c>
      <c r="O503" s="2">
        <v>420</v>
      </c>
    </row>
    <row r="504" spans="1:21" x14ac:dyDescent="0.35">
      <c r="A504" s="3">
        <v>2024</v>
      </c>
      <c r="B504" s="3">
        <v>1</v>
      </c>
      <c r="C504" s="3">
        <v>16</v>
      </c>
      <c r="D504" s="2">
        <v>572</v>
      </c>
      <c r="E504" s="3">
        <v>1</v>
      </c>
      <c r="F504" s="3" t="s">
        <v>45</v>
      </c>
      <c r="G504" s="3" t="str">
        <f t="shared" si="35"/>
        <v>2011</v>
      </c>
      <c r="H504" s="3">
        <f t="shared" si="33"/>
        <v>13</v>
      </c>
      <c r="I504" s="69"/>
      <c r="J504" t="s">
        <v>615</v>
      </c>
      <c r="K504" s="3" t="s">
        <v>317</v>
      </c>
      <c r="L504">
        <v>79.2</v>
      </c>
      <c r="M504" s="3">
        <v>437</v>
      </c>
      <c r="N504" s="3" t="str">
        <f t="shared" si="34"/>
        <v>2007</v>
      </c>
      <c r="O504" s="2">
        <v>572</v>
      </c>
    </row>
    <row r="505" spans="1:21" x14ac:dyDescent="0.35">
      <c r="A505" s="3">
        <v>2023</v>
      </c>
      <c r="B505" s="3">
        <v>10</v>
      </c>
      <c r="C505" s="3">
        <v>31</v>
      </c>
      <c r="D505" s="2">
        <v>539</v>
      </c>
      <c r="E505" s="3">
        <v>4</v>
      </c>
      <c r="F505" s="3" t="s">
        <v>225</v>
      </c>
      <c r="G505" s="3" t="str">
        <f t="shared" si="35"/>
        <v>2022</v>
      </c>
      <c r="H505" s="3">
        <f t="shared" si="33"/>
        <v>1</v>
      </c>
      <c r="I505" s="69"/>
      <c r="J505" t="s">
        <v>67</v>
      </c>
      <c r="K505" s="3">
        <v>2</v>
      </c>
      <c r="L505" s="3">
        <v>83.8</v>
      </c>
      <c r="M505" s="3">
        <v>439</v>
      </c>
      <c r="N505" s="3" t="str">
        <f t="shared" si="34"/>
        <v>2021</v>
      </c>
      <c r="O505" s="2">
        <v>539</v>
      </c>
      <c r="U505">
        <v>42.39</v>
      </c>
    </row>
    <row r="506" spans="1:21" x14ac:dyDescent="0.35">
      <c r="A506" s="3">
        <v>2021</v>
      </c>
      <c r="B506" s="3">
        <v>10</v>
      </c>
      <c r="C506" s="3">
        <v>11</v>
      </c>
      <c r="D506" s="2">
        <v>465</v>
      </c>
      <c r="E506" s="3">
        <v>4</v>
      </c>
      <c r="F506" s="3" t="s">
        <v>226</v>
      </c>
      <c r="G506" s="3" t="str">
        <f t="shared" si="35"/>
        <v>2018</v>
      </c>
      <c r="H506" s="3">
        <f t="shared" si="33"/>
        <v>3</v>
      </c>
      <c r="I506" s="69"/>
      <c r="J506" s="3" t="s">
        <v>51</v>
      </c>
      <c r="K506" s="3" t="s">
        <v>920</v>
      </c>
      <c r="L506" s="16">
        <v>65</v>
      </c>
      <c r="M506" s="3">
        <v>439</v>
      </c>
      <c r="N506" s="3" t="str">
        <f t="shared" si="34"/>
        <v>2017</v>
      </c>
      <c r="O506" s="2">
        <v>465</v>
      </c>
    </row>
    <row r="507" spans="1:21" x14ac:dyDescent="0.35">
      <c r="A507" s="3">
        <v>2021</v>
      </c>
      <c r="B507" s="3">
        <v>4</v>
      </c>
      <c r="C507" s="3">
        <v>13</v>
      </c>
      <c r="D507" s="2">
        <v>491</v>
      </c>
      <c r="E507" s="3">
        <v>2</v>
      </c>
      <c r="F507" s="3" t="s">
        <v>226</v>
      </c>
      <c r="G507" s="3" t="str">
        <f t="shared" si="35"/>
        <v>2018</v>
      </c>
      <c r="H507" s="3">
        <f t="shared" si="33"/>
        <v>3</v>
      </c>
      <c r="I507" s="69"/>
      <c r="J507" s="3" t="s">
        <v>51</v>
      </c>
      <c r="K507" s="3" t="s">
        <v>920</v>
      </c>
      <c r="L507" s="16">
        <v>60</v>
      </c>
      <c r="M507" s="3">
        <v>440</v>
      </c>
      <c r="N507" s="3" t="str">
        <f t="shared" si="34"/>
        <v>2017</v>
      </c>
      <c r="O507" s="2">
        <v>491</v>
      </c>
    </row>
    <row r="508" spans="1:21" x14ac:dyDescent="0.35">
      <c r="A508" s="3">
        <v>2024</v>
      </c>
      <c r="B508" s="3">
        <v>3</v>
      </c>
      <c r="C508" s="3">
        <v>28</v>
      </c>
      <c r="D508" s="2">
        <v>659</v>
      </c>
      <c r="E508" s="3">
        <v>2</v>
      </c>
      <c r="F508" s="3" t="s">
        <v>41</v>
      </c>
      <c r="G508" s="3" t="str">
        <f t="shared" si="35"/>
        <v>2013</v>
      </c>
      <c r="H508" s="3">
        <f t="shared" si="33"/>
        <v>11</v>
      </c>
      <c r="I508" s="69"/>
      <c r="J508" t="s">
        <v>42</v>
      </c>
      <c r="K508" t="s">
        <v>318</v>
      </c>
      <c r="L508">
        <v>78.900000000000006</v>
      </c>
      <c r="M508" s="3">
        <v>440</v>
      </c>
      <c r="N508" s="3" t="str">
        <f t="shared" si="34"/>
        <v>2011</v>
      </c>
      <c r="O508" s="2">
        <v>659</v>
      </c>
    </row>
    <row r="509" spans="1:21" x14ac:dyDescent="0.35">
      <c r="A509" s="3">
        <v>2024</v>
      </c>
      <c r="B509" s="3">
        <v>8</v>
      </c>
      <c r="C509" s="3">
        <v>9</v>
      </c>
      <c r="D509" s="2">
        <v>768</v>
      </c>
      <c r="E509" s="3">
        <v>3</v>
      </c>
      <c r="F509" s="3" t="s">
        <v>41</v>
      </c>
      <c r="G509" s="3" t="str">
        <f t="shared" si="35"/>
        <v>2013</v>
      </c>
      <c r="H509" s="3">
        <f t="shared" si="33"/>
        <v>11</v>
      </c>
      <c r="I509" s="69"/>
      <c r="J509" s="6" t="s">
        <v>509</v>
      </c>
      <c r="K509" t="s">
        <v>458</v>
      </c>
      <c r="L509">
        <v>87.8</v>
      </c>
      <c r="M509" s="3">
        <v>440</v>
      </c>
      <c r="N509" s="3" t="str">
        <f t="shared" si="34"/>
        <v>2011</v>
      </c>
      <c r="O509" s="2">
        <v>768</v>
      </c>
    </row>
    <row r="510" spans="1:21" x14ac:dyDescent="0.35">
      <c r="A510" s="3">
        <v>2024</v>
      </c>
      <c r="B510" s="3">
        <v>8</v>
      </c>
      <c r="C510" s="3">
        <v>19</v>
      </c>
      <c r="D510" s="2">
        <v>798</v>
      </c>
      <c r="E510" s="3">
        <v>3</v>
      </c>
      <c r="F510" s="3" t="s">
        <v>225</v>
      </c>
      <c r="G510" s="3" t="str">
        <f t="shared" si="35"/>
        <v>2021</v>
      </c>
      <c r="H510" s="3">
        <f t="shared" si="33"/>
        <v>3</v>
      </c>
      <c r="I510" s="69"/>
      <c r="J510">
        <v>3</v>
      </c>
      <c r="K510">
        <v>3</v>
      </c>
      <c r="L510">
        <v>86.2</v>
      </c>
      <c r="M510" s="3">
        <v>440</v>
      </c>
      <c r="N510" s="3" t="str">
        <f t="shared" si="34"/>
        <v>2021</v>
      </c>
      <c r="O510" s="2">
        <v>798</v>
      </c>
    </row>
    <row r="511" spans="1:21" x14ac:dyDescent="0.35">
      <c r="A511" s="3">
        <v>2024</v>
      </c>
      <c r="B511" s="3">
        <v>1</v>
      </c>
      <c r="C511" s="3">
        <v>19</v>
      </c>
      <c r="D511" s="2">
        <v>598</v>
      </c>
      <c r="E511" s="3">
        <v>1</v>
      </c>
      <c r="F511" s="3" t="s">
        <v>41</v>
      </c>
      <c r="G511" s="3" t="str">
        <f t="shared" si="35"/>
        <v>2012</v>
      </c>
      <c r="H511" s="3">
        <f t="shared" si="33"/>
        <v>12</v>
      </c>
      <c r="I511" s="69"/>
      <c r="J511" t="s">
        <v>541</v>
      </c>
      <c r="K511" s="3" t="s">
        <v>461</v>
      </c>
      <c r="L511">
        <v>89.5</v>
      </c>
      <c r="M511" s="3">
        <v>441</v>
      </c>
      <c r="N511" s="3" t="str">
        <f t="shared" si="34"/>
        <v>2011</v>
      </c>
      <c r="O511" s="2">
        <v>598</v>
      </c>
    </row>
    <row r="512" spans="1:21" x14ac:dyDescent="0.35">
      <c r="A512" s="3">
        <v>2023</v>
      </c>
      <c r="B512" s="3">
        <v>7</v>
      </c>
      <c r="C512" s="3">
        <v>26</v>
      </c>
      <c r="D512" s="2">
        <v>450</v>
      </c>
      <c r="E512" s="3">
        <v>3</v>
      </c>
      <c r="F512" s="3" t="s">
        <v>225</v>
      </c>
      <c r="G512" s="3" t="str">
        <f t="shared" si="35"/>
        <v>2021</v>
      </c>
      <c r="H512" s="3">
        <f t="shared" si="33"/>
        <v>2</v>
      </c>
      <c r="I512" s="69"/>
      <c r="J512" s="3" t="s">
        <v>76</v>
      </c>
      <c r="K512" s="3">
        <v>1</v>
      </c>
      <c r="L512" s="3">
        <v>88.7</v>
      </c>
      <c r="M512" s="3">
        <v>444</v>
      </c>
      <c r="N512" s="3" t="str">
        <f t="shared" si="34"/>
        <v>2021</v>
      </c>
      <c r="O512" s="2">
        <v>450</v>
      </c>
    </row>
    <row r="513" spans="1:15" x14ac:dyDescent="0.35">
      <c r="A513" s="3">
        <v>2023</v>
      </c>
      <c r="B513" s="3">
        <v>11</v>
      </c>
      <c r="C513" s="3">
        <v>3</v>
      </c>
      <c r="D513" s="2">
        <v>530</v>
      </c>
      <c r="E513" s="3">
        <v>4</v>
      </c>
      <c r="F513" s="3" t="s">
        <v>225</v>
      </c>
      <c r="G513" s="3" t="str">
        <f t="shared" si="35"/>
        <v>2022</v>
      </c>
      <c r="H513" s="3">
        <f t="shared" si="33"/>
        <v>1</v>
      </c>
      <c r="I513" s="69"/>
      <c r="J513" s="3">
        <v>2</v>
      </c>
      <c r="K513" s="3">
        <v>2</v>
      </c>
      <c r="L513" s="3">
        <v>83.6</v>
      </c>
      <c r="M513" s="3">
        <v>444</v>
      </c>
      <c r="N513" s="3" t="str">
        <f t="shared" si="34"/>
        <v>2021</v>
      </c>
      <c r="O513" s="2">
        <v>530</v>
      </c>
    </row>
    <row r="514" spans="1:15" x14ac:dyDescent="0.35">
      <c r="A514" s="3">
        <v>2023</v>
      </c>
      <c r="B514" s="3">
        <v>8</v>
      </c>
      <c r="C514" s="3">
        <v>2</v>
      </c>
      <c r="D514" s="2">
        <v>414</v>
      </c>
      <c r="E514" s="3">
        <v>3</v>
      </c>
      <c r="F514" s="3" t="s">
        <v>226</v>
      </c>
      <c r="G514" s="3" t="str">
        <f t="shared" si="35"/>
        <v>2017</v>
      </c>
      <c r="H514" s="3">
        <f t="shared" ref="H514:H577" si="36">SUM(A514-G514)</f>
        <v>6</v>
      </c>
      <c r="I514" s="69"/>
      <c r="J514" s="3" t="s">
        <v>878</v>
      </c>
      <c r="K514" s="3">
        <v>7</v>
      </c>
      <c r="L514" s="3">
        <v>93.1</v>
      </c>
      <c r="M514" s="3">
        <v>444.5</v>
      </c>
      <c r="N514" s="3" t="str">
        <f t="shared" ref="N514:N577" si="37">IF(F514="PHD", "2007", IF(F514="TSL", "2011", IF(F514 = "SRS", "2018", IF(F514="WCA 3B", "2017", IF(F514="WCA 3A", "2021")))))</f>
        <v>2017</v>
      </c>
      <c r="O514" s="2">
        <v>414</v>
      </c>
    </row>
    <row r="515" spans="1:15" x14ac:dyDescent="0.35">
      <c r="A515" s="3">
        <v>2023</v>
      </c>
      <c r="B515" s="3">
        <v>8</v>
      </c>
      <c r="C515" s="3">
        <v>2</v>
      </c>
      <c r="D515" s="2">
        <v>421</v>
      </c>
      <c r="E515" s="3">
        <v>3</v>
      </c>
      <c r="F515" s="3" t="s">
        <v>226</v>
      </c>
      <c r="G515" s="3" t="str">
        <f t="shared" si="35"/>
        <v>2017</v>
      </c>
      <c r="H515" s="3">
        <f t="shared" si="36"/>
        <v>6</v>
      </c>
      <c r="I515" s="69"/>
      <c r="J515" s="3" t="s">
        <v>64</v>
      </c>
      <c r="K515" s="3">
        <v>7</v>
      </c>
      <c r="L515" s="3">
        <v>87.8</v>
      </c>
      <c r="M515" s="3">
        <v>444.5</v>
      </c>
      <c r="N515" s="3" t="str">
        <f t="shared" si="37"/>
        <v>2017</v>
      </c>
      <c r="O515" s="2">
        <v>421</v>
      </c>
    </row>
    <row r="516" spans="1:15" x14ac:dyDescent="0.35">
      <c r="A516" s="3">
        <v>2023</v>
      </c>
      <c r="B516" s="3">
        <v>7</v>
      </c>
      <c r="C516" s="3">
        <v>18</v>
      </c>
      <c r="D516" s="2">
        <v>341</v>
      </c>
      <c r="E516" s="3">
        <v>3</v>
      </c>
      <c r="F516" s="3" t="s">
        <v>41</v>
      </c>
      <c r="G516" s="3" t="str">
        <f t="shared" si="35"/>
        <v>2012</v>
      </c>
      <c r="H516" s="3">
        <f t="shared" si="36"/>
        <v>11</v>
      </c>
      <c r="I516" s="69"/>
      <c r="J516" s="3" t="s">
        <v>551</v>
      </c>
      <c r="K516" s="3" t="s">
        <v>461</v>
      </c>
      <c r="L516" s="3">
        <v>68.8</v>
      </c>
      <c r="M516" s="3">
        <v>445</v>
      </c>
      <c r="N516" s="3" t="str">
        <f t="shared" si="37"/>
        <v>2011</v>
      </c>
      <c r="O516" s="2">
        <v>341</v>
      </c>
    </row>
    <row r="517" spans="1:15" x14ac:dyDescent="0.35">
      <c r="A517" s="3">
        <v>2024</v>
      </c>
      <c r="B517" s="3">
        <v>1</v>
      </c>
      <c r="C517" s="3">
        <v>26</v>
      </c>
      <c r="D517" s="2">
        <v>552</v>
      </c>
      <c r="E517" s="3">
        <v>1</v>
      </c>
      <c r="F517" s="3" t="s">
        <v>225</v>
      </c>
      <c r="G517" s="3" t="str">
        <f t="shared" si="35"/>
        <v>2021</v>
      </c>
      <c r="H517" s="3">
        <f t="shared" si="36"/>
        <v>3</v>
      </c>
      <c r="I517" s="69"/>
      <c r="J517" t="s">
        <v>76</v>
      </c>
      <c r="K517">
        <v>1</v>
      </c>
      <c r="L517">
        <v>85.5</v>
      </c>
      <c r="M517" s="3">
        <v>445</v>
      </c>
      <c r="N517" s="3" t="str">
        <f t="shared" si="37"/>
        <v>2021</v>
      </c>
      <c r="O517" s="2">
        <v>552</v>
      </c>
    </row>
    <row r="518" spans="1:15" x14ac:dyDescent="0.35">
      <c r="A518" s="3">
        <v>2024</v>
      </c>
      <c r="B518" s="3">
        <v>8</v>
      </c>
      <c r="C518" s="3">
        <v>19</v>
      </c>
      <c r="D518" s="2">
        <v>726</v>
      </c>
      <c r="E518" s="3">
        <v>3</v>
      </c>
      <c r="F518" s="3" t="s">
        <v>225</v>
      </c>
      <c r="G518" s="3" t="str">
        <f t="shared" si="35"/>
        <v>2021</v>
      </c>
      <c r="H518" s="3">
        <f t="shared" si="36"/>
        <v>3</v>
      </c>
      <c r="I518" s="69"/>
      <c r="J518">
        <v>3</v>
      </c>
      <c r="K518">
        <v>3</v>
      </c>
      <c r="L518">
        <v>91</v>
      </c>
      <c r="M518" s="3">
        <v>445</v>
      </c>
      <c r="N518" s="3" t="str">
        <f t="shared" si="37"/>
        <v>2021</v>
      </c>
      <c r="O518" s="2">
        <v>726</v>
      </c>
    </row>
    <row r="519" spans="1:15" x14ac:dyDescent="0.35">
      <c r="A519" s="3">
        <v>2024</v>
      </c>
      <c r="B519" s="3">
        <v>8</v>
      </c>
      <c r="C519" s="3">
        <v>19</v>
      </c>
      <c r="D519" s="2">
        <v>797</v>
      </c>
      <c r="E519" s="3">
        <v>3</v>
      </c>
      <c r="F519" s="3" t="s">
        <v>225</v>
      </c>
      <c r="G519" s="3" t="str">
        <f t="shared" ref="G519:G582" si="38">IF(K519="A55","2009",IF(K519="A59","2009",IF(K519="A60","2010",IF(K519="A62","2011",IF(K519="CP","2013",IF(K519="MD","2012",IF(K519="TS","2013",IF(K519="DL","2018",IF(K519="SCU","2018",IF(K519="NCU","2018",IF(K519="C1C","2018",IF(K519="C1E","2018",IF(K519="RS1S","2018",IF(K519="C2B","2018",IF(K519="DB3","2018",IF(AND(K519=6,F519="SRS"),"2018",IF(AND(K519=7,F519="SRS"),"2020",IF(AND(K519=8,F519="SRS"),"2020",IF(K519=23,"2019",IF(AND(K519=7,F519="WCA 3B"),"2017",IF(AND(K519=8,F519="WCA 3B"),"2019",IF(K519=1,"2021",IF(K519=2,"2022",IF(K519=3,"2021",IF(K519=4,"2021",IF(K519=5,"2022",IF(AND(K519=6,F519="WCA 3A"),"2022",IF(K519=9,"2023",IF(K519=10,"2023",IF(K519=37,"2020"))))))))))))))))))))))))))))))</f>
        <v>2021</v>
      </c>
      <c r="H519" s="3">
        <f t="shared" si="36"/>
        <v>3</v>
      </c>
      <c r="I519" s="69"/>
      <c r="J519">
        <v>3</v>
      </c>
      <c r="K519">
        <v>3</v>
      </c>
      <c r="L519">
        <v>87.3</v>
      </c>
      <c r="M519" s="3">
        <v>445</v>
      </c>
      <c r="N519" s="3" t="str">
        <f t="shared" si="37"/>
        <v>2021</v>
      </c>
      <c r="O519" s="2">
        <v>797</v>
      </c>
    </row>
    <row r="520" spans="1:15" x14ac:dyDescent="0.35">
      <c r="A520" s="3">
        <v>2024</v>
      </c>
      <c r="B520">
        <v>8</v>
      </c>
      <c r="C520" s="3">
        <v>15</v>
      </c>
      <c r="D520" s="2">
        <v>828</v>
      </c>
      <c r="E520" s="3">
        <v>3</v>
      </c>
      <c r="F520" s="3" t="s">
        <v>225</v>
      </c>
      <c r="G520" s="3" t="str">
        <f t="shared" si="38"/>
        <v>2021</v>
      </c>
      <c r="H520" s="3">
        <f t="shared" si="36"/>
        <v>3</v>
      </c>
      <c r="I520" s="69"/>
      <c r="J520" t="s">
        <v>237</v>
      </c>
      <c r="K520">
        <v>3</v>
      </c>
      <c r="L520">
        <v>91.2</v>
      </c>
      <c r="M520" s="3">
        <v>445</v>
      </c>
      <c r="N520" s="3" t="str">
        <f t="shared" si="37"/>
        <v>2021</v>
      </c>
      <c r="O520" s="2">
        <v>828</v>
      </c>
    </row>
    <row r="521" spans="1:15" x14ac:dyDescent="0.35">
      <c r="A521" s="3">
        <v>2023</v>
      </c>
      <c r="B521" s="3">
        <v>7</v>
      </c>
      <c r="C521" s="3">
        <v>17</v>
      </c>
      <c r="D521" s="2">
        <v>381</v>
      </c>
      <c r="E521" s="3">
        <v>3</v>
      </c>
      <c r="F521" s="3" t="s">
        <v>45</v>
      </c>
      <c r="G521" s="3" t="str">
        <f t="shared" si="38"/>
        <v>2011</v>
      </c>
      <c r="H521" s="3">
        <f t="shared" si="36"/>
        <v>12</v>
      </c>
      <c r="I521" s="69"/>
      <c r="J521" s="3" t="s">
        <v>46</v>
      </c>
      <c r="K521" s="3" t="s">
        <v>317</v>
      </c>
      <c r="L521" s="3">
        <v>70.7</v>
      </c>
      <c r="M521" s="3">
        <v>446</v>
      </c>
      <c r="N521" s="3" t="str">
        <f t="shared" si="37"/>
        <v>2007</v>
      </c>
      <c r="O521" s="2">
        <v>381</v>
      </c>
    </row>
    <row r="522" spans="1:15" x14ac:dyDescent="0.35">
      <c r="A522" s="3">
        <v>2024</v>
      </c>
      <c r="B522" s="3">
        <v>8</v>
      </c>
      <c r="C522" s="3">
        <v>19</v>
      </c>
      <c r="D522" s="2">
        <v>728</v>
      </c>
      <c r="E522" s="3">
        <v>3</v>
      </c>
      <c r="F522" s="3" t="s">
        <v>225</v>
      </c>
      <c r="G522" s="3" t="str">
        <f t="shared" si="38"/>
        <v>2021</v>
      </c>
      <c r="H522" s="3">
        <f t="shared" si="36"/>
        <v>3</v>
      </c>
      <c r="I522" s="69"/>
      <c r="J522">
        <v>3</v>
      </c>
      <c r="K522">
        <v>3</v>
      </c>
      <c r="L522">
        <v>97.4</v>
      </c>
      <c r="M522" s="3">
        <v>446</v>
      </c>
      <c r="N522" s="3" t="str">
        <f t="shared" si="37"/>
        <v>2021</v>
      </c>
      <c r="O522" s="2">
        <v>728</v>
      </c>
    </row>
    <row r="523" spans="1:15" x14ac:dyDescent="0.35">
      <c r="A523" s="3">
        <v>2019</v>
      </c>
      <c r="B523" s="3">
        <v>3</v>
      </c>
      <c r="C523" s="3">
        <v>4</v>
      </c>
      <c r="D523" s="2">
        <v>165</v>
      </c>
      <c r="E523" s="3">
        <v>2</v>
      </c>
      <c r="F523" s="3" t="s">
        <v>226</v>
      </c>
      <c r="G523" s="3" t="str">
        <f t="shared" si="38"/>
        <v>2017</v>
      </c>
      <c r="H523" s="3">
        <f t="shared" si="36"/>
        <v>2</v>
      </c>
      <c r="I523" s="69"/>
      <c r="J523" s="3" t="s">
        <v>228</v>
      </c>
      <c r="K523" s="3">
        <v>7</v>
      </c>
      <c r="L523" s="3">
        <v>90.8</v>
      </c>
      <c r="M523" s="3">
        <v>447</v>
      </c>
      <c r="N523" s="3" t="str">
        <f t="shared" si="37"/>
        <v>2017</v>
      </c>
      <c r="O523" s="2">
        <v>165</v>
      </c>
    </row>
    <row r="524" spans="1:15" x14ac:dyDescent="0.35">
      <c r="A524" s="3">
        <v>2021</v>
      </c>
      <c r="B524" s="3">
        <v>11</v>
      </c>
      <c r="C524" s="3">
        <v>3</v>
      </c>
      <c r="D524" s="2">
        <v>19</v>
      </c>
      <c r="E524" s="3">
        <v>4</v>
      </c>
      <c r="F524" s="3" t="s">
        <v>20</v>
      </c>
      <c r="G524" s="3" t="str">
        <f t="shared" si="38"/>
        <v>2019</v>
      </c>
      <c r="H524" s="3">
        <f t="shared" si="36"/>
        <v>2</v>
      </c>
      <c r="I524" s="69"/>
      <c r="J524" s="3">
        <v>23</v>
      </c>
      <c r="K524" s="3">
        <v>23</v>
      </c>
      <c r="L524" s="3">
        <v>99.7</v>
      </c>
      <c r="M524" s="3">
        <v>450</v>
      </c>
      <c r="N524" s="3" t="str">
        <f t="shared" si="37"/>
        <v>2018</v>
      </c>
      <c r="O524" s="2">
        <v>19</v>
      </c>
    </row>
    <row r="525" spans="1:15" x14ac:dyDescent="0.35">
      <c r="A525" s="3">
        <v>2024</v>
      </c>
      <c r="B525" s="3">
        <v>8</v>
      </c>
      <c r="C525" s="3">
        <v>19</v>
      </c>
      <c r="D525" s="2">
        <v>741</v>
      </c>
      <c r="E525" s="3">
        <v>3</v>
      </c>
      <c r="F525" s="3" t="s">
        <v>225</v>
      </c>
      <c r="G525" s="3" t="str">
        <f t="shared" si="38"/>
        <v>2021</v>
      </c>
      <c r="H525" s="3">
        <f t="shared" si="36"/>
        <v>3</v>
      </c>
      <c r="I525" s="69"/>
      <c r="J525">
        <v>3</v>
      </c>
      <c r="K525">
        <v>3</v>
      </c>
      <c r="L525">
        <v>93</v>
      </c>
      <c r="M525" s="3">
        <v>450</v>
      </c>
      <c r="N525" s="3" t="str">
        <f t="shared" si="37"/>
        <v>2021</v>
      </c>
      <c r="O525" s="2">
        <v>741</v>
      </c>
    </row>
    <row r="526" spans="1:15" x14ac:dyDescent="0.35">
      <c r="A526" s="3">
        <v>2024</v>
      </c>
      <c r="B526" s="3">
        <v>8</v>
      </c>
      <c r="C526" s="3">
        <v>19</v>
      </c>
      <c r="D526" s="2">
        <v>752</v>
      </c>
      <c r="E526" s="3">
        <v>3</v>
      </c>
      <c r="F526" s="3" t="s">
        <v>225</v>
      </c>
      <c r="G526" s="3" t="str">
        <f t="shared" si="38"/>
        <v>2021</v>
      </c>
      <c r="H526" s="3">
        <f t="shared" si="36"/>
        <v>3</v>
      </c>
      <c r="I526" s="69"/>
      <c r="J526">
        <v>3</v>
      </c>
      <c r="K526">
        <v>3</v>
      </c>
      <c r="L526">
        <v>103.2</v>
      </c>
      <c r="M526" s="3">
        <v>450</v>
      </c>
      <c r="N526" s="3" t="str">
        <f t="shared" si="37"/>
        <v>2021</v>
      </c>
      <c r="O526" s="2">
        <v>752</v>
      </c>
    </row>
    <row r="527" spans="1:15" x14ac:dyDescent="0.35">
      <c r="A527" s="3">
        <v>2019</v>
      </c>
      <c r="B527" s="3">
        <v>11</v>
      </c>
      <c r="C527" s="3">
        <v>27</v>
      </c>
      <c r="D527" s="2">
        <v>47</v>
      </c>
      <c r="E527" s="3">
        <v>4</v>
      </c>
      <c r="F527" s="3" t="s">
        <v>45</v>
      </c>
      <c r="G527" s="3" t="str">
        <f t="shared" si="38"/>
        <v>2009</v>
      </c>
      <c r="H527" s="3">
        <f t="shared" si="36"/>
        <v>10</v>
      </c>
      <c r="I527" s="69"/>
      <c r="J527" s="3" t="s">
        <v>488</v>
      </c>
      <c r="K527" s="3" t="s">
        <v>488</v>
      </c>
      <c r="L527" s="3">
        <v>80.3</v>
      </c>
      <c r="M527" s="3">
        <v>451</v>
      </c>
      <c r="N527" s="3" t="str">
        <f t="shared" si="37"/>
        <v>2007</v>
      </c>
      <c r="O527" s="2">
        <v>47</v>
      </c>
    </row>
    <row r="528" spans="1:15" x14ac:dyDescent="0.35">
      <c r="A528" s="3">
        <v>2016</v>
      </c>
      <c r="B528" s="3">
        <v>9</v>
      </c>
      <c r="C528" s="3">
        <v>1</v>
      </c>
      <c r="D528" s="2">
        <v>236</v>
      </c>
      <c r="E528" s="3">
        <v>3</v>
      </c>
      <c r="F528" s="3" t="s">
        <v>45</v>
      </c>
      <c r="G528" s="3" t="str">
        <f t="shared" si="38"/>
        <v>2011</v>
      </c>
      <c r="H528" s="3">
        <f t="shared" si="36"/>
        <v>5</v>
      </c>
      <c r="I528" s="69"/>
      <c r="J528" s="3" t="s">
        <v>647</v>
      </c>
      <c r="K528" s="3" t="s">
        <v>317</v>
      </c>
      <c r="L528" s="3">
        <v>98.7</v>
      </c>
      <c r="M528" s="3">
        <v>454</v>
      </c>
      <c r="N528" s="3" t="str">
        <f t="shared" si="37"/>
        <v>2007</v>
      </c>
      <c r="O528" s="2">
        <v>236</v>
      </c>
    </row>
    <row r="529" spans="1:16" x14ac:dyDescent="0.35">
      <c r="A529" s="3">
        <v>2016</v>
      </c>
      <c r="B529" s="3">
        <v>9</v>
      </c>
      <c r="C529" s="3">
        <v>1</v>
      </c>
      <c r="D529" s="2">
        <v>236</v>
      </c>
      <c r="E529" s="3">
        <v>3</v>
      </c>
      <c r="F529" s="3" t="s">
        <v>45</v>
      </c>
      <c r="G529" s="3" t="str">
        <f t="shared" si="38"/>
        <v>2011</v>
      </c>
      <c r="H529" s="3">
        <f t="shared" si="36"/>
        <v>5</v>
      </c>
      <c r="I529" s="69"/>
      <c r="J529" s="3" t="s">
        <v>647</v>
      </c>
      <c r="K529" s="3" t="s">
        <v>317</v>
      </c>
      <c r="L529" s="3">
        <v>98.7</v>
      </c>
      <c r="M529" s="3">
        <v>454</v>
      </c>
      <c r="N529" s="3" t="str">
        <f t="shared" si="37"/>
        <v>2007</v>
      </c>
      <c r="O529" s="2">
        <v>236</v>
      </c>
    </row>
    <row r="530" spans="1:16" x14ac:dyDescent="0.35">
      <c r="A530" s="3">
        <v>2011</v>
      </c>
      <c r="B530" s="3">
        <v>11</v>
      </c>
      <c r="C530" s="3">
        <v>14</v>
      </c>
      <c r="D530" s="2">
        <v>618</v>
      </c>
      <c r="E530" s="3">
        <v>4</v>
      </c>
      <c r="F530" s="3" t="s">
        <v>45</v>
      </c>
      <c r="G530" s="3" t="str">
        <f t="shared" si="38"/>
        <v>2009</v>
      </c>
      <c r="H530" s="3">
        <f t="shared" si="36"/>
        <v>2</v>
      </c>
      <c r="I530" s="69"/>
      <c r="J530" t="s">
        <v>711</v>
      </c>
      <c r="K530" s="3" t="s">
        <v>512</v>
      </c>
      <c r="L530">
        <v>89.3</v>
      </c>
      <c r="M530" s="3">
        <v>455</v>
      </c>
      <c r="N530" s="3" t="str">
        <f t="shared" si="37"/>
        <v>2007</v>
      </c>
      <c r="O530" s="2">
        <v>618</v>
      </c>
    </row>
    <row r="531" spans="1:16" x14ac:dyDescent="0.35">
      <c r="A531" s="3">
        <v>2023</v>
      </c>
      <c r="B531" s="3">
        <v>7</v>
      </c>
      <c r="C531" s="3">
        <v>18</v>
      </c>
      <c r="D531" s="2">
        <v>339</v>
      </c>
      <c r="E531" s="3">
        <v>3</v>
      </c>
      <c r="F531" s="3" t="s">
        <v>41</v>
      </c>
      <c r="G531" s="3" t="str">
        <f t="shared" si="38"/>
        <v>2012</v>
      </c>
      <c r="H531" s="3">
        <f t="shared" si="36"/>
        <v>11</v>
      </c>
      <c r="I531" s="69"/>
      <c r="J531" s="3" t="s">
        <v>551</v>
      </c>
      <c r="K531" s="3" t="s">
        <v>461</v>
      </c>
      <c r="L531" s="3">
        <v>8.5</v>
      </c>
      <c r="M531" s="3">
        <v>456</v>
      </c>
      <c r="N531" s="3" t="str">
        <f t="shared" si="37"/>
        <v>2011</v>
      </c>
      <c r="O531" s="2">
        <v>339</v>
      </c>
    </row>
    <row r="532" spans="1:16" x14ac:dyDescent="0.35">
      <c r="A532" s="3">
        <v>2021</v>
      </c>
      <c r="B532" s="3">
        <v>10</v>
      </c>
      <c r="C532" s="3" t="s">
        <v>28</v>
      </c>
      <c r="D532" s="2">
        <v>6</v>
      </c>
      <c r="E532" s="3">
        <v>4</v>
      </c>
      <c r="F532" s="3" t="s">
        <v>41</v>
      </c>
      <c r="G532" s="3" t="str">
        <f t="shared" si="38"/>
        <v>2013</v>
      </c>
      <c r="H532" s="3">
        <f t="shared" si="36"/>
        <v>8</v>
      </c>
      <c r="I532" s="69"/>
      <c r="J532" s="3" t="s">
        <v>318</v>
      </c>
      <c r="K532" s="3" t="s">
        <v>318</v>
      </c>
      <c r="L532" s="3">
        <v>101.5</v>
      </c>
      <c r="M532" s="3">
        <v>457</v>
      </c>
      <c r="N532" s="3" t="str">
        <f t="shared" si="37"/>
        <v>2011</v>
      </c>
      <c r="O532" s="2">
        <v>6</v>
      </c>
    </row>
    <row r="533" spans="1:16" x14ac:dyDescent="0.35">
      <c r="A533" s="3">
        <v>2023</v>
      </c>
      <c r="B533" s="3">
        <v>7</v>
      </c>
      <c r="C533" s="3">
        <v>19</v>
      </c>
      <c r="D533" s="2">
        <v>351</v>
      </c>
      <c r="E533" s="3">
        <v>3</v>
      </c>
      <c r="F533" s="3" t="s">
        <v>41</v>
      </c>
      <c r="G533" s="3" t="str">
        <f t="shared" si="38"/>
        <v>2013</v>
      </c>
      <c r="H533" s="3">
        <f t="shared" si="36"/>
        <v>10</v>
      </c>
      <c r="I533" s="69"/>
      <c r="J533" s="3" t="s">
        <v>583</v>
      </c>
      <c r="K533" s="3" t="s">
        <v>318</v>
      </c>
      <c r="L533" s="3">
        <v>86.2</v>
      </c>
      <c r="M533" s="3">
        <v>457</v>
      </c>
      <c r="N533" s="3" t="str">
        <f t="shared" si="37"/>
        <v>2011</v>
      </c>
      <c r="O533" s="2">
        <v>351</v>
      </c>
    </row>
    <row r="534" spans="1:16" x14ac:dyDescent="0.35">
      <c r="A534" s="3">
        <v>2024</v>
      </c>
      <c r="B534" s="3">
        <v>1</v>
      </c>
      <c r="C534" s="3">
        <v>30</v>
      </c>
      <c r="D534" s="2">
        <v>628</v>
      </c>
      <c r="E534" s="3">
        <v>1</v>
      </c>
      <c r="F534" s="3" t="s">
        <v>225</v>
      </c>
      <c r="G534" s="3" t="str">
        <f t="shared" si="38"/>
        <v>2022</v>
      </c>
      <c r="H534" s="3">
        <f t="shared" si="36"/>
        <v>2</v>
      </c>
      <c r="I534" s="69"/>
      <c r="J534" t="s">
        <v>83</v>
      </c>
      <c r="K534">
        <v>2</v>
      </c>
      <c r="L534">
        <v>84.2</v>
      </c>
      <c r="M534" s="3">
        <v>459</v>
      </c>
      <c r="N534" s="3" t="str">
        <f t="shared" si="37"/>
        <v>2021</v>
      </c>
      <c r="O534" s="2">
        <v>628</v>
      </c>
    </row>
    <row r="535" spans="1:16" x14ac:dyDescent="0.35">
      <c r="A535" s="3">
        <v>2024</v>
      </c>
      <c r="B535" s="3">
        <v>8</v>
      </c>
      <c r="C535" s="3">
        <v>19</v>
      </c>
      <c r="D535" s="2">
        <v>755</v>
      </c>
      <c r="E535" s="3">
        <v>3</v>
      </c>
      <c r="F535" s="3" t="s">
        <v>225</v>
      </c>
      <c r="G535" s="3" t="str">
        <f t="shared" si="38"/>
        <v>2021</v>
      </c>
      <c r="H535" s="3">
        <f t="shared" si="36"/>
        <v>3</v>
      </c>
      <c r="I535" s="69"/>
      <c r="J535">
        <v>3</v>
      </c>
      <c r="K535">
        <v>3</v>
      </c>
      <c r="L535">
        <v>98.6</v>
      </c>
      <c r="M535" s="3">
        <v>460</v>
      </c>
      <c r="N535" s="3" t="str">
        <f t="shared" si="37"/>
        <v>2021</v>
      </c>
      <c r="O535" s="2">
        <v>755</v>
      </c>
    </row>
    <row r="536" spans="1:16" x14ac:dyDescent="0.35">
      <c r="A536" s="3">
        <v>2023</v>
      </c>
      <c r="B536" s="3">
        <v>2</v>
      </c>
      <c r="C536" s="3">
        <v>10</v>
      </c>
      <c r="D536" s="2">
        <v>143</v>
      </c>
      <c r="E536" s="15">
        <v>1</v>
      </c>
      <c r="F536" s="3" t="s">
        <v>41</v>
      </c>
      <c r="G536" s="3" t="str">
        <f t="shared" si="38"/>
        <v>2013</v>
      </c>
      <c r="H536" s="3">
        <f t="shared" si="36"/>
        <v>10</v>
      </c>
      <c r="I536" s="69"/>
      <c r="J536" s="3" t="s">
        <v>91</v>
      </c>
      <c r="K536" s="3" t="s">
        <v>318</v>
      </c>
      <c r="L536" s="3">
        <v>179.1</v>
      </c>
      <c r="M536" s="3">
        <v>462</v>
      </c>
      <c r="N536" s="3" t="str">
        <f t="shared" si="37"/>
        <v>2011</v>
      </c>
      <c r="O536" s="2">
        <v>143</v>
      </c>
    </row>
    <row r="537" spans="1:16" x14ac:dyDescent="0.35">
      <c r="A537" s="3">
        <v>2021</v>
      </c>
      <c r="B537" s="3">
        <v>10</v>
      </c>
      <c r="C537" s="3">
        <v>11</v>
      </c>
      <c r="D537" s="2">
        <v>484</v>
      </c>
      <c r="E537" s="3">
        <v>4</v>
      </c>
      <c r="F537" s="3" t="s">
        <v>226</v>
      </c>
      <c r="G537" s="3" t="str">
        <f t="shared" si="38"/>
        <v>2018</v>
      </c>
      <c r="H537" s="3">
        <f t="shared" si="36"/>
        <v>3</v>
      </c>
      <c r="I537" s="69"/>
      <c r="J537" s="3" t="s">
        <v>51</v>
      </c>
      <c r="K537" s="3" t="s">
        <v>939</v>
      </c>
      <c r="L537" s="16">
        <v>95</v>
      </c>
      <c r="M537" s="3">
        <v>462</v>
      </c>
      <c r="N537" s="3" t="str">
        <f t="shared" si="37"/>
        <v>2017</v>
      </c>
      <c r="O537" s="2">
        <v>484</v>
      </c>
    </row>
    <row r="538" spans="1:16" x14ac:dyDescent="0.35">
      <c r="A538" s="3">
        <v>2022</v>
      </c>
      <c r="B538" s="3">
        <v>11</v>
      </c>
      <c r="C538" s="3">
        <v>1</v>
      </c>
      <c r="D538" s="2">
        <v>367</v>
      </c>
      <c r="E538" s="3">
        <v>4</v>
      </c>
      <c r="F538" s="3" t="s">
        <v>41</v>
      </c>
      <c r="G538" s="3" t="str">
        <f t="shared" si="38"/>
        <v>2013</v>
      </c>
      <c r="H538" s="3">
        <f t="shared" si="36"/>
        <v>9</v>
      </c>
      <c r="I538" s="69"/>
      <c r="J538" s="3" t="s">
        <v>42</v>
      </c>
      <c r="K538" s="3" t="s">
        <v>318</v>
      </c>
      <c r="L538" s="3">
        <v>79.099999999999994</v>
      </c>
      <c r="M538" s="3">
        <v>464</v>
      </c>
      <c r="N538" s="3" t="str">
        <f t="shared" si="37"/>
        <v>2011</v>
      </c>
      <c r="O538" s="2">
        <v>367</v>
      </c>
    </row>
    <row r="539" spans="1:16" x14ac:dyDescent="0.35">
      <c r="A539" s="3">
        <v>2024</v>
      </c>
      <c r="B539" s="3">
        <v>1</v>
      </c>
      <c r="C539" s="3">
        <v>19</v>
      </c>
      <c r="D539" s="2">
        <v>583</v>
      </c>
      <c r="E539" s="3">
        <v>1</v>
      </c>
      <c r="F539" s="3" t="s">
        <v>41</v>
      </c>
      <c r="G539" s="3" t="str">
        <f t="shared" si="38"/>
        <v>2013</v>
      </c>
      <c r="H539" s="3">
        <f t="shared" si="36"/>
        <v>11</v>
      </c>
      <c r="I539" s="69"/>
      <c r="J539" t="s">
        <v>42</v>
      </c>
      <c r="K539" s="3" t="s">
        <v>318</v>
      </c>
      <c r="L539">
        <v>104.7</v>
      </c>
      <c r="M539" s="3">
        <v>464</v>
      </c>
      <c r="N539" s="3" t="str">
        <f t="shared" si="37"/>
        <v>2011</v>
      </c>
      <c r="O539" s="2">
        <v>583</v>
      </c>
    </row>
    <row r="540" spans="1:16" x14ac:dyDescent="0.35">
      <c r="A540" s="3">
        <v>2024</v>
      </c>
      <c r="B540" s="3">
        <v>8</v>
      </c>
      <c r="C540" s="3">
        <v>8</v>
      </c>
      <c r="D540" s="2">
        <v>701</v>
      </c>
      <c r="E540" s="3">
        <v>3</v>
      </c>
      <c r="F540" s="3" t="s">
        <v>45</v>
      </c>
      <c r="G540" s="3" t="str">
        <f t="shared" si="38"/>
        <v>2011</v>
      </c>
      <c r="H540" s="3">
        <f t="shared" si="36"/>
        <v>13</v>
      </c>
      <c r="I540" s="69"/>
      <c r="J540" t="s">
        <v>46</v>
      </c>
      <c r="K540" t="s">
        <v>317</v>
      </c>
      <c r="L540">
        <v>84.5</v>
      </c>
      <c r="M540" s="3">
        <v>464</v>
      </c>
      <c r="N540" s="3" t="str">
        <f t="shared" si="37"/>
        <v>2007</v>
      </c>
      <c r="O540" s="2">
        <v>701</v>
      </c>
    </row>
    <row r="541" spans="1:16" x14ac:dyDescent="0.35">
      <c r="A541" s="3">
        <v>2024</v>
      </c>
      <c r="B541">
        <v>8</v>
      </c>
      <c r="C541" s="3">
        <v>19</v>
      </c>
      <c r="D541" s="2">
        <v>814</v>
      </c>
      <c r="E541" s="3">
        <v>3</v>
      </c>
      <c r="F541" s="3" t="s">
        <v>225</v>
      </c>
      <c r="G541" s="3" t="str">
        <f t="shared" si="38"/>
        <v>2021</v>
      </c>
      <c r="H541" s="3">
        <f t="shared" si="36"/>
        <v>3</v>
      </c>
      <c r="I541" s="69"/>
      <c r="J541">
        <v>3</v>
      </c>
      <c r="K541">
        <v>3</v>
      </c>
      <c r="L541">
        <v>147</v>
      </c>
      <c r="M541" s="3">
        <v>464</v>
      </c>
      <c r="N541" s="3" t="str">
        <f t="shared" si="37"/>
        <v>2021</v>
      </c>
      <c r="O541" s="2">
        <v>814</v>
      </c>
    </row>
    <row r="542" spans="1:16" x14ac:dyDescent="0.35">
      <c r="A542" s="3">
        <v>2021</v>
      </c>
      <c r="B542" s="3">
        <v>4</v>
      </c>
      <c r="C542" s="3">
        <v>13</v>
      </c>
      <c r="D542" s="2">
        <v>492</v>
      </c>
      <c r="E542" s="3">
        <v>2</v>
      </c>
      <c r="F542" s="3" t="s">
        <v>226</v>
      </c>
      <c r="G542" s="3" t="str">
        <f t="shared" si="38"/>
        <v>2018</v>
      </c>
      <c r="H542" s="3">
        <f t="shared" si="36"/>
        <v>3</v>
      </c>
      <c r="I542" s="69"/>
      <c r="J542" s="3" t="s">
        <v>51</v>
      </c>
      <c r="K542" s="3" t="s">
        <v>920</v>
      </c>
      <c r="L542" s="16">
        <v>100</v>
      </c>
      <c r="M542" s="3">
        <v>466</v>
      </c>
      <c r="N542" s="3" t="str">
        <f t="shared" si="37"/>
        <v>2017</v>
      </c>
      <c r="O542" s="2">
        <v>492</v>
      </c>
      <c r="P542">
        <v>20.95</v>
      </c>
    </row>
    <row r="543" spans="1:16" x14ac:dyDescent="0.35">
      <c r="A543" s="3">
        <v>2021</v>
      </c>
      <c r="B543" s="3">
        <v>10</v>
      </c>
      <c r="C543" s="3">
        <v>11</v>
      </c>
      <c r="D543" s="2">
        <v>466</v>
      </c>
      <c r="E543" s="3">
        <v>4</v>
      </c>
      <c r="F543" s="3" t="s">
        <v>226</v>
      </c>
      <c r="G543" s="3" t="str">
        <f t="shared" si="38"/>
        <v>2018</v>
      </c>
      <c r="H543" s="3">
        <f t="shared" si="36"/>
        <v>3</v>
      </c>
      <c r="I543" s="69"/>
      <c r="J543" s="3" t="s">
        <v>51</v>
      </c>
      <c r="K543" s="3" t="s">
        <v>920</v>
      </c>
      <c r="L543" s="16">
        <v>100</v>
      </c>
      <c r="M543" s="3">
        <v>466</v>
      </c>
      <c r="N543" s="3" t="str">
        <f t="shared" si="37"/>
        <v>2017</v>
      </c>
      <c r="O543" s="2">
        <v>466</v>
      </c>
    </row>
    <row r="544" spans="1:16" x14ac:dyDescent="0.35">
      <c r="A544" s="3">
        <v>2024</v>
      </c>
      <c r="B544" s="3">
        <v>1</v>
      </c>
      <c r="C544" s="3">
        <v>22</v>
      </c>
      <c r="D544" s="2">
        <v>603</v>
      </c>
      <c r="E544" s="3">
        <v>1</v>
      </c>
      <c r="F544" s="3" t="s">
        <v>20</v>
      </c>
      <c r="G544" s="3" t="str">
        <f t="shared" si="38"/>
        <v>2020</v>
      </c>
      <c r="H544" s="3">
        <f t="shared" si="36"/>
        <v>4</v>
      </c>
      <c r="I544" s="69"/>
      <c r="J544" t="s">
        <v>233</v>
      </c>
      <c r="K544">
        <v>37</v>
      </c>
      <c r="L544">
        <v>121.8</v>
      </c>
      <c r="M544" s="3">
        <v>466</v>
      </c>
      <c r="N544" s="3" t="str">
        <f t="shared" si="37"/>
        <v>2018</v>
      </c>
      <c r="O544" s="2">
        <v>603</v>
      </c>
    </row>
    <row r="545" spans="1:27" x14ac:dyDescent="0.35">
      <c r="A545" s="3">
        <v>2021</v>
      </c>
      <c r="B545" s="3">
        <v>10</v>
      </c>
      <c r="C545" s="3">
        <v>11</v>
      </c>
      <c r="D545" s="2">
        <v>472</v>
      </c>
      <c r="E545" s="3">
        <v>4</v>
      </c>
      <c r="F545" s="3" t="s">
        <v>226</v>
      </c>
      <c r="G545" s="3" t="str">
        <f t="shared" si="38"/>
        <v>2018</v>
      </c>
      <c r="H545" s="3">
        <f t="shared" si="36"/>
        <v>3</v>
      </c>
      <c r="I545" s="69"/>
      <c r="J545" s="3" t="s">
        <v>51</v>
      </c>
      <c r="K545" s="3" t="s">
        <v>929</v>
      </c>
      <c r="L545" s="16">
        <v>100</v>
      </c>
      <c r="M545" s="3">
        <v>467</v>
      </c>
      <c r="N545" s="3" t="str">
        <f t="shared" si="37"/>
        <v>2017</v>
      </c>
      <c r="O545" s="2">
        <v>472</v>
      </c>
    </row>
    <row r="546" spans="1:27" x14ac:dyDescent="0.35">
      <c r="A546" s="3">
        <v>2021</v>
      </c>
      <c r="B546" s="3">
        <v>10</v>
      </c>
      <c r="C546" s="3">
        <v>11</v>
      </c>
      <c r="D546" s="2">
        <v>481</v>
      </c>
      <c r="E546" s="3">
        <v>4</v>
      </c>
      <c r="F546" s="3" t="s">
        <v>226</v>
      </c>
      <c r="G546" s="3" t="str">
        <f t="shared" si="38"/>
        <v>2018</v>
      </c>
      <c r="H546" s="3">
        <f t="shared" si="36"/>
        <v>3</v>
      </c>
      <c r="I546" s="69"/>
      <c r="J546" s="3" t="s">
        <v>51</v>
      </c>
      <c r="K546" s="3" t="s">
        <v>936</v>
      </c>
      <c r="L546" s="16">
        <v>120</v>
      </c>
      <c r="M546" s="3">
        <v>467</v>
      </c>
      <c r="N546" s="3" t="str">
        <f t="shared" si="37"/>
        <v>2017</v>
      </c>
      <c r="O546" s="2">
        <v>481</v>
      </c>
    </row>
    <row r="547" spans="1:27" x14ac:dyDescent="0.35">
      <c r="A547" s="3">
        <v>2024</v>
      </c>
      <c r="B547" s="3">
        <v>3</v>
      </c>
      <c r="C547" s="3">
        <v>1</v>
      </c>
      <c r="D547" s="2">
        <v>665</v>
      </c>
      <c r="E547" s="3">
        <v>2</v>
      </c>
      <c r="F547" s="3" t="s">
        <v>20</v>
      </c>
      <c r="G547" s="3" t="str">
        <f t="shared" si="38"/>
        <v>2020</v>
      </c>
      <c r="H547" s="3">
        <f t="shared" si="36"/>
        <v>4</v>
      </c>
      <c r="I547" s="69"/>
      <c r="J547" t="s">
        <v>70</v>
      </c>
      <c r="K547">
        <v>37</v>
      </c>
      <c r="L547">
        <v>103.2</v>
      </c>
      <c r="M547" s="3">
        <v>468</v>
      </c>
      <c r="N547" s="3" t="str">
        <f t="shared" si="37"/>
        <v>2018</v>
      </c>
      <c r="O547" s="2">
        <v>665</v>
      </c>
    </row>
    <row r="548" spans="1:27" x14ac:dyDescent="0.35">
      <c r="A548" s="3">
        <v>2023</v>
      </c>
      <c r="B548" s="3">
        <v>7</v>
      </c>
      <c r="C548" s="3">
        <v>19</v>
      </c>
      <c r="D548" s="2">
        <v>354</v>
      </c>
      <c r="E548" s="3">
        <v>3</v>
      </c>
      <c r="F548" s="3" t="s">
        <v>41</v>
      </c>
      <c r="G548" s="3" t="str">
        <f t="shared" si="38"/>
        <v>2013</v>
      </c>
      <c r="H548" s="3">
        <f t="shared" si="36"/>
        <v>10</v>
      </c>
      <c r="I548" s="69"/>
      <c r="J548" s="3" t="s">
        <v>42</v>
      </c>
      <c r="K548" s="3" t="s">
        <v>318</v>
      </c>
      <c r="L548" s="3">
        <v>102.1</v>
      </c>
      <c r="M548" s="3">
        <v>470</v>
      </c>
      <c r="N548" s="3" t="str">
        <f t="shared" si="37"/>
        <v>2011</v>
      </c>
      <c r="O548" s="2">
        <v>354</v>
      </c>
      <c r="P548">
        <v>20.39</v>
      </c>
    </row>
    <row r="549" spans="1:27" x14ac:dyDescent="0.35">
      <c r="A549" s="3">
        <v>2023</v>
      </c>
      <c r="B549" s="3">
        <v>8</v>
      </c>
      <c r="C549" s="3">
        <v>2</v>
      </c>
      <c r="D549" s="2">
        <v>443</v>
      </c>
      <c r="E549" s="3">
        <v>3</v>
      </c>
      <c r="F549" s="3" t="s">
        <v>226</v>
      </c>
      <c r="G549" s="3" t="str">
        <f t="shared" si="38"/>
        <v>2017</v>
      </c>
      <c r="H549" s="3">
        <f t="shared" si="36"/>
        <v>6</v>
      </c>
      <c r="I549" s="69"/>
      <c r="J549" s="3" t="s">
        <v>228</v>
      </c>
      <c r="K549" s="3">
        <v>7</v>
      </c>
      <c r="L549" s="3">
        <v>52.9</v>
      </c>
      <c r="M549" s="3">
        <v>470</v>
      </c>
      <c r="N549" s="3" t="str">
        <f t="shared" si="37"/>
        <v>2017</v>
      </c>
      <c r="O549" s="2">
        <v>443</v>
      </c>
    </row>
    <row r="550" spans="1:27" x14ac:dyDescent="0.35">
      <c r="A550" s="3">
        <v>2023</v>
      </c>
      <c r="B550" s="3">
        <v>11</v>
      </c>
      <c r="C550" s="3">
        <v>8</v>
      </c>
      <c r="D550" s="2">
        <v>509</v>
      </c>
      <c r="E550" s="3">
        <v>4</v>
      </c>
      <c r="F550" s="3" t="s">
        <v>20</v>
      </c>
      <c r="G550" s="3" t="str">
        <f t="shared" si="38"/>
        <v>2020</v>
      </c>
      <c r="H550" s="3">
        <f t="shared" si="36"/>
        <v>3</v>
      </c>
      <c r="I550" s="69"/>
      <c r="J550" s="3" t="s">
        <v>73</v>
      </c>
      <c r="K550" s="3">
        <v>37</v>
      </c>
      <c r="L550" s="3">
        <v>105</v>
      </c>
      <c r="M550" s="3">
        <v>470</v>
      </c>
      <c r="N550" s="3" t="str">
        <f t="shared" si="37"/>
        <v>2018</v>
      </c>
      <c r="O550" s="2">
        <v>509</v>
      </c>
    </row>
    <row r="551" spans="1:27" x14ac:dyDescent="0.35">
      <c r="A551" s="3">
        <v>2024</v>
      </c>
      <c r="B551" s="3">
        <v>8</v>
      </c>
      <c r="C551" s="3">
        <v>20</v>
      </c>
      <c r="D551" s="2">
        <v>764</v>
      </c>
      <c r="E551" s="3">
        <v>3</v>
      </c>
      <c r="F551" s="3" t="s">
        <v>226</v>
      </c>
      <c r="G551" s="3" t="str">
        <f t="shared" si="38"/>
        <v>2017</v>
      </c>
      <c r="H551" s="3">
        <f t="shared" si="36"/>
        <v>7</v>
      </c>
      <c r="I551" s="69"/>
      <c r="J551" s="6" t="s">
        <v>228</v>
      </c>
      <c r="K551">
        <v>7</v>
      </c>
      <c r="L551">
        <v>101.9</v>
      </c>
      <c r="M551" s="3">
        <v>470</v>
      </c>
      <c r="N551" s="3" t="str">
        <f t="shared" si="37"/>
        <v>2017</v>
      </c>
      <c r="O551" s="2">
        <v>764</v>
      </c>
    </row>
    <row r="552" spans="1:27" x14ac:dyDescent="0.35">
      <c r="A552" s="3">
        <v>2024</v>
      </c>
      <c r="B552">
        <v>8</v>
      </c>
      <c r="C552" s="3">
        <v>19</v>
      </c>
      <c r="D552" s="2">
        <v>818</v>
      </c>
      <c r="E552" s="3">
        <v>3</v>
      </c>
      <c r="F552" s="3" t="s">
        <v>225</v>
      </c>
      <c r="G552" s="3" t="str">
        <f t="shared" si="38"/>
        <v>2021</v>
      </c>
      <c r="H552" s="3">
        <f t="shared" si="36"/>
        <v>3</v>
      </c>
      <c r="I552" s="69"/>
      <c r="J552">
        <v>3</v>
      </c>
      <c r="K552">
        <v>3</v>
      </c>
      <c r="L552">
        <v>96</v>
      </c>
      <c r="M552" s="3">
        <v>470</v>
      </c>
      <c r="N552" s="3" t="str">
        <f t="shared" si="37"/>
        <v>2021</v>
      </c>
      <c r="O552" s="2">
        <v>818</v>
      </c>
    </row>
    <row r="553" spans="1:27" x14ac:dyDescent="0.35">
      <c r="A553" s="3">
        <v>2023</v>
      </c>
      <c r="B553" s="3">
        <v>7</v>
      </c>
      <c r="C553" s="3">
        <v>19</v>
      </c>
      <c r="D553" s="2">
        <v>355</v>
      </c>
      <c r="E553" s="3">
        <v>3</v>
      </c>
      <c r="F553" s="3" t="s">
        <v>41</v>
      </c>
      <c r="G553" s="3" t="str">
        <f t="shared" si="38"/>
        <v>2013</v>
      </c>
      <c r="H553" s="3">
        <f t="shared" si="36"/>
        <v>10</v>
      </c>
      <c r="I553" s="69"/>
      <c r="J553" s="3" t="s">
        <v>42</v>
      </c>
      <c r="K553" s="3" t="s">
        <v>318</v>
      </c>
      <c r="L553" s="3">
        <v>103.1</v>
      </c>
      <c r="M553" s="3">
        <v>471</v>
      </c>
      <c r="N553" s="3" t="str">
        <f t="shared" si="37"/>
        <v>2011</v>
      </c>
      <c r="O553" s="2">
        <v>355</v>
      </c>
    </row>
    <row r="554" spans="1:27" x14ac:dyDescent="0.35">
      <c r="A554" s="3">
        <v>2023</v>
      </c>
      <c r="B554" s="3">
        <v>7</v>
      </c>
      <c r="C554" s="3">
        <v>17</v>
      </c>
      <c r="D554" s="2">
        <v>378</v>
      </c>
      <c r="E554" s="3">
        <v>3</v>
      </c>
      <c r="F554" s="3" t="s">
        <v>45</v>
      </c>
      <c r="G554" s="3" t="str">
        <f t="shared" si="38"/>
        <v>2011</v>
      </c>
      <c r="H554" s="3">
        <f t="shared" si="36"/>
        <v>12</v>
      </c>
      <c r="I554" s="69"/>
      <c r="J554" s="3" t="s">
        <v>46</v>
      </c>
      <c r="K554" s="3" t="s">
        <v>317</v>
      </c>
      <c r="L554" s="3">
        <v>95.5</v>
      </c>
      <c r="M554" s="3">
        <v>472</v>
      </c>
      <c r="N554" s="3" t="str">
        <f t="shared" si="37"/>
        <v>2007</v>
      </c>
      <c r="O554" s="2">
        <v>378</v>
      </c>
    </row>
    <row r="555" spans="1:27" x14ac:dyDescent="0.35">
      <c r="A555" s="3">
        <v>2024</v>
      </c>
      <c r="B555" s="3">
        <v>1</v>
      </c>
      <c r="C555" s="3">
        <v>18</v>
      </c>
      <c r="D555" s="2">
        <v>586</v>
      </c>
      <c r="E555" s="3">
        <v>1</v>
      </c>
      <c r="F555" s="3" t="s">
        <v>41</v>
      </c>
      <c r="G555" s="3" t="str">
        <f t="shared" si="38"/>
        <v>2012</v>
      </c>
      <c r="H555" s="3">
        <f t="shared" si="36"/>
        <v>12</v>
      </c>
      <c r="I555" s="69"/>
      <c r="J555" t="s">
        <v>1031</v>
      </c>
      <c r="K555" s="3" t="s">
        <v>461</v>
      </c>
      <c r="L555">
        <v>102.5</v>
      </c>
      <c r="M555" s="3">
        <v>472</v>
      </c>
      <c r="N555" s="3" t="str">
        <f t="shared" si="37"/>
        <v>2011</v>
      </c>
      <c r="O555" s="2">
        <v>586</v>
      </c>
      <c r="AA555">
        <v>22.26</v>
      </c>
    </row>
    <row r="556" spans="1:27" x14ac:dyDescent="0.35">
      <c r="A556" s="3">
        <v>2021</v>
      </c>
      <c r="B556" s="3" t="s">
        <v>28</v>
      </c>
      <c r="C556" s="3" t="s">
        <v>28</v>
      </c>
      <c r="D556" s="2">
        <v>474</v>
      </c>
      <c r="E556" s="3" t="s">
        <v>28</v>
      </c>
      <c r="F556" s="3" t="s">
        <v>226</v>
      </c>
      <c r="G556" s="3" t="str">
        <f t="shared" si="38"/>
        <v>2018</v>
      </c>
      <c r="H556" s="3">
        <f t="shared" si="36"/>
        <v>3</v>
      </c>
      <c r="I556" s="69"/>
      <c r="J556" s="3" t="s">
        <v>51</v>
      </c>
      <c r="K556" s="3" t="s">
        <v>927</v>
      </c>
      <c r="L556" s="16">
        <v>135</v>
      </c>
      <c r="M556" s="3">
        <v>473</v>
      </c>
      <c r="N556" s="3" t="str">
        <f t="shared" si="37"/>
        <v>2017</v>
      </c>
      <c r="O556" s="2">
        <v>474</v>
      </c>
    </row>
    <row r="557" spans="1:27" x14ac:dyDescent="0.35">
      <c r="A557" s="3">
        <v>2021</v>
      </c>
      <c r="B557" s="3">
        <v>10</v>
      </c>
      <c r="C557" s="3">
        <v>11</v>
      </c>
      <c r="D557" s="2">
        <v>478</v>
      </c>
      <c r="E557" s="3">
        <v>4</v>
      </c>
      <c r="F557" s="3" t="s">
        <v>226</v>
      </c>
      <c r="G557" s="3" t="str">
        <f t="shared" si="38"/>
        <v>2018</v>
      </c>
      <c r="H557" s="3">
        <f t="shared" si="36"/>
        <v>3</v>
      </c>
      <c r="I557" s="69"/>
      <c r="J557" s="3" t="s">
        <v>51</v>
      </c>
      <c r="K557" s="3" t="s">
        <v>929</v>
      </c>
      <c r="L557" s="16">
        <v>95</v>
      </c>
      <c r="M557" s="3">
        <v>473</v>
      </c>
      <c r="N557" s="3" t="str">
        <f t="shared" si="37"/>
        <v>2017</v>
      </c>
      <c r="O557" s="2">
        <v>478</v>
      </c>
    </row>
    <row r="558" spans="1:27" x14ac:dyDescent="0.35">
      <c r="A558" s="3">
        <v>2018</v>
      </c>
      <c r="B558" s="3">
        <v>8</v>
      </c>
      <c r="C558" s="3">
        <v>15</v>
      </c>
      <c r="D558" s="2">
        <v>305</v>
      </c>
      <c r="E558" s="3">
        <v>3</v>
      </c>
      <c r="F558" s="3" t="s">
        <v>41</v>
      </c>
      <c r="G558" s="3" t="str">
        <f t="shared" si="38"/>
        <v>2013</v>
      </c>
      <c r="H558" s="3">
        <f t="shared" si="36"/>
        <v>5</v>
      </c>
      <c r="I558" s="69"/>
      <c r="J558" s="3" t="s">
        <v>49</v>
      </c>
      <c r="K558" s="3" t="s">
        <v>318</v>
      </c>
      <c r="L558" s="3">
        <v>106.9</v>
      </c>
      <c r="M558" s="3">
        <v>474</v>
      </c>
      <c r="N558" s="3" t="str">
        <f t="shared" si="37"/>
        <v>2011</v>
      </c>
      <c r="O558" s="2">
        <v>305</v>
      </c>
    </row>
    <row r="559" spans="1:27" x14ac:dyDescent="0.35">
      <c r="A559" s="3">
        <v>2022</v>
      </c>
      <c r="B559" s="3">
        <v>11</v>
      </c>
      <c r="C559" s="3">
        <v>7</v>
      </c>
      <c r="D559" s="2">
        <v>128</v>
      </c>
      <c r="E559" s="15">
        <v>4</v>
      </c>
      <c r="F559" s="3" t="s">
        <v>41</v>
      </c>
      <c r="G559" s="3" t="str">
        <f t="shared" si="38"/>
        <v>2012</v>
      </c>
      <c r="H559" s="3">
        <f t="shared" si="36"/>
        <v>10</v>
      </c>
      <c r="I559" s="69"/>
      <c r="J559" s="3" t="s">
        <v>461</v>
      </c>
      <c r="K559" s="3" t="s">
        <v>461</v>
      </c>
      <c r="L559" s="3">
        <v>118.7</v>
      </c>
      <c r="M559" s="3">
        <v>476</v>
      </c>
      <c r="N559" s="3" t="str">
        <f t="shared" si="37"/>
        <v>2011</v>
      </c>
      <c r="O559" s="2">
        <v>128</v>
      </c>
    </row>
    <row r="560" spans="1:27" x14ac:dyDescent="0.35">
      <c r="A560" s="3">
        <v>2022</v>
      </c>
      <c r="B560" s="3">
        <v>11</v>
      </c>
      <c r="C560" s="3">
        <v>7</v>
      </c>
      <c r="D560" s="2">
        <v>128</v>
      </c>
      <c r="E560" s="15">
        <v>4</v>
      </c>
      <c r="F560" s="3" t="s">
        <v>41</v>
      </c>
      <c r="G560" s="3" t="str">
        <f t="shared" si="38"/>
        <v>2012</v>
      </c>
      <c r="H560" s="3">
        <f t="shared" si="36"/>
        <v>10</v>
      </c>
      <c r="I560" s="69"/>
      <c r="J560" s="3" t="s">
        <v>461</v>
      </c>
      <c r="K560" s="3" t="s">
        <v>461</v>
      </c>
      <c r="L560" s="3">
        <v>118.7</v>
      </c>
      <c r="M560" s="3">
        <v>476</v>
      </c>
      <c r="N560" s="3" t="str">
        <f t="shared" si="37"/>
        <v>2011</v>
      </c>
      <c r="O560" s="2">
        <v>128</v>
      </c>
    </row>
    <row r="561" spans="1:27" x14ac:dyDescent="0.35">
      <c r="A561" s="3">
        <v>2022</v>
      </c>
      <c r="B561" s="3">
        <v>11</v>
      </c>
      <c r="C561" s="3">
        <v>7</v>
      </c>
      <c r="D561" s="2">
        <v>128</v>
      </c>
      <c r="E561" s="15">
        <v>4</v>
      </c>
      <c r="F561" s="3" t="s">
        <v>41</v>
      </c>
      <c r="G561" s="3" t="str">
        <f t="shared" si="38"/>
        <v>2012</v>
      </c>
      <c r="H561" s="3">
        <f t="shared" si="36"/>
        <v>10</v>
      </c>
      <c r="I561" s="69"/>
      <c r="J561" s="3" t="s">
        <v>461</v>
      </c>
      <c r="K561" s="3" t="s">
        <v>461</v>
      </c>
      <c r="L561" s="3">
        <v>118.7</v>
      </c>
      <c r="M561" s="3">
        <v>476</v>
      </c>
      <c r="N561" s="3" t="str">
        <f t="shared" si="37"/>
        <v>2011</v>
      </c>
      <c r="O561" s="2">
        <v>128</v>
      </c>
    </row>
    <row r="562" spans="1:27" x14ac:dyDescent="0.35">
      <c r="A562" s="3">
        <v>2024</v>
      </c>
      <c r="B562" s="3">
        <v>3</v>
      </c>
      <c r="C562" s="3">
        <v>13</v>
      </c>
      <c r="D562" s="2">
        <v>693</v>
      </c>
      <c r="E562" s="3">
        <v>2</v>
      </c>
      <c r="F562" s="3" t="s">
        <v>226</v>
      </c>
      <c r="G562" s="3" t="str">
        <f t="shared" si="38"/>
        <v>2017</v>
      </c>
      <c r="H562" s="3">
        <f t="shared" si="36"/>
        <v>7</v>
      </c>
      <c r="I562" s="69"/>
      <c r="J562" t="s">
        <v>228</v>
      </c>
      <c r="K562">
        <v>7</v>
      </c>
      <c r="L562">
        <v>113.3</v>
      </c>
      <c r="M562" s="3">
        <v>476</v>
      </c>
      <c r="N562" s="3" t="str">
        <f t="shared" si="37"/>
        <v>2017</v>
      </c>
      <c r="O562" s="2">
        <v>693</v>
      </c>
    </row>
    <row r="563" spans="1:27" x14ac:dyDescent="0.35">
      <c r="A563" s="3">
        <v>2024</v>
      </c>
      <c r="B563" s="3">
        <v>3</v>
      </c>
      <c r="C563" s="3">
        <v>13</v>
      </c>
      <c r="D563" s="2">
        <v>693</v>
      </c>
      <c r="E563" s="3">
        <v>2</v>
      </c>
      <c r="F563" s="3" t="s">
        <v>226</v>
      </c>
      <c r="G563" s="3" t="str">
        <f t="shared" si="38"/>
        <v>2017</v>
      </c>
      <c r="H563" s="3">
        <f t="shared" si="36"/>
        <v>7</v>
      </c>
      <c r="I563" s="69"/>
      <c r="J563" t="s">
        <v>228</v>
      </c>
      <c r="K563">
        <v>7</v>
      </c>
      <c r="L563">
        <v>113.3</v>
      </c>
      <c r="M563" s="3">
        <v>476</v>
      </c>
      <c r="N563" s="3" t="str">
        <f t="shared" si="37"/>
        <v>2017</v>
      </c>
      <c r="O563" s="2">
        <v>693</v>
      </c>
    </row>
    <row r="564" spans="1:27" x14ac:dyDescent="0.35">
      <c r="A564" s="3">
        <v>2021</v>
      </c>
      <c r="B564" s="3">
        <v>10</v>
      </c>
      <c r="C564" s="3">
        <v>11</v>
      </c>
      <c r="D564" s="2">
        <v>479</v>
      </c>
      <c r="E564" s="3">
        <v>4</v>
      </c>
      <c r="F564" s="3" t="s">
        <v>226</v>
      </c>
      <c r="G564" s="3" t="str">
        <f t="shared" si="38"/>
        <v>2018</v>
      </c>
      <c r="H564" s="3">
        <f t="shared" si="36"/>
        <v>3</v>
      </c>
      <c r="I564" s="69"/>
      <c r="J564" s="3" t="s">
        <v>51</v>
      </c>
      <c r="K564" s="3" t="s">
        <v>929</v>
      </c>
      <c r="L564" s="16">
        <v>95</v>
      </c>
      <c r="M564" s="3">
        <v>477</v>
      </c>
      <c r="N564" s="3" t="str">
        <f t="shared" si="37"/>
        <v>2017</v>
      </c>
      <c r="O564" s="2">
        <v>479</v>
      </c>
    </row>
    <row r="565" spans="1:27" x14ac:dyDescent="0.35">
      <c r="A565" s="3">
        <v>2016</v>
      </c>
      <c r="B565" s="3">
        <v>11</v>
      </c>
      <c r="C565" s="3">
        <v>8</v>
      </c>
      <c r="D565" s="2">
        <v>186</v>
      </c>
      <c r="E565" s="3">
        <v>4</v>
      </c>
      <c r="F565" s="3" t="s">
        <v>45</v>
      </c>
      <c r="G565" s="3" t="str">
        <f t="shared" si="38"/>
        <v>2011</v>
      </c>
      <c r="H565" s="3">
        <f t="shared" si="36"/>
        <v>5</v>
      </c>
      <c r="I565" s="69"/>
      <c r="J565" s="3" t="s">
        <v>46</v>
      </c>
      <c r="K565" s="3" t="s">
        <v>317</v>
      </c>
      <c r="L565" s="3">
        <v>120.8</v>
      </c>
      <c r="M565" s="3">
        <v>478</v>
      </c>
      <c r="N565" s="3" t="str">
        <f t="shared" si="37"/>
        <v>2007</v>
      </c>
      <c r="O565" s="2">
        <v>186</v>
      </c>
    </row>
    <row r="566" spans="1:27" x14ac:dyDescent="0.35">
      <c r="A566" s="3">
        <v>2016</v>
      </c>
      <c r="B566" s="3">
        <v>11</v>
      </c>
      <c r="C566" s="3">
        <v>8</v>
      </c>
      <c r="D566" s="2">
        <v>186</v>
      </c>
      <c r="E566" s="3">
        <v>4</v>
      </c>
      <c r="F566" s="3" t="s">
        <v>45</v>
      </c>
      <c r="G566" s="3" t="str">
        <f t="shared" si="38"/>
        <v>2011</v>
      </c>
      <c r="H566" s="3">
        <f t="shared" si="36"/>
        <v>5</v>
      </c>
      <c r="I566" s="69"/>
      <c r="J566" s="3" t="s">
        <v>46</v>
      </c>
      <c r="K566" s="3" t="s">
        <v>317</v>
      </c>
      <c r="L566" s="3">
        <v>120.8</v>
      </c>
      <c r="M566" s="3">
        <v>478</v>
      </c>
      <c r="N566" s="3" t="str">
        <f t="shared" si="37"/>
        <v>2007</v>
      </c>
      <c r="O566" s="2">
        <v>186</v>
      </c>
    </row>
    <row r="567" spans="1:27" x14ac:dyDescent="0.35">
      <c r="A567" s="3">
        <v>2023</v>
      </c>
      <c r="B567" s="3">
        <v>7</v>
      </c>
      <c r="C567" s="3">
        <v>21</v>
      </c>
      <c r="D567" s="2">
        <v>445</v>
      </c>
      <c r="E567" s="3">
        <v>3</v>
      </c>
      <c r="F567" s="3" t="s">
        <v>20</v>
      </c>
      <c r="G567" s="3" t="str">
        <f t="shared" si="38"/>
        <v>2020</v>
      </c>
      <c r="H567" s="3">
        <f t="shared" si="36"/>
        <v>3</v>
      </c>
      <c r="I567" s="69"/>
      <c r="J567" s="3" t="s">
        <v>70</v>
      </c>
      <c r="K567" s="3">
        <v>37</v>
      </c>
      <c r="L567" s="3">
        <v>116.4</v>
      </c>
      <c r="M567" s="3">
        <v>478</v>
      </c>
      <c r="N567" s="3" t="str">
        <f t="shared" si="37"/>
        <v>2018</v>
      </c>
      <c r="O567" s="2">
        <v>445</v>
      </c>
    </row>
    <row r="568" spans="1:27" x14ac:dyDescent="0.35">
      <c r="A568" s="3">
        <v>2024</v>
      </c>
      <c r="B568" s="3">
        <v>1</v>
      </c>
      <c r="C568" s="3">
        <v>22</v>
      </c>
      <c r="D568" s="2">
        <v>551</v>
      </c>
      <c r="E568" s="3">
        <v>1</v>
      </c>
      <c r="F568" s="3" t="s">
        <v>20</v>
      </c>
      <c r="G568" s="3" t="str">
        <f t="shared" si="38"/>
        <v>2020</v>
      </c>
      <c r="H568" s="3">
        <f t="shared" si="36"/>
        <v>4</v>
      </c>
      <c r="I568" s="69"/>
      <c r="J568" s="3" t="s">
        <v>70</v>
      </c>
      <c r="K568">
        <v>37</v>
      </c>
      <c r="L568">
        <v>118.1</v>
      </c>
      <c r="M568" s="3">
        <v>478</v>
      </c>
      <c r="N568" s="3" t="str">
        <f t="shared" si="37"/>
        <v>2018</v>
      </c>
      <c r="O568" s="2">
        <v>551</v>
      </c>
    </row>
    <row r="569" spans="1:27" x14ac:dyDescent="0.35">
      <c r="A569" s="3">
        <v>2017</v>
      </c>
      <c r="B569" s="3">
        <v>1</v>
      </c>
      <c r="C569" s="3">
        <v>20</v>
      </c>
      <c r="D569" s="2">
        <v>98</v>
      </c>
      <c r="E569" s="15">
        <v>1</v>
      </c>
      <c r="F569" s="3" t="s">
        <v>41</v>
      </c>
      <c r="G569" s="3" t="str">
        <f t="shared" si="38"/>
        <v>2012</v>
      </c>
      <c r="H569" s="3">
        <f t="shared" si="36"/>
        <v>5</v>
      </c>
      <c r="I569" s="69"/>
      <c r="J569" s="3" t="s">
        <v>546</v>
      </c>
      <c r="K569" s="3" t="s">
        <v>461</v>
      </c>
      <c r="L569" s="3">
        <v>115.2</v>
      </c>
      <c r="M569" s="3">
        <v>480</v>
      </c>
      <c r="N569" s="3" t="str">
        <f t="shared" si="37"/>
        <v>2011</v>
      </c>
      <c r="O569" s="2">
        <v>98</v>
      </c>
      <c r="AA569">
        <v>8.77</v>
      </c>
    </row>
    <row r="570" spans="1:27" x14ac:dyDescent="0.35">
      <c r="A570" s="3">
        <v>2016</v>
      </c>
      <c r="B570" s="3">
        <v>11</v>
      </c>
      <c r="C570" s="3">
        <v>7</v>
      </c>
      <c r="D570" s="2">
        <v>204</v>
      </c>
      <c r="E570" s="3">
        <v>4</v>
      </c>
      <c r="F570" s="3" t="s">
        <v>45</v>
      </c>
      <c r="G570" s="3" t="str">
        <f t="shared" si="38"/>
        <v>2009</v>
      </c>
      <c r="H570" s="3">
        <f t="shared" si="36"/>
        <v>7</v>
      </c>
      <c r="I570" s="69"/>
      <c r="J570" s="3" t="s">
        <v>657</v>
      </c>
      <c r="K570" s="3" t="s">
        <v>488</v>
      </c>
      <c r="L570" s="3">
        <v>113.2</v>
      </c>
      <c r="M570" s="3">
        <v>480</v>
      </c>
      <c r="N570" s="3" t="str">
        <f t="shared" si="37"/>
        <v>2007</v>
      </c>
      <c r="O570" s="2">
        <v>204</v>
      </c>
    </row>
    <row r="571" spans="1:27" x14ac:dyDescent="0.35">
      <c r="A571" s="3">
        <v>2024</v>
      </c>
      <c r="B571" s="3">
        <v>8</v>
      </c>
      <c r="C571" s="3">
        <v>19</v>
      </c>
      <c r="D571" s="2">
        <v>793</v>
      </c>
      <c r="E571" s="3">
        <v>3</v>
      </c>
      <c r="F571" s="3" t="s">
        <v>225</v>
      </c>
      <c r="G571" s="3" t="str">
        <f t="shared" si="38"/>
        <v>2021</v>
      </c>
      <c r="H571" s="3">
        <f t="shared" si="36"/>
        <v>3</v>
      </c>
      <c r="I571" s="69"/>
      <c r="J571">
        <v>3</v>
      </c>
      <c r="K571">
        <v>3</v>
      </c>
      <c r="L571">
        <v>128.30000000000001</v>
      </c>
      <c r="M571" s="3">
        <v>481</v>
      </c>
      <c r="N571" s="3" t="str">
        <f t="shared" si="37"/>
        <v>2021</v>
      </c>
      <c r="O571" s="2">
        <v>793</v>
      </c>
    </row>
    <row r="572" spans="1:27" x14ac:dyDescent="0.35">
      <c r="A572" s="3">
        <v>2024</v>
      </c>
      <c r="B572" s="3">
        <v>1</v>
      </c>
      <c r="C572" s="3">
        <v>19</v>
      </c>
      <c r="D572" s="2">
        <v>599</v>
      </c>
      <c r="E572" s="3">
        <v>1</v>
      </c>
      <c r="F572" s="3" t="s">
        <v>41</v>
      </c>
      <c r="G572" s="3" t="str">
        <f t="shared" si="38"/>
        <v>2012</v>
      </c>
      <c r="H572" s="3">
        <f t="shared" si="36"/>
        <v>12</v>
      </c>
      <c r="I572" s="69"/>
      <c r="J572" t="s">
        <v>541</v>
      </c>
      <c r="K572" s="3" t="s">
        <v>461</v>
      </c>
      <c r="L572">
        <v>122.2</v>
      </c>
      <c r="M572" s="3">
        <v>482</v>
      </c>
      <c r="N572" s="3" t="str">
        <f t="shared" si="37"/>
        <v>2011</v>
      </c>
      <c r="O572" s="2">
        <v>599</v>
      </c>
    </row>
    <row r="573" spans="1:27" x14ac:dyDescent="0.35">
      <c r="A573" s="3">
        <v>2011</v>
      </c>
      <c r="B573" s="3">
        <v>11</v>
      </c>
      <c r="C573" s="3">
        <v>14</v>
      </c>
      <c r="D573" s="2">
        <v>612</v>
      </c>
      <c r="E573" s="3">
        <v>4</v>
      </c>
      <c r="F573" s="3" t="s">
        <v>45</v>
      </c>
      <c r="G573" s="3" t="str">
        <f t="shared" si="38"/>
        <v>2009</v>
      </c>
      <c r="H573" s="3">
        <f t="shared" si="36"/>
        <v>2</v>
      </c>
      <c r="I573" s="69"/>
      <c r="J573" t="s">
        <v>711</v>
      </c>
      <c r="K573" s="3" t="s">
        <v>512</v>
      </c>
      <c r="L573">
        <v>145.30000000000001</v>
      </c>
      <c r="M573" s="3">
        <v>482</v>
      </c>
      <c r="N573" s="3" t="str">
        <f t="shared" si="37"/>
        <v>2007</v>
      </c>
      <c r="O573" s="2">
        <v>612</v>
      </c>
    </row>
    <row r="574" spans="1:27" x14ac:dyDescent="0.35">
      <c r="A574" s="3">
        <v>2024</v>
      </c>
      <c r="B574" s="3">
        <v>3</v>
      </c>
      <c r="C574" s="3">
        <v>28</v>
      </c>
      <c r="D574" s="2">
        <v>681</v>
      </c>
      <c r="E574" s="3">
        <v>2</v>
      </c>
      <c r="F574" s="3" t="s">
        <v>41</v>
      </c>
      <c r="G574" s="3" t="str">
        <f t="shared" si="38"/>
        <v>2013</v>
      </c>
      <c r="H574" s="3">
        <f t="shared" si="36"/>
        <v>11</v>
      </c>
      <c r="I574" s="69"/>
      <c r="J574" t="s">
        <v>49</v>
      </c>
      <c r="K574" t="s">
        <v>318</v>
      </c>
      <c r="L574">
        <v>117.6</v>
      </c>
      <c r="M574" s="3">
        <v>485</v>
      </c>
      <c r="N574" s="3" t="str">
        <f t="shared" si="37"/>
        <v>2011</v>
      </c>
      <c r="O574" s="2">
        <v>681</v>
      </c>
    </row>
    <row r="575" spans="1:27" x14ac:dyDescent="0.35">
      <c r="A575" s="3">
        <v>2024</v>
      </c>
      <c r="B575" s="3">
        <v>8</v>
      </c>
      <c r="C575" s="3">
        <v>6</v>
      </c>
      <c r="D575" s="2">
        <v>705</v>
      </c>
      <c r="E575" s="3">
        <v>3</v>
      </c>
      <c r="F575" s="3" t="s">
        <v>20</v>
      </c>
      <c r="G575" s="3" t="str">
        <f t="shared" si="38"/>
        <v>2020</v>
      </c>
      <c r="H575" s="3">
        <f t="shared" si="36"/>
        <v>4</v>
      </c>
      <c r="I575" s="69"/>
      <c r="J575" t="s">
        <v>233</v>
      </c>
      <c r="K575">
        <v>37</v>
      </c>
      <c r="L575">
        <v>107.3</v>
      </c>
      <c r="M575" s="3">
        <v>486</v>
      </c>
      <c r="N575" s="3" t="str">
        <f t="shared" si="37"/>
        <v>2018</v>
      </c>
      <c r="O575" s="2">
        <v>705</v>
      </c>
    </row>
    <row r="576" spans="1:27" x14ac:dyDescent="0.35">
      <c r="A576" s="3">
        <v>2017</v>
      </c>
      <c r="B576" s="3">
        <v>11</v>
      </c>
      <c r="C576" s="3">
        <v>13</v>
      </c>
      <c r="D576" s="2">
        <v>70</v>
      </c>
      <c r="E576" s="15">
        <v>4</v>
      </c>
      <c r="F576" s="3" t="s">
        <v>41</v>
      </c>
      <c r="G576" s="3" t="str">
        <f t="shared" si="38"/>
        <v>2013</v>
      </c>
      <c r="H576" s="3">
        <f t="shared" si="36"/>
        <v>4</v>
      </c>
      <c r="I576" s="69"/>
      <c r="J576" s="3" t="s">
        <v>42</v>
      </c>
      <c r="K576" s="3" t="s">
        <v>318</v>
      </c>
      <c r="L576" s="3">
        <v>111.5</v>
      </c>
      <c r="M576" s="3">
        <v>487</v>
      </c>
      <c r="N576" s="3" t="str">
        <f t="shared" si="37"/>
        <v>2011</v>
      </c>
      <c r="O576" s="2">
        <v>70</v>
      </c>
    </row>
    <row r="577" spans="1:15" x14ac:dyDescent="0.35">
      <c r="A577" s="3">
        <v>2024</v>
      </c>
      <c r="B577" s="3">
        <v>1</v>
      </c>
      <c r="C577" s="3">
        <v>25</v>
      </c>
      <c r="D577" s="2">
        <v>600</v>
      </c>
      <c r="E577" s="3">
        <v>1</v>
      </c>
      <c r="F577" s="3" t="s">
        <v>226</v>
      </c>
      <c r="G577" s="3" t="str">
        <f t="shared" si="38"/>
        <v>2017</v>
      </c>
      <c r="H577" s="3">
        <f t="shared" si="36"/>
        <v>7</v>
      </c>
      <c r="I577" s="69"/>
      <c r="J577" t="s">
        <v>228</v>
      </c>
      <c r="K577">
        <v>7</v>
      </c>
      <c r="L577">
        <v>110.9</v>
      </c>
      <c r="M577" s="3">
        <v>487</v>
      </c>
      <c r="N577" s="3" t="str">
        <f t="shared" si="37"/>
        <v>2017</v>
      </c>
      <c r="O577" s="2">
        <v>600</v>
      </c>
    </row>
    <row r="578" spans="1:15" x14ac:dyDescent="0.35">
      <c r="A578" s="3">
        <v>2019</v>
      </c>
      <c r="B578" s="3">
        <v>11</v>
      </c>
      <c r="C578" s="3">
        <v>27</v>
      </c>
      <c r="D578" s="2">
        <v>39</v>
      </c>
      <c r="E578" s="3">
        <v>4</v>
      </c>
      <c r="F578" s="3" t="s">
        <v>45</v>
      </c>
      <c r="G578" s="3" t="str">
        <f t="shared" si="38"/>
        <v>2011</v>
      </c>
      <c r="H578" s="3">
        <f t="shared" ref="H578:H641" si="39">SUM(A578-G578)</f>
        <v>8</v>
      </c>
      <c r="I578" s="69"/>
      <c r="J578" s="3" t="s">
        <v>317</v>
      </c>
      <c r="K578" s="3" t="s">
        <v>317</v>
      </c>
      <c r="L578" s="3">
        <v>98.5</v>
      </c>
      <c r="M578" s="3">
        <v>488</v>
      </c>
      <c r="N578" s="3" t="str">
        <f t="shared" ref="N578:N641" si="40">IF(F578="PHD", "2007", IF(F578="TSL", "2011", IF(F578 = "SRS", "2018", IF(F578="WCA 3B", "2017", IF(F578="WCA 3A", "2021")))))</f>
        <v>2007</v>
      </c>
      <c r="O578" s="2">
        <v>39</v>
      </c>
    </row>
    <row r="579" spans="1:15" x14ac:dyDescent="0.35">
      <c r="A579" s="3">
        <v>2023</v>
      </c>
      <c r="B579" s="3">
        <v>2</v>
      </c>
      <c r="C579" s="3">
        <v>18</v>
      </c>
      <c r="D579" s="2">
        <v>146</v>
      </c>
      <c r="E579" s="15">
        <v>1</v>
      </c>
      <c r="F579" s="3" t="s">
        <v>41</v>
      </c>
      <c r="G579" s="3" t="str">
        <f t="shared" si="38"/>
        <v>2013</v>
      </c>
      <c r="H579" s="3">
        <f t="shared" si="39"/>
        <v>10</v>
      </c>
      <c r="I579" s="69"/>
      <c r="J579" s="3" t="s">
        <v>91</v>
      </c>
      <c r="K579" s="3" t="s">
        <v>318</v>
      </c>
      <c r="L579" s="3">
        <v>120.9</v>
      </c>
      <c r="M579" s="3">
        <v>489</v>
      </c>
      <c r="N579" s="3" t="str">
        <f t="shared" si="40"/>
        <v>2011</v>
      </c>
      <c r="O579" s="2">
        <v>146</v>
      </c>
    </row>
    <row r="580" spans="1:15" x14ac:dyDescent="0.35">
      <c r="A580" s="3">
        <v>2021</v>
      </c>
      <c r="B580" s="3">
        <v>10</v>
      </c>
      <c r="C580" s="3">
        <v>11</v>
      </c>
      <c r="D580" s="2">
        <v>460</v>
      </c>
      <c r="E580" s="3">
        <v>4</v>
      </c>
      <c r="F580" s="3" t="s">
        <v>226</v>
      </c>
      <c r="G580" s="3" t="str">
        <f t="shared" si="38"/>
        <v>2018</v>
      </c>
      <c r="H580" s="3">
        <f t="shared" si="39"/>
        <v>3</v>
      </c>
      <c r="I580" s="69"/>
      <c r="J580" s="3" t="s">
        <v>51</v>
      </c>
      <c r="K580" s="3" t="s">
        <v>916</v>
      </c>
      <c r="L580" s="16">
        <v>120</v>
      </c>
      <c r="M580" s="3">
        <v>489</v>
      </c>
      <c r="N580" s="3" t="str">
        <f t="shared" si="40"/>
        <v>2017</v>
      </c>
      <c r="O580" s="2">
        <v>460</v>
      </c>
    </row>
    <row r="581" spans="1:15" x14ac:dyDescent="0.35">
      <c r="A581" s="3">
        <v>2024</v>
      </c>
      <c r="B581" s="3">
        <v>1</v>
      </c>
      <c r="C581" s="3">
        <v>22</v>
      </c>
      <c r="D581" s="2">
        <v>568</v>
      </c>
      <c r="E581" s="3">
        <v>1</v>
      </c>
      <c r="F581" s="3" t="s">
        <v>20</v>
      </c>
      <c r="G581" s="3" t="str">
        <f t="shared" si="38"/>
        <v>2020</v>
      </c>
      <c r="H581" s="3">
        <f t="shared" si="39"/>
        <v>4</v>
      </c>
      <c r="I581" s="69"/>
      <c r="J581" t="s">
        <v>231</v>
      </c>
      <c r="K581">
        <v>8</v>
      </c>
      <c r="L581">
        <v>303.39999999999998</v>
      </c>
      <c r="M581" s="3">
        <v>490</v>
      </c>
      <c r="N581" s="3" t="str">
        <f t="shared" si="40"/>
        <v>2018</v>
      </c>
      <c r="O581" s="2">
        <v>568</v>
      </c>
    </row>
    <row r="582" spans="1:15" x14ac:dyDescent="0.35">
      <c r="A582" s="3">
        <v>2021</v>
      </c>
      <c r="B582" s="3">
        <v>10</v>
      </c>
      <c r="C582" s="3" t="s">
        <v>28</v>
      </c>
      <c r="D582" s="2">
        <v>33</v>
      </c>
      <c r="E582" s="3">
        <v>4</v>
      </c>
      <c r="F582" s="3" t="s">
        <v>41</v>
      </c>
      <c r="G582" s="3" t="str">
        <f t="shared" si="38"/>
        <v>2012</v>
      </c>
      <c r="H582" s="3">
        <f t="shared" si="39"/>
        <v>9</v>
      </c>
      <c r="I582" s="69"/>
      <c r="J582" s="3" t="s">
        <v>461</v>
      </c>
      <c r="K582" s="3" t="s">
        <v>461</v>
      </c>
      <c r="L582" s="3">
        <v>108.8</v>
      </c>
      <c r="M582" s="3">
        <v>491</v>
      </c>
      <c r="N582" s="3" t="str">
        <f t="shared" si="40"/>
        <v>2011</v>
      </c>
      <c r="O582" s="2">
        <v>33</v>
      </c>
    </row>
    <row r="583" spans="1:15" x14ac:dyDescent="0.35">
      <c r="A583" s="3">
        <v>2021</v>
      </c>
      <c r="B583" s="3">
        <v>10</v>
      </c>
      <c r="C583" s="3">
        <v>11</v>
      </c>
      <c r="D583" s="2">
        <v>473</v>
      </c>
      <c r="E583" s="3">
        <v>4</v>
      </c>
      <c r="F583" s="3" t="s">
        <v>226</v>
      </c>
      <c r="G583" s="3" t="str">
        <f t="shared" ref="G583:G646" si="41">IF(K583="A55","2009",IF(K583="A59","2009",IF(K583="A60","2010",IF(K583="A62","2011",IF(K583="CP","2013",IF(K583="MD","2012",IF(K583="TS","2013",IF(K583="DL","2018",IF(K583="SCU","2018",IF(K583="NCU","2018",IF(K583="C1C","2018",IF(K583="C1E","2018",IF(K583="RS1S","2018",IF(K583="C2B","2018",IF(K583="DB3","2018",IF(AND(K583=6,F583="SRS"),"2018",IF(AND(K583=7,F583="SRS"),"2020",IF(AND(K583=8,F583="SRS"),"2020",IF(K583=23,"2019",IF(AND(K583=7,F583="WCA 3B"),"2017",IF(AND(K583=8,F583="WCA 3B"),"2019",IF(K583=1,"2021",IF(K583=2,"2022",IF(K583=3,"2021",IF(K583=4,"2021",IF(K583=5,"2022",IF(AND(K583=6,F583="WCA 3A"),"2022",IF(K583=9,"2023",IF(K583=10,"2023",IF(K583=37,"2020"))))))))))))))))))))))))))))))</f>
        <v>2018</v>
      </c>
      <c r="H583" s="3">
        <f t="shared" si="39"/>
        <v>3</v>
      </c>
      <c r="I583" s="69"/>
      <c r="J583" s="3" t="s">
        <v>51</v>
      </c>
      <c r="K583" s="3" t="s">
        <v>929</v>
      </c>
      <c r="L583" s="16">
        <v>120</v>
      </c>
      <c r="M583" s="3">
        <v>491</v>
      </c>
      <c r="N583" s="3" t="str">
        <f t="shared" si="40"/>
        <v>2017</v>
      </c>
      <c r="O583" s="2">
        <v>473</v>
      </c>
    </row>
    <row r="584" spans="1:15" x14ac:dyDescent="0.35">
      <c r="A584" s="3">
        <v>2021</v>
      </c>
      <c r="B584" s="3">
        <v>10</v>
      </c>
      <c r="C584" s="3">
        <v>11</v>
      </c>
      <c r="D584" s="2">
        <v>468</v>
      </c>
      <c r="E584" s="3">
        <v>4</v>
      </c>
      <c r="F584" s="3" t="s">
        <v>226</v>
      </c>
      <c r="G584" s="3" t="str">
        <f t="shared" si="41"/>
        <v>2018</v>
      </c>
      <c r="H584" s="3">
        <f t="shared" si="39"/>
        <v>3</v>
      </c>
      <c r="I584" s="69"/>
      <c r="J584" s="3" t="s">
        <v>51</v>
      </c>
      <c r="K584" s="3" t="s">
        <v>920</v>
      </c>
      <c r="L584" s="16">
        <v>105</v>
      </c>
      <c r="M584" s="3">
        <v>492</v>
      </c>
      <c r="N584" s="3" t="str">
        <f t="shared" si="40"/>
        <v>2017</v>
      </c>
      <c r="O584" s="2">
        <v>468</v>
      </c>
    </row>
    <row r="585" spans="1:15" x14ac:dyDescent="0.35">
      <c r="A585" s="3">
        <v>2021</v>
      </c>
      <c r="B585" s="3">
        <v>10</v>
      </c>
      <c r="C585" s="3">
        <v>11</v>
      </c>
      <c r="D585" s="2">
        <v>464</v>
      </c>
      <c r="E585" s="3">
        <v>4</v>
      </c>
      <c r="F585" s="3" t="s">
        <v>226</v>
      </c>
      <c r="G585" s="3" t="str">
        <f t="shared" si="41"/>
        <v>2018</v>
      </c>
      <c r="H585" s="3">
        <f t="shared" si="39"/>
        <v>3</v>
      </c>
      <c r="I585" s="69"/>
      <c r="J585" s="3" t="s">
        <v>51</v>
      </c>
      <c r="K585" s="3" t="s">
        <v>920</v>
      </c>
      <c r="L585" s="16">
        <v>110</v>
      </c>
      <c r="M585" s="3">
        <v>493</v>
      </c>
      <c r="N585" s="3" t="str">
        <f t="shared" si="40"/>
        <v>2017</v>
      </c>
      <c r="O585" s="2">
        <v>464</v>
      </c>
    </row>
    <row r="586" spans="1:15" x14ac:dyDescent="0.35">
      <c r="A586" s="3">
        <v>2021</v>
      </c>
      <c r="B586" s="3">
        <v>4</v>
      </c>
      <c r="C586" s="3">
        <v>13</v>
      </c>
      <c r="D586" s="2">
        <v>497</v>
      </c>
      <c r="E586" s="3">
        <v>2</v>
      </c>
      <c r="F586" s="3" t="s">
        <v>226</v>
      </c>
      <c r="G586" s="3" t="str">
        <f t="shared" si="41"/>
        <v>2018</v>
      </c>
      <c r="H586" s="3">
        <f t="shared" si="39"/>
        <v>3</v>
      </c>
      <c r="I586" s="69"/>
      <c r="J586" s="3" t="s">
        <v>51</v>
      </c>
      <c r="K586" s="3" t="s">
        <v>916</v>
      </c>
      <c r="L586" s="16">
        <v>135</v>
      </c>
      <c r="M586" s="3">
        <v>495</v>
      </c>
      <c r="N586" s="3" t="str">
        <f t="shared" si="40"/>
        <v>2017</v>
      </c>
      <c r="O586" s="2">
        <v>497</v>
      </c>
    </row>
    <row r="587" spans="1:15" x14ac:dyDescent="0.35">
      <c r="A587" s="3">
        <v>2016</v>
      </c>
      <c r="B587" s="3">
        <v>9</v>
      </c>
      <c r="C587" s="3">
        <v>1</v>
      </c>
      <c r="D587" s="2">
        <v>234</v>
      </c>
      <c r="E587" s="3">
        <v>3</v>
      </c>
      <c r="F587" s="3" t="s">
        <v>45</v>
      </c>
      <c r="G587" s="3" t="str">
        <f t="shared" si="41"/>
        <v>2011</v>
      </c>
      <c r="H587" s="3">
        <f t="shared" si="39"/>
        <v>5</v>
      </c>
      <c r="I587" s="69"/>
      <c r="J587" s="3" t="s">
        <v>647</v>
      </c>
      <c r="K587" s="3" t="s">
        <v>317</v>
      </c>
      <c r="L587" s="3">
        <v>128.19999999999999</v>
      </c>
      <c r="M587" s="3">
        <v>498</v>
      </c>
      <c r="N587" s="3" t="str">
        <f t="shared" si="40"/>
        <v>2007</v>
      </c>
      <c r="O587" s="2">
        <v>234</v>
      </c>
    </row>
    <row r="588" spans="1:15" x14ac:dyDescent="0.35">
      <c r="A588" s="3">
        <v>2018</v>
      </c>
      <c r="B588" s="3">
        <v>8</v>
      </c>
      <c r="C588" s="3">
        <v>16</v>
      </c>
      <c r="D588" s="2">
        <v>323</v>
      </c>
      <c r="E588" s="3">
        <v>3</v>
      </c>
      <c r="F588" s="3" t="s">
        <v>45</v>
      </c>
      <c r="G588" s="3" t="str">
        <f t="shared" si="41"/>
        <v>2011</v>
      </c>
      <c r="H588" s="3">
        <f t="shared" si="39"/>
        <v>7</v>
      </c>
      <c r="I588" s="69"/>
      <c r="J588" s="3" t="s">
        <v>647</v>
      </c>
      <c r="K588" s="3" t="s">
        <v>317</v>
      </c>
      <c r="L588" s="3">
        <v>108.5</v>
      </c>
      <c r="M588" s="3">
        <v>500</v>
      </c>
      <c r="N588" s="3" t="str">
        <f t="shared" si="40"/>
        <v>2007</v>
      </c>
      <c r="O588" s="2">
        <v>323</v>
      </c>
    </row>
    <row r="589" spans="1:15" x14ac:dyDescent="0.35">
      <c r="A589" s="3">
        <v>2024</v>
      </c>
      <c r="B589" s="3">
        <v>1</v>
      </c>
      <c r="C589" s="3">
        <v>30</v>
      </c>
      <c r="D589" s="2">
        <v>641</v>
      </c>
      <c r="E589" s="3">
        <v>1</v>
      </c>
      <c r="F589" s="3" t="s">
        <v>225</v>
      </c>
      <c r="G589" s="3" t="str">
        <f t="shared" si="41"/>
        <v>2021</v>
      </c>
      <c r="H589" s="3">
        <f t="shared" si="39"/>
        <v>3</v>
      </c>
      <c r="I589" s="69"/>
      <c r="J589" t="s">
        <v>1076</v>
      </c>
      <c r="K589">
        <v>3</v>
      </c>
      <c r="L589">
        <v>135.80000000000001</v>
      </c>
      <c r="M589" s="3">
        <v>500</v>
      </c>
      <c r="N589" s="3" t="str">
        <f t="shared" si="40"/>
        <v>2021</v>
      </c>
      <c r="O589" s="2">
        <v>641</v>
      </c>
    </row>
    <row r="590" spans="1:15" x14ac:dyDescent="0.35">
      <c r="A590" s="3">
        <v>2024</v>
      </c>
      <c r="B590" s="3">
        <v>8</v>
      </c>
      <c r="C590" s="3">
        <v>19</v>
      </c>
      <c r="D590" s="2">
        <v>794</v>
      </c>
      <c r="E590" s="3">
        <v>3</v>
      </c>
      <c r="F590" s="3" t="s">
        <v>225</v>
      </c>
      <c r="G590" s="3" t="str">
        <f t="shared" si="41"/>
        <v>2021</v>
      </c>
      <c r="H590" s="3">
        <f t="shared" si="39"/>
        <v>3</v>
      </c>
      <c r="I590" s="69"/>
      <c r="J590">
        <v>3</v>
      </c>
      <c r="K590">
        <v>3</v>
      </c>
      <c r="L590">
        <v>148.80000000000001</v>
      </c>
      <c r="M590" s="3">
        <v>502</v>
      </c>
      <c r="N590" s="3" t="str">
        <f t="shared" si="40"/>
        <v>2021</v>
      </c>
      <c r="O590" s="2">
        <v>794</v>
      </c>
    </row>
    <row r="591" spans="1:15" x14ac:dyDescent="0.35">
      <c r="A591" s="3">
        <v>2021</v>
      </c>
      <c r="B591" s="3">
        <v>10</v>
      </c>
      <c r="C591" s="3">
        <v>11</v>
      </c>
      <c r="D591" s="2">
        <v>477</v>
      </c>
      <c r="E591" s="3">
        <v>4</v>
      </c>
      <c r="F591" s="3" t="s">
        <v>226</v>
      </c>
      <c r="G591" s="3" t="str">
        <f t="shared" si="41"/>
        <v>2018</v>
      </c>
      <c r="H591" s="3">
        <f t="shared" si="39"/>
        <v>3</v>
      </c>
      <c r="I591" s="69"/>
      <c r="J591" s="3" t="s">
        <v>51</v>
      </c>
      <c r="K591" s="3" t="s">
        <v>929</v>
      </c>
      <c r="L591" s="16">
        <v>120</v>
      </c>
      <c r="M591" s="3">
        <v>504</v>
      </c>
      <c r="N591" s="3" t="str">
        <f t="shared" si="40"/>
        <v>2017</v>
      </c>
      <c r="O591" s="2">
        <v>477</v>
      </c>
    </row>
    <row r="592" spans="1:15" x14ac:dyDescent="0.35">
      <c r="A592" s="3">
        <v>2024</v>
      </c>
      <c r="B592">
        <v>8</v>
      </c>
      <c r="C592" s="3">
        <v>14</v>
      </c>
      <c r="D592" s="2">
        <v>860</v>
      </c>
      <c r="E592" s="3">
        <v>3</v>
      </c>
      <c r="F592" t="s">
        <v>225</v>
      </c>
      <c r="G592" s="3" t="str">
        <f t="shared" si="41"/>
        <v>2021</v>
      </c>
      <c r="H592" s="3">
        <f t="shared" si="39"/>
        <v>3</v>
      </c>
      <c r="I592" s="69"/>
      <c r="J592" t="s">
        <v>76</v>
      </c>
      <c r="K592">
        <v>1</v>
      </c>
      <c r="L592">
        <v>135.30000000000001</v>
      </c>
      <c r="M592" s="3">
        <v>504</v>
      </c>
      <c r="N592" s="3" t="str">
        <f t="shared" si="40"/>
        <v>2021</v>
      </c>
      <c r="O592" s="2">
        <v>860</v>
      </c>
    </row>
    <row r="593" spans="1:27" x14ac:dyDescent="0.35">
      <c r="A593" s="3">
        <v>2019</v>
      </c>
      <c r="B593" s="3">
        <v>11</v>
      </c>
      <c r="C593" s="3">
        <v>27</v>
      </c>
      <c r="D593" s="2">
        <v>48</v>
      </c>
      <c r="E593" s="3">
        <v>4</v>
      </c>
      <c r="F593" s="3" t="s">
        <v>45</v>
      </c>
      <c r="G593" s="3" t="str">
        <f t="shared" si="41"/>
        <v>2009</v>
      </c>
      <c r="H593" s="3">
        <f t="shared" si="39"/>
        <v>10</v>
      </c>
      <c r="I593" s="69"/>
      <c r="J593" s="3" t="s">
        <v>488</v>
      </c>
      <c r="K593" s="3" t="s">
        <v>488</v>
      </c>
      <c r="L593" s="3">
        <v>107.8</v>
      </c>
      <c r="M593" s="3">
        <v>505</v>
      </c>
      <c r="N593" s="3" t="str">
        <f t="shared" si="40"/>
        <v>2007</v>
      </c>
      <c r="O593" s="2">
        <v>48</v>
      </c>
    </row>
    <row r="594" spans="1:27" x14ac:dyDescent="0.35">
      <c r="A594" s="3">
        <v>2024</v>
      </c>
      <c r="B594" s="3">
        <v>3</v>
      </c>
      <c r="C594" s="3">
        <v>13</v>
      </c>
      <c r="D594" s="2">
        <v>674</v>
      </c>
      <c r="E594" s="3">
        <v>2</v>
      </c>
      <c r="F594" s="3" t="s">
        <v>226</v>
      </c>
      <c r="G594" s="3" t="str">
        <f t="shared" si="41"/>
        <v>2017</v>
      </c>
      <c r="H594" s="3">
        <f t="shared" si="39"/>
        <v>7</v>
      </c>
      <c r="I594" s="69"/>
      <c r="J594" t="s">
        <v>783</v>
      </c>
      <c r="K594">
        <v>7</v>
      </c>
      <c r="L594">
        <v>85.8</v>
      </c>
      <c r="M594" s="3">
        <v>505</v>
      </c>
      <c r="N594" s="3" t="str">
        <f t="shared" si="40"/>
        <v>2017</v>
      </c>
      <c r="O594" s="2">
        <v>674</v>
      </c>
    </row>
    <row r="595" spans="1:27" x14ac:dyDescent="0.35">
      <c r="A595" s="3">
        <v>2024</v>
      </c>
      <c r="B595" s="3">
        <v>8</v>
      </c>
      <c r="C595" s="3">
        <v>9</v>
      </c>
      <c r="D595" s="2">
        <v>720</v>
      </c>
      <c r="E595" s="3">
        <v>3</v>
      </c>
      <c r="F595" s="3" t="s">
        <v>41</v>
      </c>
      <c r="G595" s="3" t="str">
        <f t="shared" si="41"/>
        <v>2013</v>
      </c>
      <c r="H595" s="3">
        <f t="shared" si="39"/>
        <v>11</v>
      </c>
      <c r="I595" s="69"/>
      <c r="J595" t="s">
        <v>755</v>
      </c>
      <c r="K595" t="s">
        <v>458</v>
      </c>
      <c r="L595">
        <v>142.69999999999999</v>
      </c>
      <c r="M595" s="3">
        <v>507</v>
      </c>
      <c r="N595" s="3" t="str">
        <f t="shared" si="40"/>
        <v>2011</v>
      </c>
      <c r="O595" s="2">
        <v>720</v>
      </c>
    </row>
    <row r="596" spans="1:27" x14ac:dyDescent="0.35">
      <c r="A596" s="3">
        <v>2022</v>
      </c>
      <c r="B596" s="3">
        <v>11</v>
      </c>
      <c r="C596" s="3">
        <v>1</v>
      </c>
      <c r="D596" s="2">
        <v>377</v>
      </c>
      <c r="E596" s="3">
        <v>4</v>
      </c>
      <c r="F596" s="3" t="s">
        <v>41</v>
      </c>
      <c r="G596" s="3" t="str">
        <f t="shared" si="41"/>
        <v>2013</v>
      </c>
      <c r="H596" s="3">
        <f t="shared" si="39"/>
        <v>9</v>
      </c>
      <c r="I596" s="69"/>
      <c r="J596" s="3" t="s">
        <v>42</v>
      </c>
      <c r="K596" s="3" t="s">
        <v>318</v>
      </c>
      <c r="L596" s="3">
        <v>120.5</v>
      </c>
      <c r="M596" s="3">
        <v>508</v>
      </c>
      <c r="N596" s="3" t="str">
        <f t="shared" si="40"/>
        <v>2011</v>
      </c>
      <c r="O596" s="2">
        <v>377</v>
      </c>
    </row>
    <row r="597" spans="1:27" x14ac:dyDescent="0.35">
      <c r="A597" s="3">
        <v>2023</v>
      </c>
      <c r="B597" s="3">
        <v>7</v>
      </c>
      <c r="C597" s="3">
        <v>31</v>
      </c>
      <c r="D597" s="2">
        <v>456</v>
      </c>
      <c r="E597" s="3">
        <v>3</v>
      </c>
      <c r="F597" s="3" t="s">
        <v>225</v>
      </c>
      <c r="G597" s="3" t="str">
        <f t="shared" si="41"/>
        <v>2022</v>
      </c>
      <c r="H597" s="3">
        <f t="shared" si="39"/>
        <v>1</v>
      </c>
      <c r="I597" s="69"/>
      <c r="J597" s="3" t="s">
        <v>67</v>
      </c>
      <c r="K597" s="3">
        <v>2</v>
      </c>
      <c r="L597" s="3">
        <v>140.6</v>
      </c>
      <c r="M597" s="3">
        <v>510</v>
      </c>
      <c r="N597" s="3" t="str">
        <f t="shared" si="40"/>
        <v>2021</v>
      </c>
      <c r="O597" s="2">
        <v>456</v>
      </c>
    </row>
    <row r="598" spans="1:27" x14ac:dyDescent="0.35">
      <c r="A598" s="3">
        <v>2023</v>
      </c>
      <c r="B598" s="3">
        <v>11</v>
      </c>
      <c r="C598" s="3">
        <v>7</v>
      </c>
      <c r="D598" s="2">
        <v>547</v>
      </c>
      <c r="E598" s="3">
        <v>4</v>
      </c>
      <c r="F598" s="3" t="s">
        <v>41</v>
      </c>
      <c r="G598" s="3" t="str">
        <f t="shared" si="41"/>
        <v>2013</v>
      </c>
      <c r="H598" s="3">
        <f t="shared" si="39"/>
        <v>10</v>
      </c>
      <c r="I598" s="69"/>
      <c r="J598" t="s">
        <v>42</v>
      </c>
      <c r="K598" s="3" t="s">
        <v>318</v>
      </c>
      <c r="L598" s="3">
        <v>130.30000000000001</v>
      </c>
      <c r="M598" s="3">
        <v>510</v>
      </c>
      <c r="N598" s="3" t="str">
        <f t="shared" si="40"/>
        <v>2011</v>
      </c>
      <c r="O598" s="2">
        <v>547</v>
      </c>
      <c r="Q598" s="2">
        <v>100</v>
      </c>
    </row>
    <row r="599" spans="1:27" x14ac:dyDescent="0.35">
      <c r="A599" s="3">
        <v>2022</v>
      </c>
      <c r="B599" s="3">
        <v>1</v>
      </c>
      <c r="C599" s="3" t="s">
        <v>28</v>
      </c>
      <c r="D599" s="2">
        <v>20</v>
      </c>
      <c r="E599" s="3">
        <v>1</v>
      </c>
      <c r="F599" s="3" t="s">
        <v>20</v>
      </c>
      <c r="G599" s="3" t="str">
        <f t="shared" si="41"/>
        <v>2020</v>
      </c>
      <c r="H599" s="3">
        <f t="shared" si="39"/>
        <v>2</v>
      </c>
      <c r="I599" s="69"/>
      <c r="J599" s="3">
        <v>8</v>
      </c>
      <c r="K599" s="3">
        <v>8</v>
      </c>
      <c r="L599" s="3">
        <v>217.6</v>
      </c>
      <c r="M599" s="3">
        <v>511</v>
      </c>
      <c r="N599" s="3" t="str">
        <f t="shared" si="40"/>
        <v>2018</v>
      </c>
      <c r="O599" s="2">
        <v>20</v>
      </c>
    </row>
    <row r="600" spans="1:27" x14ac:dyDescent="0.35">
      <c r="A600" s="3">
        <v>2022</v>
      </c>
      <c r="B600" s="3">
        <v>11</v>
      </c>
      <c r="C600" s="3">
        <v>18</v>
      </c>
      <c r="D600" s="2">
        <v>118</v>
      </c>
      <c r="E600" s="15">
        <v>4</v>
      </c>
      <c r="F600" s="3" t="s">
        <v>225</v>
      </c>
      <c r="G600" s="3" t="str">
        <f t="shared" si="41"/>
        <v>2021</v>
      </c>
      <c r="H600" s="3">
        <f t="shared" si="39"/>
        <v>1</v>
      </c>
      <c r="I600" s="69"/>
      <c r="J600" s="3">
        <v>1</v>
      </c>
      <c r="K600" s="3">
        <v>1</v>
      </c>
      <c r="L600" s="3">
        <v>15.5</v>
      </c>
      <c r="M600" s="3">
        <v>511</v>
      </c>
      <c r="N600" s="3" t="str">
        <f t="shared" si="40"/>
        <v>2021</v>
      </c>
      <c r="O600" s="2">
        <v>118</v>
      </c>
    </row>
    <row r="601" spans="1:27" x14ac:dyDescent="0.35">
      <c r="A601" s="3">
        <v>2024</v>
      </c>
      <c r="B601">
        <v>8</v>
      </c>
      <c r="C601" s="3">
        <v>19</v>
      </c>
      <c r="D601" s="2">
        <v>823</v>
      </c>
      <c r="E601" s="3">
        <v>3</v>
      </c>
      <c r="F601" s="3" t="s">
        <v>225</v>
      </c>
      <c r="G601" s="3" t="str">
        <f t="shared" si="41"/>
        <v>2021</v>
      </c>
      <c r="H601" s="3">
        <f t="shared" si="39"/>
        <v>3</v>
      </c>
      <c r="I601" s="69"/>
      <c r="J601">
        <v>3</v>
      </c>
      <c r="K601">
        <v>3</v>
      </c>
      <c r="L601">
        <v>117.9</v>
      </c>
      <c r="M601" s="3">
        <v>511</v>
      </c>
      <c r="N601" s="3" t="str">
        <f t="shared" si="40"/>
        <v>2021</v>
      </c>
      <c r="O601" s="2">
        <v>823</v>
      </c>
    </row>
    <row r="602" spans="1:27" x14ac:dyDescent="0.35">
      <c r="A602" s="3">
        <v>2024</v>
      </c>
      <c r="B602" s="3">
        <v>3</v>
      </c>
      <c r="C602" s="3">
        <v>28</v>
      </c>
      <c r="D602" s="2">
        <v>683</v>
      </c>
      <c r="E602" s="3">
        <v>2</v>
      </c>
      <c r="F602" s="3" t="s">
        <v>41</v>
      </c>
      <c r="G602" s="3" t="str">
        <f t="shared" si="41"/>
        <v>2013</v>
      </c>
      <c r="H602" s="3">
        <f t="shared" si="39"/>
        <v>11</v>
      </c>
      <c r="I602" s="69"/>
      <c r="J602" t="s">
        <v>583</v>
      </c>
      <c r="K602" t="s">
        <v>318</v>
      </c>
      <c r="L602">
        <v>118.8</v>
      </c>
      <c r="M602" s="3">
        <v>512</v>
      </c>
      <c r="N602" s="3" t="str">
        <f t="shared" si="40"/>
        <v>2011</v>
      </c>
      <c r="O602" s="2">
        <v>683</v>
      </c>
      <c r="Z602">
        <v>47.81</v>
      </c>
    </row>
    <row r="603" spans="1:27" x14ac:dyDescent="0.35">
      <c r="A603" s="3">
        <v>2022</v>
      </c>
      <c r="B603" s="3">
        <v>11</v>
      </c>
      <c r="C603" s="3">
        <v>1</v>
      </c>
      <c r="D603" s="2">
        <v>364</v>
      </c>
      <c r="E603" s="3">
        <v>4</v>
      </c>
      <c r="F603" s="3" t="s">
        <v>41</v>
      </c>
      <c r="G603" s="3" t="str">
        <f t="shared" si="41"/>
        <v>2013</v>
      </c>
      <c r="H603" s="3">
        <f t="shared" si="39"/>
        <v>9</v>
      </c>
      <c r="I603" s="69"/>
      <c r="J603" s="3" t="s">
        <v>583</v>
      </c>
      <c r="K603" s="3" t="s">
        <v>318</v>
      </c>
      <c r="L603" s="3">
        <v>105.2</v>
      </c>
      <c r="M603" s="3">
        <v>513</v>
      </c>
      <c r="N603" s="3" t="str">
        <f t="shared" si="40"/>
        <v>2011</v>
      </c>
      <c r="O603" s="2">
        <v>364</v>
      </c>
    </row>
    <row r="604" spans="1:27" x14ac:dyDescent="0.35">
      <c r="A604" s="3">
        <v>2021</v>
      </c>
      <c r="B604" s="3">
        <v>10</v>
      </c>
      <c r="C604" s="3">
        <v>11</v>
      </c>
      <c r="D604" s="2">
        <v>467</v>
      </c>
      <c r="E604" s="3">
        <v>4</v>
      </c>
      <c r="F604" s="3" t="s">
        <v>226</v>
      </c>
      <c r="G604" s="3" t="str">
        <f t="shared" si="41"/>
        <v>2018</v>
      </c>
      <c r="H604" s="3">
        <f t="shared" si="39"/>
        <v>3</v>
      </c>
      <c r="I604" s="69"/>
      <c r="J604" s="3" t="s">
        <v>51</v>
      </c>
      <c r="K604" s="3" t="s">
        <v>920</v>
      </c>
      <c r="L604" s="16">
        <v>120</v>
      </c>
      <c r="M604" s="3">
        <v>513</v>
      </c>
      <c r="N604" s="3" t="str">
        <f t="shared" si="40"/>
        <v>2017</v>
      </c>
      <c r="O604" s="2">
        <v>467</v>
      </c>
    </row>
    <row r="605" spans="1:27" x14ac:dyDescent="0.35">
      <c r="A605" s="3">
        <v>2021</v>
      </c>
      <c r="B605" s="3" t="s">
        <v>28</v>
      </c>
      <c r="C605" s="3" t="s">
        <v>28</v>
      </c>
      <c r="D605" s="2">
        <v>488</v>
      </c>
      <c r="E605" s="3" t="s">
        <v>28</v>
      </c>
      <c r="F605" s="3" t="s">
        <v>226</v>
      </c>
      <c r="G605" s="3" t="str">
        <f t="shared" si="41"/>
        <v>2018</v>
      </c>
      <c r="H605" s="3">
        <f t="shared" si="39"/>
        <v>3</v>
      </c>
      <c r="I605" s="69"/>
      <c r="J605" s="3" t="s">
        <v>51</v>
      </c>
      <c r="K605" s="3" t="s">
        <v>942</v>
      </c>
      <c r="L605" s="16">
        <v>140</v>
      </c>
      <c r="M605" s="3">
        <v>514</v>
      </c>
      <c r="N605" s="3" t="str">
        <f t="shared" si="40"/>
        <v>2017</v>
      </c>
      <c r="O605" s="2">
        <v>488</v>
      </c>
      <c r="AA605">
        <v>12.88</v>
      </c>
    </row>
    <row r="606" spans="1:27" x14ac:dyDescent="0.35">
      <c r="A606" s="3">
        <v>2024</v>
      </c>
      <c r="B606" s="3">
        <v>8</v>
      </c>
      <c r="C606" s="3">
        <v>19</v>
      </c>
      <c r="D606" s="2">
        <v>750</v>
      </c>
      <c r="E606" s="3">
        <v>3</v>
      </c>
      <c r="F606" s="3" t="s">
        <v>225</v>
      </c>
      <c r="G606" s="3" t="str">
        <f t="shared" si="41"/>
        <v>2021</v>
      </c>
      <c r="H606" s="3">
        <f t="shared" si="39"/>
        <v>3</v>
      </c>
      <c r="I606" s="69"/>
      <c r="J606">
        <v>3</v>
      </c>
      <c r="K606">
        <v>3</v>
      </c>
      <c r="L606">
        <v>150.19999999999999</v>
      </c>
      <c r="M606" s="3">
        <v>514</v>
      </c>
      <c r="N606" s="3" t="str">
        <f t="shared" si="40"/>
        <v>2021</v>
      </c>
      <c r="O606" s="2">
        <v>750</v>
      </c>
    </row>
    <row r="607" spans="1:27" x14ac:dyDescent="0.35">
      <c r="A607" s="3">
        <v>2016</v>
      </c>
      <c r="B607" s="3">
        <v>9</v>
      </c>
      <c r="C607" s="3">
        <v>1</v>
      </c>
      <c r="D607" s="2">
        <v>263</v>
      </c>
      <c r="E607" s="3">
        <v>3</v>
      </c>
      <c r="F607" s="3" t="s">
        <v>45</v>
      </c>
      <c r="G607" s="3" t="str">
        <f t="shared" si="41"/>
        <v>2011</v>
      </c>
      <c r="H607" s="3">
        <f t="shared" si="39"/>
        <v>5</v>
      </c>
      <c r="I607" s="69"/>
      <c r="J607" s="3" t="s">
        <v>718</v>
      </c>
      <c r="K607" s="3" t="s">
        <v>317</v>
      </c>
      <c r="L607" s="3">
        <v>136.19999999999999</v>
      </c>
      <c r="M607" s="3">
        <v>515</v>
      </c>
      <c r="N607" s="3" t="str">
        <f t="shared" si="40"/>
        <v>2007</v>
      </c>
      <c r="O607" s="2">
        <v>263</v>
      </c>
    </row>
    <row r="608" spans="1:27" x14ac:dyDescent="0.35">
      <c r="A608" s="3">
        <v>2023</v>
      </c>
      <c r="B608" s="3">
        <v>7</v>
      </c>
      <c r="C608" s="3">
        <v>19</v>
      </c>
      <c r="D608" s="2">
        <v>346</v>
      </c>
      <c r="E608" s="3">
        <v>3</v>
      </c>
      <c r="F608" s="3" t="s">
        <v>41</v>
      </c>
      <c r="G608" s="3" t="str">
        <f t="shared" si="41"/>
        <v>2012</v>
      </c>
      <c r="H608" s="3">
        <f t="shared" si="39"/>
        <v>11</v>
      </c>
      <c r="I608" s="69"/>
      <c r="J608" s="3" t="s">
        <v>541</v>
      </c>
      <c r="K608" s="3" t="s">
        <v>461</v>
      </c>
      <c r="L608" s="3">
        <v>119.3</v>
      </c>
      <c r="M608" s="3">
        <v>515</v>
      </c>
      <c r="N608" s="3" t="str">
        <f t="shared" si="40"/>
        <v>2011</v>
      </c>
      <c r="O608" s="2">
        <v>346</v>
      </c>
    </row>
    <row r="609" spans="1:16" x14ac:dyDescent="0.35">
      <c r="A609" s="3">
        <v>2023</v>
      </c>
      <c r="B609" s="3">
        <v>7</v>
      </c>
      <c r="C609" s="3">
        <v>19</v>
      </c>
      <c r="D609" s="2">
        <v>374</v>
      </c>
      <c r="E609" s="3">
        <v>3</v>
      </c>
      <c r="F609" s="3" t="s">
        <v>41</v>
      </c>
      <c r="G609" s="3" t="str">
        <f t="shared" si="41"/>
        <v>2012</v>
      </c>
      <c r="H609" s="3">
        <f t="shared" si="39"/>
        <v>11</v>
      </c>
      <c r="I609" s="69"/>
      <c r="J609" s="3" t="s">
        <v>544</v>
      </c>
      <c r="K609" s="3" t="s">
        <v>461</v>
      </c>
      <c r="L609" s="3">
        <v>116.9</v>
      </c>
      <c r="M609" s="3">
        <v>515</v>
      </c>
      <c r="N609" s="3" t="str">
        <f t="shared" si="40"/>
        <v>2011</v>
      </c>
      <c r="O609" s="2">
        <v>374</v>
      </c>
    </row>
    <row r="610" spans="1:16" x14ac:dyDescent="0.35">
      <c r="A610" s="3">
        <v>2022</v>
      </c>
      <c r="B610" s="3">
        <v>11</v>
      </c>
      <c r="C610" s="3">
        <v>1</v>
      </c>
      <c r="D610" s="2">
        <v>373</v>
      </c>
      <c r="E610" s="3">
        <v>4</v>
      </c>
      <c r="F610" s="3" t="s">
        <v>41</v>
      </c>
      <c r="G610" s="3" t="str">
        <f t="shared" si="41"/>
        <v>2013</v>
      </c>
      <c r="H610" s="3">
        <f t="shared" si="39"/>
        <v>9</v>
      </c>
      <c r="I610" s="69"/>
      <c r="J610" s="3" t="s">
        <v>42</v>
      </c>
      <c r="K610" s="3" t="s">
        <v>318</v>
      </c>
      <c r="L610" s="3">
        <v>121.2</v>
      </c>
      <c r="M610" s="3">
        <v>516</v>
      </c>
      <c r="N610" s="3" t="str">
        <f t="shared" si="40"/>
        <v>2011</v>
      </c>
      <c r="O610" s="2">
        <v>373</v>
      </c>
    </row>
    <row r="611" spans="1:16" x14ac:dyDescent="0.35">
      <c r="A611" s="3">
        <v>2021</v>
      </c>
      <c r="B611" s="3">
        <v>10</v>
      </c>
      <c r="C611" s="3">
        <v>11</v>
      </c>
      <c r="D611" s="2">
        <v>469</v>
      </c>
      <c r="E611" s="3">
        <v>4</v>
      </c>
      <c r="F611" s="3" t="s">
        <v>226</v>
      </c>
      <c r="G611" s="3" t="str">
        <f t="shared" si="41"/>
        <v>2018</v>
      </c>
      <c r="H611" s="3">
        <f t="shared" si="39"/>
        <v>3</v>
      </c>
      <c r="I611" s="69"/>
      <c r="J611" s="3" t="s">
        <v>51</v>
      </c>
      <c r="K611" s="3" t="s">
        <v>920</v>
      </c>
      <c r="L611" s="16">
        <v>125</v>
      </c>
      <c r="M611" s="3">
        <v>516</v>
      </c>
      <c r="N611" s="3" t="str">
        <f t="shared" si="40"/>
        <v>2017</v>
      </c>
      <c r="O611" s="2">
        <v>469</v>
      </c>
    </row>
    <row r="612" spans="1:16" x14ac:dyDescent="0.35">
      <c r="A612" s="3">
        <v>2021</v>
      </c>
      <c r="B612" s="3">
        <v>10</v>
      </c>
      <c r="C612" s="3">
        <v>11</v>
      </c>
      <c r="D612" s="2">
        <v>462</v>
      </c>
      <c r="E612" s="3">
        <v>4</v>
      </c>
      <c r="F612" s="3" t="s">
        <v>226</v>
      </c>
      <c r="G612" s="3" t="str">
        <f t="shared" si="41"/>
        <v>2018</v>
      </c>
      <c r="H612" s="3">
        <f t="shared" si="39"/>
        <v>3</v>
      </c>
      <c r="I612" s="69"/>
      <c r="J612" s="3" t="s">
        <v>51</v>
      </c>
      <c r="K612" s="3" t="s">
        <v>916</v>
      </c>
      <c r="L612" s="16">
        <v>160</v>
      </c>
      <c r="M612" s="3">
        <v>517</v>
      </c>
      <c r="N612" s="3" t="str">
        <f t="shared" si="40"/>
        <v>2017</v>
      </c>
      <c r="O612" s="2">
        <v>462</v>
      </c>
    </row>
    <row r="613" spans="1:16" x14ac:dyDescent="0.35">
      <c r="A613" s="3">
        <v>2021</v>
      </c>
      <c r="B613" s="3" t="s">
        <v>28</v>
      </c>
      <c r="C613" s="3" t="s">
        <v>28</v>
      </c>
      <c r="D613" s="2">
        <v>1</v>
      </c>
      <c r="E613" s="3" t="s">
        <v>28</v>
      </c>
      <c r="F613" s="3" t="s">
        <v>45</v>
      </c>
      <c r="G613" s="3" t="str">
        <f t="shared" si="41"/>
        <v>2011</v>
      </c>
      <c r="H613" s="3">
        <f t="shared" si="39"/>
        <v>10</v>
      </c>
      <c r="I613" s="69"/>
      <c r="J613" s="3" t="s">
        <v>317</v>
      </c>
      <c r="K613" s="3" t="s">
        <v>317</v>
      </c>
      <c r="L613" s="3">
        <v>138.80000000000001</v>
      </c>
      <c r="M613" s="3">
        <v>519</v>
      </c>
      <c r="N613" s="3" t="str">
        <f t="shared" si="40"/>
        <v>2007</v>
      </c>
      <c r="O613" s="2">
        <v>1</v>
      </c>
    </row>
    <row r="614" spans="1:16" x14ac:dyDescent="0.35">
      <c r="A614" s="3">
        <v>2016</v>
      </c>
      <c r="B614" s="3">
        <v>9</v>
      </c>
      <c r="C614" s="3">
        <v>1</v>
      </c>
      <c r="D614" s="2">
        <v>258</v>
      </c>
      <c r="E614" s="3">
        <v>3</v>
      </c>
      <c r="F614" s="3" t="s">
        <v>45</v>
      </c>
      <c r="G614" s="3" t="str">
        <f t="shared" si="41"/>
        <v>2011</v>
      </c>
      <c r="H614" s="3">
        <f t="shared" si="39"/>
        <v>5</v>
      </c>
      <c r="I614" s="69"/>
      <c r="J614" s="3" t="s">
        <v>718</v>
      </c>
      <c r="K614" s="3" t="s">
        <v>317</v>
      </c>
      <c r="L614" s="3">
        <v>139.9</v>
      </c>
      <c r="M614" s="3">
        <v>519</v>
      </c>
      <c r="N614" s="3" t="str">
        <f t="shared" si="40"/>
        <v>2007</v>
      </c>
      <c r="O614" s="2">
        <v>258</v>
      </c>
    </row>
    <row r="615" spans="1:16" x14ac:dyDescent="0.35">
      <c r="A615" s="3">
        <v>2021</v>
      </c>
      <c r="B615" s="3">
        <v>4</v>
      </c>
      <c r="C615" s="3">
        <v>13</v>
      </c>
      <c r="D615" s="2">
        <v>496</v>
      </c>
      <c r="E615" s="3">
        <v>2</v>
      </c>
      <c r="F615" s="3" t="s">
        <v>226</v>
      </c>
      <c r="G615" s="3" t="str">
        <f t="shared" si="41"/>
        <v>2018</v>
      </c>
      <c r="H615" s="3">
        <f t="shared" si="39"/>
        <v>3</v>
      </c>
      <c r="I615" s="69"/>
      <c r="J615" s="3" t="s">
        <v>51</v>
      </c>
      <c r="K615" s="3" t="s">
        <v>929</v>
      </c>
      <c r="L615" s="16">
        <v>165</v>
      </c>
      <c r="M615" s="3">
        <v>520</v>
      </c>
      <c r="N615" s="3" t="str">
        <f t="shared" si="40"/>
        <v>2017</v>
      </c>
      <c r="O615" s="2">
        <v>496</v>
      </c>
    </row>
    <row r="616" spans="1:16" x14ac:dyDescent="0.35">
      <c r="A616" s="3">
        <v>2024</v>
      </c>
      <c r="B616" s="3">
        <v>1</v>
      </c>
      <c r="C616" s="3">
        <v>17</v>
      </c>
      <c r="D616" s="2">
        <v>566</v>
      </c>
      <c r="E616" s="3">
        <v>1</v>
      </c>
      <c r="F616" s="3" t="s">
        <v>41</v>
      </c>
      <c r="G616" s="3" t="str">
        <f t="shared" si="41"/>
        <v>2013</v>
      </c>
      <c r="H616" s="3">
        <f t="shared" si="39"/>
        <v>11</v>
      </c>
      <c r="I616" s="69"/>
      <c r="J616" t="s">
        <v>42</v>
      </c>
      <c r="K616" s="3" t="s">
        <v>318</v>
      </c>
      <c r="L616">
        <v>186</v>
      </c>
      <c r="M616" s="3">
        <v>521</v>
      </c>
      <c r="N616" s="3" t="str">
        <f t="shared" si="40"/>
        <v>2011</v>
      </c>
      <c r="O616" s="2">
        <v>566</v>
      </c>
    </row>
    <row r="617" spans="1:16" x14ac:dyDescent="0.35">
      <c r="A617" s="3">
        <v>2024</v>
      </c>
      <c r="B617" s="3">
        <v>1</v>
      </c>
      <c r="C617" s="3">
        <v>16</v>
      </c>
      <c r="D617" s="2">
        <v>595</v>
      </c>
      <c r="E617" s="3">
        <v>1</v>
      </c>
      <c r="F617" s="3" t="s">
        <v>45</v>
      </c>
      <c r="G617" s="3" t="str">
        <f t="shared" si="41"/>
        <v>2011</v>
      </c>
      <c r="H617" s="3">
        <f t="shared" si="39"/>
        <v>13</v>
      </c>
      <c r="I617" s="69"/>
      <c r="J617" t="s">
        <v>990</v>
      </c>
      <c r="K617" s="3" t="s">
        <v>317</v>
      </c>
      <c r="L617">
        <v>141.80000000000001</v>
      </c>
      <c r="M617" s="3">
        <v>521</v>
      </c>
      <c r="N617" s="3" t="str">
        <f t="shared" si="40"/>
        <v>2007</v>
      </c>
      <c r="O617" s="2">
        <v>595</v>
      </c>
    </row>
    <row r="618" spans="1:16" x14ac:dyDescent="0.35">
      <c r="A618" s="3">
        <v>2024</v>
      </c>
      <c r="B618" s="3">
        <v>8</v>
      </c>
      <c r="C618" s="3">
        <v>9</v>
      </c>
      <c r="D618" s="2">
        <v>714</v>
      </c>
      <c r="E618" s="3">
        <v>3</v>
      </c>
      <c r="F618" s="3" t="s">
        <v>41</v>
      </c>
      <c r="G618" s="3" t="str">
        <f t="shared" si="41"/>
        <v>2013</v>
      </c>
      <c r="H618" s="3">
        <f t="shared" si="39"/>
        <v>11</v>
      </c>
      <c r="I618" s="69"/>
      <c r="J618" t="s">
        <v>42</v>
      </c>
      <c r="K618" t="s">
        <v>318</v>
      </c>
      <c r="L618">
        <v>143.6</v>
      </c>
      <c r="M618" s="3">
        <v>524</v>
      </c>
      <c r="N618" s="3" t="str">
        <f t="shared" si="40"/>
        <v>2011</v>
      </c>
      <c r="O618" s="2">
        <v>714</v>
      </c>
      <c r="P618">
        <v>15.08</v>
      </c>
    </row>
    <row r="619" spans="1:16" x14ac:dyDescent="0.35">
      <c r="A619" s="3">
        <v>2023</v>
      </c>
      <c r="B619" s="3">
        <v>11</v>
      </c>
      <c r="C619" s="3">
        <v>3</v>
      </c>
      <c r="D619" s="2">
        <v>508</v>
      </c>
      <c r="E619" s="3">
        <v>4</v>
      </c>
      <c r="F619" s="3" t="s">
        <v>226</v>
      </c>
      <c r="G619" s="3" t="str">
        <f t="shared" si="41"/>
        <v>2017</v>
      </c>
      <c r="H619" s="3">
        <f t="shared" si="39"/>
        <v>6</v>
      </c>
      <c r="I619" s="69"/>
      <c r="J619" s="3" t="s">
        <v>783</v>
      </c>
      <c r="K619" s="3">
        <v>7</v>
      </c>
      <c r="L619" s="3">
        <v>124.3</v>
      </c>
      <c r="M619" s="3">
        <v>524</v>
      </c>
      <c r="N619" s="3" t="str">
        <f t="shared" si="40"/>
        <v>2017</v>
      </c>
      <c r="O619" s="2">
        <v>508</v>
      </c>
    </row>
    <row r="620" spans="1:16" x14ac:dyDescent="0.35">
      <c r="A620" s="3">
        <v>2024</v>
      </c>
      <c r="B620" s="3">
        <v>6</v>
      </c>
      <c r="C620" s="3">
        <v>19</v>
      </c>
      <c r="D620" s="2">
        <v>800</v>
      </c>
      <c r="E620" s="3">
        <v>3</v>
      </c>
      <c r="F620" s="3" t="s">
        <v>225</v>
      </c>
      <c r="G620" s="3" t="str">
        <f t="shared" si="41"/>
        <v>2021</v>
      </c>
      <c r="H620" s="3">
        <f t="shared" si="39"/>
        <v>3</v>
      </c>
      <c r="I620" s="69"/>
      <c r="J620" t="s">
        <v>1162</v>
      </c>
      <c r="K620">
        <v>3</v>
      </c>
      <c r="L620">
        <v>182.5</v>
      </c>
      <c r="M620" s="3">
        <v>524</v>
      </c>
      <c r="N620" s="3" t="str">
        <f t="shared" si="40"/>
        <v>2021</v>
      </c>
      <c r="O620" s="2">
        <v>800</v>
      </c>
    </row>
    <row r="621" spans="1:16" x14ac:dyDescent="0.35">
      <c r="A621" s="3">
        <v>2017</v>
      </c>
      <c r="B621" s="3">
        <v>1</v>
      </c>
      <c r="C621" s="3">
        <v>20</v>
      </c>
      <c r="D621" s="2">
        <v>96</v>
      </c>
      <c r="E621" s="15">
        <v>1</v>
      </c>
      <c r="F621" s="3" t="s">
        <v>41</v>
      </c>
      <c r="G621" s="3" t="str">
        <f t="shared" si="41"/>
        <v>2012</v>
      </c>
      <c r="H621" s="3">
        <f t="shared" si="39"/>
        <v>5</v>
      </c>
      <c r="I621" s="69"/>
      <c r="J621" s="3" t="s">
        <v>541</v>
      </c>
      <c r="K621" s="3" t="s">
        <v>461</v>
      </c>
      <c r="L621" s="3">
        <v>128.80000000000001</v>
      </c>
      <c r="M621" s="3">
        <v>525</v>
      </c>
      <c r="N621" s="3" t="str">
        <f t="shared" si="40"/>
        <v>2011</v>
      </c>
      <c r="O621" s="2">
        <v>96</v>
      </c>
    </row>
    <row r="622" spans="1:16" x14ac:dyDescent="0.35">
      <c r="A622" s="3">
        <v>2024</v>
      </c>
      <c r="B622">
        <v>4</v>
      </c>
      <c r="C622" s="3">
        <v>9</v>
      </c>
      <c r="D622" s="2">
        <v>862</v>
      </c>
      <c r="E622" s="3">
        <v>2</v>
      </c>
      <c r="F622" t="s">
        <v>225</v>
      </c>
      <c r="G622" s="3" t="str">
        <f t="shared" si="41"/>
        <v>2022</v>
      </c>
      <c r="H622" s="3">
        <f t="shared" si="39"/>
        <v>2</v>
      </c>
      <c r="I622" s="69"/>
      <c r="J622" t="s">
        <v>234</v>
      </c>
      <c r="K622">
        <v>6</v>
      </c>
      <c r="L622">
        <v>174.1</v>
      </c>
      <c r="M622" s="3">
        <v>525</v>
      </c>
      <c r="N622" s="3" t="str">
        <f t="shared" si="40"/>
        <v>2021</v>
      </c>
      <c r="O622" s="2">
        <v>862</v>
      </c>
    </row>
    <row r="623" spans="1:16" x14ac:dyDescent="0.35">
      <c r="A623" s="3">
        <v>2016</v>
      </c>
      <c r="B623" s="3">
        <v>11</v>
      </c>
      <c r="C623" s="3">
        <v>16</v>
      </c>
      <c r="D623" s="2">
        <v>201</v>
      </c>
      <c r="E623" s="3">
        <v>4</v>
      </c>
      <c r="F623" s="3" t="s">
        <v>41</v>
      </c>
      <c r="G623" s="3" t="str">
        <f t="shared" si="41"/>
        <v>2013</v>
      </c>
      <c r="H623" s="3">
        <f t="shared" si="39"/>
        <v>3</v>
      </c>
      <c r="I623" s="69"/>
      <c r="J623" s="3" t="s">
        <v>42</v>
      </c>
      <c r="K623" s="3" t="s">
        <v>318</v>
      </c>
      <c r="L623" s="3">
        <v>139.80000000000001</v>
      </c>
      <c r="M623" s="3">
        <v>526</v>
      </c>
      <c r="N623" s="3" t="str">
        <f t="shared" si="40"/>
        <v>2011</v>
      </c>
      <c r="O623" s="2">
        <v>201</v>
      </c>
    </row>
    <row r="624" spans="1:16" x14ac:dyDescent="0.35">
      <c r="A624" s="3">
        <v>2024</v>
      </c>
      <c r="B624" s="3">
        <v>1</v>
      </c>
      <c r="C624" s="3">
        <v>17</v>
      </c>
      <c r="D624" s="2">
        <v>607</v>
      </c>
      <c r="E624" s="3">
        <v>1</v>
      </c>
      <c r="F624" s="3" t="s">
        <v>41</v>
      </c>
      <c r="G624" s="3" t="str">
        <f t="shared" si="41"/>
        <v>2013</v>
      </c>
      <c r="H624" s="3">
        <f t="shared" si="39"/>
        <v>11</v>
      </c>
      <c r="I624" s="69"/>
      <c r="J624" t="s">
        <v>583</v>
      </c>
      <c r="K624" s="3" t="s">
        <v>318</v>
      </c>
      <c r="L624">
        <v>151.19999999999999</v>
      </c>
      <c r="M624" s="3">
        <v>527</v>
      </c>
      <c r="N624" s="3" t="str">
        <f t="shared" si="40"/>
        <v>2011</v>
      </c>
      <c r="O624" s="2">
        <v>607</v>
      </c>
    </row>
    <row r="625" spans="1:15" x14ac:dyDescent="0.35">
      <c r="A625" s="3">
        <v>2019</v>
      </c>
      <c r="B625" s="3">
        <v>10</v>
      </c>
      <c r="C625" s="3">
        <v>29</v>
      </c>
      <c r="D625" s="2">
        <v>370</v>
      </c>
      <c r="E625" s="3">
        <v>4</v>
      </c>
      <c r="F625" s="3" t="s">
        <v>226</v>
      </c>
      <c r="G625" s="3" t="str">
        <f t="shared" si="41"/>
        <v>2017</v>
      </c>
      <c r="H625" s="3">
        <f t="shared" si="39"/>
        <v>2</v>
      </c>
      <c r="I625" s="69"/>
      <c r="J625" s="3" t="s">
        <v>228</v>
      </c>
      <c r="K625" s="3">
        <v>7</v>
      </c>
      <c r="L625" s="3">
        <v>91.8</v>
      </c>
      <c r="M625" s="3">
        <v>528</v>
      </c>
      <c r="N625" s="3" t="str">
        <f t="shared" si="40"/>
        <v>2017</v>
      </c>
      <c r="O625" s="2">
        <v>370</v>
      </c>
    </row>
    <row r="626" spans="1:15" x14ac:dyDescent="0.35">
      <c r="A626" s="3">
        <v>2017</v>
      </c>
      <c r="B626" s="3">
        <v>8</v>
      </c>
      <c r="C626" s="3">
        <v>14</v>
      </c>
      <c r="D626" s="2">
        <v>123</v>
      </c>
      <c r="E626" s="15">
        <v>3</v>
      </c>
      <c r="F626" s="3" t="s">
        <v>41</v>
      </c>
      <c r="G626" s="3" t="str">
        <f t="shared" si="41"/>
        <v>2012</v>
      </c>
      <c r="H626" s="3">
        <f t="shared" si="39"/>
        <v>5</v>
      </c>
      <c r="I626" s="69"/>
      <c r="J626" s="3" t="s">
        <v>568</v>
      </c>
      <c r="K626" s="3" t="s">
        <v>461</v>
      </c>
      <c r="L626" s="3">
        <v>154.80000000000001</v>
      </c>
      <c r="M626" s="3">
        <v>530</v>
      </c>
      <c r="N626" s="3" t="str">
        <f t="shared" si="40"/>
        <v>2011</v>
      </c>
      <c r="O626" s="2">
        <v>123</v>
      </c>
    </row>
    <row r="627" spans="1:15" x14ac:dyDescent="0.35">
      <c r="A627" s="3">
        <v>2018</v>
      </c>
      <c r="B627" s="3">
        <v>8</v>
      </c>
      <c r="C627" s="3">
        <v>15</v>
      </c>
      <c r="D627" s="2">
        <v>303</v>
      </c>
      <c r="E627" s="3">
        <v>3</v>
      </c>
      <c r="F627" s="3" t="s">
        <v>41</v>
      </c>
      <c r="G627" s="3" t="str">
        <f t="shared" si="41"/>
        <v>2013</v>
      </c>
      <c r="H627" s="3">
        <f t="shared" si="39"/>
        <v>5</v>
      </c>
      <c r="I627" s="69"/>
      <c r="J627" s="3" t="s">
        <v>49</v>
      </c>
      <c r="K627" s="3" t="s">
        <v>318</v>
      </c>
      <c r="L627" s="3">
        <v>151.6</v>
      </c>
      <c r="M627" s="3">
        <v>534</v>
      </c>
      <c r="N627" s="3" t="str">
        <f t="shared" si="40"/>
        <v>2011</v>
      </c>
      <c r="O627" s="2">
        <v>303</v>
      </c>
    </row>
    <row r="628" spans="1:15" x14ac:dyDescent="0.35">
      <c r="A628" s="3">
        <v>2023</v>
      </c>
      <c r="B628" s="3">
        <v>7</v>
      </c>
      <c r="C628" s="3">
        <v>19</v>
      </c>
      <c r="D628" s="2">
        <v>356</v>
      </c>
      <c r="E628" s="3">
        <v>3</v>
      </c>
      <c r="F628" s="3" t="s">
        <v>41</v>
      </c>
      <c r="G628" s="3" t="str">
        <f t="shared" si="41"/>
        <v>2013</v>
      </c>
      <c r="H628" s="3">
        <f t="shared" si="39"/>
        <v>10</v>
      </c>
      <c r="I628" s="69"/>
      <c r="J628" s="3" t="s">
        <v>42</v>
      </c>
      <c r="K628" s="3" t="s">
        <v>318</v>
      </c>
      <c r="L628" s="3">
        <v>12.1</v>
      </c>
      <c r="M628" s="3">
        <v>534</v>
      </c>
      <c r="N628" s="3" t="str">
        <f t="shared" si="40"/>
        <v>2011</v>
      </c>
      <c r="O628" s="2">
        <v>356</v>
      </c>
    </row>
    <row r="629" spans="1:15" x14ac:dyDescent="0.35">
      <c r="A629" s="3">
        <v>2022</v>
      </c>
      <c r="B629" s="3">
        <v>1</v>
      </c>
      <c r="C629" s="3" t="s">
        <v>28</v>
      </c>
      <c r="D629" s="2">
        <v>61</v>
      </c>
      <c r="E629" s="3">
        <v>1</v>
      </c>
      <c r="F629" s="3" t="s">
        <v>41</v>
      </c>
      <c r="G629" s="3" t="str">
        <f t="shared" si="41"/>
        <v>2012</v>
      </c>
      <c r="H629" s="3">
        <f t="shared" si="39"/>
        <v>10</v>
      </c>
      <c r="I629" s="69"/>
      <c r="J629" s="3" t="s">
        <v>461</v>
      </c>
      <c r="K629" s="3" t="s">
        <v>461</v>
      </c>
      <c r="L629" s="3">
        <v>223.2</v>
      </c>
      <c r="M629" s="3">
        <v>535</v>
      </c>
      <c r="N629" s="3" t="str">
        <f t="shared" si="40"/>
        <v>2011</v>
      </c>
      <c r="O629" s="2">
        <v>61</v>
      </c>
    </row>
    <row r="630" spans="1:15" x14ac:dyDescent="0.35">
      <c r="A630" s="3">
        <v>2017</v>
      </c>
      <c r="B630" s="3">
        <v>11</v>
      </c>
      <c r="C630" s="3">
        <v>8</v>
      </c>
      <c r="D630" s="2">
        <v>91</v>
      </c>
      <c r="E630" s="15">
        <v>4</v>
      </c>
      <c r="F630" s="3" t="s">
        <v>45</v>
      </c>
      <c r="G630" s="3" t="str">
        <f t="shared" si="41"/>
        <v>2009</v>
      </c>
      <c r="H630" s="3">
        <f t="shared" si="39"/>
        <v>8</v>
      </c>
      <c r="I630" s="69"/>
      <c r="J630" s="3" t="s">
        <v>488</v>
      </c>
      <c r="K630" s="3" t="s">
        <v>488</v>
      </c>
      <c r="L630" s="3">
        <v>20</v>
      </c>
      <c r="M630" s="3">
        <v>535</v>
      </c>
      <c r="N630" s="3" t="str">
        <f t="shared" si="40"/>
        <v>2007</v>
      </c>
      <c r="O630" s="2">
        <v>91</v>
      </c>
    </row>
    <row r="631" spans="1:15" x14ac:dyDescent="0.35">
      <c r="A631" s="3">
        <v>2016</v>
      </c>
      <c r="B631" s="3">
        <v>9</v>
      </c>
      <c r="C631" s="3">
        <v>2</v>
      </c>
      <c r="D631" s="2">
        <v>292</v>
      </c>
      <c r="E631" s="3">
        <v>3</v>
      </c>
      <c r="F631" s="3" t="s">
        <v>41</v>
      </c>
      <c r="G631" s="3" t="str">
        <f t="shared" si="41"/>
        <v>2013</v>
      </c>
      <c r="H631" s="3">
        <f t="shared" si="39"/>
        <v>3</v>
      </c>
      <c r="I631" s="69"/>
      <c r="J631" s="3" t="s">
        <v>42</v>
      </c>
      <c r="K631" s="3" t="s">
        <v>318</v>
      </c>
      <c r="L631" s="3">
        <v>175.5</v>
      </c>
      <c r="M631" s="3">
        <v>535</v>
      </c>
      <c r="N631" s="3" t="str">
        <f t="shared" si="40"/>
        <v>2011</v>
      </c>
      <c r="O631" s="2">
        <v>292</v>
      </c>
    </row>
    <row r="632" spans="1:15" x14ac:dyDescent="0.35">
      <c r="A632" s="3">
        <v>2024</v>
      </c>
      <c r="B632">
        <v>8</v>
      </c>
      <c r="C632" s="3">
        <v>16</v>
      </c>
      <c r="D632" s="2">
        <v>858</v>
      </c>
      <c r="E632" s="3">
        <v>3</v>
      </c>
      <c r="F632" t="s">
        <v>225</v>
      </c>
      <c r="G632" s="3" t="str">
        <f t="shared" si="41"/>
        <v>2022</v>
      </c>
      <c r="H632" s="3">
        <f t="shared" si="39"/>
        <v>2</v>
      </c>
      <c r="I632" s="69"/>
      <c r="J632" t="s">
        <v>235</v>
      </c>
      <c r="K632">
        <v>5</v>
      </c>
      <c r="L632">
        <v>183.7</v>
      </c>
      <c r="M632" s="3">
        <v>535</v>
      </c>
      <c r="N632" s="3" t="str">
        <f t="shared" si="40"/>
        <v>2021</v>
      </c>
      <c r="O632" s="2">
        <v>858</v>
      </c>
    </row>
    <row r="633" spans="1:15" x14ac:dyDescent="0.35">
      <c r="A633" s="3">
        <v>2016</v>
      </c>
      <c r="B633" s="3">
        <v>9</v>
      </c>
      <c r="C633" s="3">
        <v>1</v>
      </c>
      <c r="D633" s="2">
        <v>243</v>
      </c>
      <c r="E633" s="3">
        <v>3</v>
      </c>
      <c r="F633" s="3" t="s">
        <v>45</v>
      </c>
      <c r="G633" s="3" t="str">
        <f t="shared" si="41"/>
        <v>2011</v>
      </c>
      <c r="H633" s="3">
        <f t="shared" si="39"/>
        <v>5</v>
      </c>
      <c r="I633" s="69"/>
      <c r="J633" s="3" t="s">
        <v>647</v>
      </c>
      <c r="K633" s="3" t="s">
        <v>317</v>
      </c>
      <c r="L633" s="3">
        <v>212.8</v>
      </c>
      <c r="M633" s="3">
        <v>537</v>
      </c>
      <c r="N633" s="3" t="str">
        <f t="shared" si="40"/>
        <v>2007</v>
      </c>
      <c r="O633" s="2">
        <v>243</v>
      </c>
    </row>
    <row r="634" spans="1:15" x14ac:dyDescent="0.35">
      <c r="A634" s="3">
        <v>2021</v>
      </c>
      <c r="B634" s="3">
        <v>10</v>
      </c>
      <c r="C634" s="3">
        <v>11</v>
      </c>
      <c r="D634" s="2">
        <v>461</v>
      </c>
      <c r="E634" s="3">
        <v>4</v>
      </c>
      <c r="F634" s="3" t="s">
        <v>226</v>
      </c>
      <c r="G634" s="3" t="str">
        <f t="shared" si="41"/>
        <v>2018</v>
      </c>
      <c r="H634" s="3">
        <f t="shared" si="39"/>
        <v>3</v>
      </c>
      <c r="I634" s="69"/>
      <c r="J634" s="3" t="s">
        <v>51</v>
      </c>
      <c r="K634" s="3" t="s">
        <v>916</v>
      </c>
      <c r="L634" s="16">
        <v>135</v>
      </c>
      <c r="M634" s="3">
        <v>537</v>
      </c>
      <c r="N634" s="3" t="str">
        <f t="shared" si="40"/>
        <v>2017</v>
      </c>
      <c r="O634" s="2">
        <v>461</v>
      </c>
    </row>
    <row r="635" spans="1:15" x14ac:dyDescent="0.35">
      <c r="A635" s="3">
        <v>2016</v>
      </c>
      <c r="B635" s="3">
        <v>9</v>
      </c>
      <c r="C635" s="3">
        <v>1</v>
      </c>
      <c r="D635" s="2">
        <v>298</v>
      </c>
      <c r="E635" s="3">
        <v>3</v>
      </c>
      <c r="F635" s="3" t="s">
        <v>45</v>
      </c>
      <c r="G635" s="3" t="str">
        <f t="shared" si="41"/>
        <v>2011</v>
      </c>
      <c r="H635" s="3">
        <f t="shared" si="39"/>
        <v>5</v>
      </c>
      <c r="I635" s="69"/>
      <c r="J635" s="3" t="s">
        <v>632</v>
      </c>
      <c r="K635" s="3" t="s">
        <v>317</v>
      </c>
      <c r="L635" s="3">
        <v>20.3</v>
      </c>
      <c r="M635" s="3">
        <v>540</v>
      </c>
      <c r="N635" s="3" t="str">
        <f t="shared" si="40"/>
        <v>2007</v>
      </c>
      <c r="O635" s="2">
        <v>298</v>
      </c>
    </row>
    <row r="636" spans="1:15" x14ac:dyDescent="0.35">
      <c r="A636" s="3">
        <v>2021</v>
      </c>
      <c r="B636" s="3">
        <v>10</v>
      </c>
      <c r="C636" s="3" t="s">
        <v>28</v>
      </c>
      <c r="D636" s="2">
        <v>16</v>
      </c>
      <c r="E636" s="3">
        <v>4</v>
      </c>
      <c r="F636" s="3" t="s">
        <v>41</v>
      </c>
      <c r="G636" s="3" t="str">
        <f t="shared" si="41"/>
        <v>2013</v>
      </c>
      <c r="H636" s="3">
        <f t="shared" si="39"/>
        <v>8</v>
      </c>
      <c r="I636" s="69"/>
      <c r="J636" s="3" t="s">
        <v>458</v>
      </c>
      <c r="K636" s="3" t="s">
        <v>458</v>
      </c>
      <c r="L636" s="3">
        <v>160.6</v>
      </c>
      <c r="M636" s="3">
        <v>541</v>
      </c>
      <c r="N636" s="3" t="str">
        <f t="shared" si="40"/>
        <v>2011</v>
      </c>
      <c r="O636" s="2">
        <v>16</v>
      </c>
    </row>
    <row r="637" spans="1:15" x14ac:dyDescent="0.35">
      <c r="A637" s="3">
        <v>2024</v>
      </c>
      <c r="B637" s="3">
        <v>1</v>
      </c>
      <c r="C637" s="3">
        <v>24</v>
      </c>
      <c r="D637" s="2">
        <v>606</v>
      </c>
      <c r="E637" s="3">
        <v>1</v>
      </c>
      <c r="F637" s="3" t="s">
        <v>20</v>
      </c>
      <c r="G637" s="3" t="str">
        <f t="shared" si="41"/>
        <v>2018</v>
      </c>
      <c r="H637" s="3">
        <f t="shared" si="39"/>
        <v>6</v>
      </c>
      <c r="I637" s="69"/>
      <c r="J637" t="s">
        <v>234</v>
      </c>
      <c r="K637">
        <v>6</v>
      </c>
      <c r="L637">
        <v>212.1</v>
      </c>
      <c r="M637" s="3">
        <v>543</v>
      </c>
      <c r="N637" s="3" t="str">
        <f t="shared" si="40"/>
        <v>2018</v>
      </c>
      <c r="O637" s="2">
        <v>606</v>
      </c>
    </row>
    <row r="638" spans="1:15" x14ac:dyDescent="0.35">
      <c r="A638" s="3">
        <v>2024</v>
      </c>
      <c r="B638" s="3">
        <v>6</v>
      </c>
      <c r="C638" s="3">
        <v>19</v>
      </c>
      <c r="D638" s="2">
        <v>805</v>
      </c>
      <c r="E638" s="3">
        <v>3</v>
      </c>
      <c r="F638" s="3" t="s">
        <v>225</v>
      </c>
      <c r="G638" s="3" t="str">
        <f t="shared" si="41"/>
        <v>2021</v>
      </c>
      <c r="H638" s="3">
        <f t="shared" si="39"/>
        <v>3</v>
      </c>
      <c r="I638" s="69"/>
      <c r="J638" t="s">
        <v>237</v>
      </c>
      <c r="K638">
        <v>3</v>
      </c>
      <c r="L638">
        <v>176.9</v>
      </c>
      <c r="M638" s="3">
        <v>543</v>
      </c>
      <c r="N638" s="3" t="str">
        <f t="shared" si="40"/>
        <v>2021</v>
      </c>
      <c r="O638" s="2">
        <v>805</v>
      </c>
    </row>
    <row r="639" spans="1:15" x14ac:dyDescent="0.35">
      <c r="A639" s="3">
        <v>2024</v>
      </c>
      <c r="B639" s="3">
        <v>1</v>
      </c>
      <c r="C639" s="3">
        <v>17</v>
      </c>
      <c r="D639" s="2">
        <v>565</v>
      </c>
      <c r="E639" s="3">
        <v>1</v>
      </c>
      <c r="F639" s="3" t="s">
        <v>41</v>
      </c>
      <c r="G639" s="3" t="str">
        <f t="shared" si="41"/>
        <v>2013</v>
      </c>
      <c r="H639" s="3">
        <f t="shared" si="39"/>
        <v>11</v>
      </c>
      <c r="I639" s="69"/>
      <c r="J639" t="s">
        <v>42</v>
      </c>
      <c r="K639" s="3" t="s">
        <v>318</v>
      </c>
      <c r="L639">
        <v>192</v>
      </c>
      <c r="M639" s="3">
        <v>544</v>
      </c>
      <c r="N639" s="3" t="str">
        <f t="shared" si="40"/>
        <v>2011</v>
      </c>
      <c r="O639" s="2">
        <v>565</v>
      </c>
    </row>
    <row r="640" spans="1:15" x14ac:dyDescent="0.35">
      <c r="A640" s="3">
        <v>2016</v>
      </c>
      <c r="B640" s="3">
        <v>11</v>
      </c>
      <c r="C640" s="3">
        <v>7</v>
      </c>
      <c r="D640" s="2">
        <v>193</v>
      </c>
      <c r="E640" s="3">
        <v>4</v>
      </c>
      <c r="F640" s="3" t="s">
        <v>45</v>
      </c>
      <c r="G640" s="3" t="str">
        <f t="shared" si="41"/>
        <v>2011</v>
      </c>
      <c r="H640" s="3">
        <f t="shared" si="39"/>
        <v>5</v>
      </c>
      <c r="I640" s="69"/>
      <c r="J640" s="3" t="s">
        <v>644</v>
      </c>
      <c r="K640" s="3" t="s">
        <v>317</v>
      </c>
      <c r="L640" s="3">
        <v>16.100000000000001</v>
      </c>
      <c r="M640" s="3">
        <v>545</v>
      </c>
      <c r="N640" s="3" t="str">
        <f t="shared" si="40"/>
        <v>2007</v>
      </c>
      <c r="O640" s="2">
        <v>193</v>
      </c>
    </row>
    <row r="641" spans="1:15" x14ac:dyDescent="0.35">
      <c r="A641" s="3">
        <v>2023</v>
      </c>
      <c r="B641" s="3">
        <v>2</v>
      </c>
      <c r="C641" s="3">
        <v>13</v>
      </c>
      <c r="D641" s="2">
        <v>151</v>
      </c>
      <c r="E641" s="3">
        <v>1</v>
      </c>
      <c r="F641" s="3" t="s">
        <v>41</v>
      </c>
      <c r="G641" s="3" t="str">
        <f t="shared" si="41"/>
        <v>2012</v>
      </c>
      <c r="H641" s="3">
        <f t="shared" si="39"/>
        <v>11</v>
      </c>
      <c r="I641" s="69"/>
      <c r="J641" s="3" t="s">
        <v>461</v>
      </c>
      <c r="K641" s="3" t="s">
        <v>461</v>
      </c>
      <c r="L641" s="3">
        <v>162.9</v>
      </c>
      <c r="M641" s="3">
        <v>548</v>
      </c>
      <c r="N641" s="3" t="str">
        <f t="shared" si="40"/>
        <v>2011</v>
      </c>
      <c r="O641" s="2">
        <v>151</v>
      </c>
    </row>
    <row r="642" spans="1:15" x14ac:dyDescent="0.35">
      <c r="A642" s="3">
        <v>2016</v>
      </c>
      <c r="B642" s="3">
        <v>8</v>
      </c>
      <c r="C642" s="3">
        <v>31</v>
      </c>
      <c r="D642" s="2">
        <v>284</v>
      </c>
      <c r="E642" s="3">
        <v>3</v>
      </c>
      <c r="F642" s="3" t="s">
        <v>45</v>
      </c>
      <c r="G642" s="3" t="str">
        <f t="shared" si="41"/>
        <v>2011</v>
      </c>
      <c r="H642" s="3">
        <f t="shared" ref="H642:H705" si="42">SUM(A642-G642)</f>
        <v>5</v>
      </c>
      <c r="I642" s="69"/>
      <c r="J642" s="3" t="s">
        <v>749</v>
      </c>
      <c r="K642" s="3" t="s">
        <v>317</v>
      </c>
      <c r="L642" s="3">
        <v>168.7</v>
      </c>
      <c r="M642" s="3">
        <v>548</v>
      </c>
      <c r="N642" s="3" t="str">
        <f t="shared" ref="N642:N705" si="43">IF(F642="PHD", "2007", IF(F642="TSL", "2011", IF(F642 = "SRS", "2018", IF(F642="WCA 3B", "2017", IF(F642="WCA 3A", "2021")))))</f>
        <v>2007</v>
      </c>
      <c r="O642" s="2">
        <v>284</v>
      </c>
    </row>
    <row r="643" spans="1:15" x14ac:dyDescent="0.35">
      <c r="A643" s="3">
        <v>2016</v>
      </c>
      <c r="B643" s="3">
        <v>9</v>
      </c>
      <c r="C643" s="3">
        <v>1</v>
      </c>
      <c r="D643" s="2">
        <v>235</v>
      </c>
      <c r="E643" s="3">
        <v>3</v>
      </c>
      <c r="F643" s="3" t="s">
        <v>45</v>
      </c>
      <c r="G643" s="3" t="str">
        <f t="shared" si="41"/>
        <v>2011</v>
      </c>
      <c r="H643" s="3">
        <f t="shared" si="42"/>
        <v>5</v>
      </c>
      <c r="I643" s="69"/>
      <c r="J643" s="3" t="s">
        <v>647</v>
      </c>
      <c r="K643" s="3" t="s">
        <v>317</v>
      </c>
      <c r="L643" s="3">
        <v>179.3</v>
      </c>
      <c r="M643" s="3">
        <v>549</v>
      </c>
      <c r="N643" s="3" t="str">
        <f t="shared" si="43"/>
        <v>2007</v>
      </c>
      <c r="O643" s="2">
        <v>235</v>
      </c>
    </row>
    <row r="644" spans="1:15" x14ac:dyDescent="0.35">
      <c r="A644" s="3">
        <v>2023</v>
      </c>
      <c r="B644" s="3">
        <v>7</v>
      </c>
      <c r="C644" s="3">
        <v>19</v>
      </c>
      <c r="D644" s="2">
        <v>345</v>
      </c>
      <c r="E644" s="3">
        <v>3</v>
      </c>
      <c r="F644" s="3" t="s">
        <v>41</v>
      </c>
      <c r="G644" s="3" t="str">
        <f t="shared" si="41"/>
        <v>2012</v>
      </c>
      <c r="H644" s="3">
        <f t="shared" si="42"/>
        <v>11</v>
      </c>
      <c r="I644" s="69"/>
      <c r="J644" s="3" t="s">
        <v>541</v>
      </c>
      <c r="K644" s="3" t="s">
        <v>461</v>
      </c>
      <c r="L644" s="3">
        <v>143.69999999999999</v>
      </c>
      <c r="M644" s="3">
        <v>549</v>
      </c>
      <c r="N644" s="3" t="str">
        <f t="shared" si="43"/>
        <v>2011</v>
      </c>
      <c r="O644" s="2">
        <v>345</v>
      </c>
    </row>
    <row r="645" spans="1:15" x14ac:dyDescent="0.35">
      <c r="A645" s="3">
        <v>2016</v>
      </c>
      <c r="B645" s="3">
        <v>11</v>
      </c>
      <c r="C645" s="3">
        <v>8</v>
      </c>
      <c r="D645" s="2">
        <v>182</v>
      </c>
      <c r="E645" s="3">
        <v>4</v>
      </c>
      <c r="F645" s="3" t="s">
        <v>45</v>
      </c>
      <c r="G645" s="3" t="str">
        <f t="shared" si="41"/>
        <v>2011</v>
      </c>
      <c r="H645" s="3">
        <f t="shared" si="42"/>
        <v>5</v>
      </c>
      <c r="I645" s="69"/>
      <c r="J645" s="3" t="s">
        <v>632</v>
      </c>
      <c r="K645" s="3" t="s">
        <v>317</v>
      </c>
      <c r="L645" s="3">
        <v>196.4</v>
      </c>
      <c r="M645" s="3">
        <v>550</v>
      </c>
      <c r="N645" s="3" t="str">
        <f t="shared" si="43"/>
        <v>2007</v>
      </c>
      <c r="O645" s="2">
        <v>182</v>
      </c>
    </row>
    <row r="646" spans="1:15" x14ac:dyDescent="0.35">
      <c r="A646" s="3">
        <v>2016</v>
      </c>
      <c r="B646" s="3">
        <v>11</v>
      </c>
      <c r="C646" s="3">
        <v>8</v>
      </c>
      <c r="D646" s="2">
        <v>194</v>
      </c>
      <c r="E646" s="3">
        <v>4</v>
      </c>
      <c r="F646" s="3" t="s">
        <v>45</v>
      </c>
      <c r="G646" s="3" t="str">
        <f t="shared" si="41"/>
        <v>2011</v>
      </c>
      <c r="H646" s="3">
        <f t="shared" si="42"/>
        <v>5</v>
      </c>
      <c r="I646" s="69"/>
      <c r="J646" s="3" t="s">
        <v>647</v>
      </c>
      <c r="K646" s="3" t="s">
        <v>317</v>
      </c>
      <c r="L646" s="3">
        <v>16.899999999999999</v>
      </c>
      <c r="M646" s="3">
        <v>551</v>
      </c>
      <c r="N646" s="3" t="str">
        <f t="shared" si="43"/>
        <v>2007</v>
      </c>
      <c r="O646" s="2">
        <v>194</v>
      </c>
    </row>
    <row r="647" spans="1:15" x14ac:dyDescent="0.35">
      <c r="A647" s="3">
        <v>2016</v>
      </c>
      <c r="B647" s="3">
        <v>11</v>
      </c>
      <c r="C647" s="3">
        <v>8</v>
      </c>
      <c r="D647" s="2">
        <v>194</v>
      </c>
      <c r="E647" s="3">
        <v>4</v>
      </c>
      <c r="F647" s="3" t="s">
        <v>45</v>
      </c>
      <c r="G647" s="3" t="str">
        <f t="shared" ref="G647:G710" si="44">IF(K647="A55","2009",IF(K647="A59","2009",IF(K647="A60","2010",IF(K647="A62","2011",IF(K647="CP","2013",IF(K647="MD","2012",IF(K647="TS","2013",IF(K647="DL","2018",IF(K647="SCU","2018",IF(K647="NCU","2018",IF(K647="C1C","2018",IF(K647="C1E","2018",IF(K647="RS1S","2018",IF(K647="C2B","2018",IF(K647="DB3","2018",IF(AND(K647=6,F647="SRS"),"2018",IF(AND(K647=7,F647="SRS"),"2020",IF(AND(K647=8,F647="SRS"),"2020",IF(K647=23,"2019",IF(AND(K647=7,F647="WCA 3B"),"2017",IF(AND(K647=8,F647="WCA 3B"),"2019",IF(K647=1,"2021",IF(K647=2,"2022",IF(K647=3,"2021",IF(K647=4,"2021",IF(K647=5,"2022",IF(AND(K647=6,F647="WCA 3A"),"2022",IF(K647=9,"2023",IF(K647=10,"2023",IF(K647=37,"2020"))))))))))))))))))))))))))))))</f>
        <v>2011</v>
      </c>
      <c r="H647" s="3">
        <f t="shared" si="42"/>
        <v>5</v>
      </c>
      <c r="I647" s="69"/>
      <c r="J647" s="3" t="s">
        <v>647</v>
      </c>
      <c r="K647" s="3" t="s">
        <v>317</v>
      </c>
      <c r="L647" s="3">
        <v>16.899999999999999</v>
      </c>
      <c r="M647" s="3">
        <v>551</v>
      </c>
      <c r="N647" s="3" t="str">
        <f t="shared" si="43"/>
        <v>2007</v>
      </c>
      <c r="O647" s="2">
        <v>194</v>
      </c>
    </row>
    <row r="648" spans="1:15" x14ac:dyDescent="0.35">
      <c r="A648" s="3">
        <v>2016</v>
      </c>
      <c r="B648" s="3">
        <v>9</v>
      </c>
      <c r="C648" s="3">
        <v>1</v>
      </c>
      <c r="D648" s="2">
        <v>300</v>
      </c>
      <c r="E648" s="3">
        <v>3</v>
      </c>
      <c r="F648" s="3" t="s">
        <v>45</v>
      </c>
      <c r="G648" s="3" t="str">
        <f t="shared" si="44"/>
        <v>2011</v>
      </c>
      <c r="H648" s="3">
        <f t="shared" si="42"/>
        <v>5</v>
      </c>
      <c r="I648" s="69"/>
      <c r="J648" s="3" t="s">
        <v>632</v>
      </c>
      <c r="K648" s="3" t="s">
        <v>317</v>
      </c>
      <c r="L648" s="3">
        <v>182.3</v>
      </c>
      <c r="M648" s="3">
        <v>551</v>
      </c>
      <c r="N648" s="3" t="str">
        <f t="shared" si="43"/>
        <v>2007</v>
      </c>
      <c r="O648" s="2">
        <v>300</v>
      </c>
    </row>
    <row r="649" spans="1:15" x14ac:dyDescent="0.35">
      <c r="A649" s="3">
        <v>2019</v>
      </c>
      <c r="B649" s="3">
        <v>2</v>
      </c>
      <c r="C649" s="3">
        <v>21</v>
      </c>
      <c r="D649" s="2">
        <v>172</v>
      </c>
      <c r="E649" s="3">
        <v>1</v>
      </c>
      <c r="F649" s="3" t="s">
        <v>45</v>
      </c>
      <c r="G649" s="3" t="str">
        <f t="shared" si="44"/>
        <v>2011</v>
      </c>
      <c r="H649" s="3">
        <f t="shared" si="42"/>
        <v>8</v>
      </c>
      <c r="I649" s="69"/>
      <c r="J649" s="3" t="s">
        <v>615</v>
      </c>
      <c r="K649" s="3" t="s">
        <v>317</v>
      </c>
      <c r="L649" s="3">
        <v>195.7</v>
      </c>
      <c r="M649" s="3">
        <v>552</v>
      </c>
      <c r="N649" s="3" t="str">
        <f t="shared" si="43"/>
        <v>2007</v>
      </c>
      <c r="O649" s="2">
        <v>172</v>
      </c>
    </row>
    <row r="650" spans="1:15" x14ac:dyDescent="0.35">
      <c r="A650" s="3">
        <v>2016</v>
      </c>
      <c r="B650" s="3">
        <v>11</v>
      </c>
      <c r="C650" s="3">
        <v>16</v>
      </c>
      <c r="D650" s="2">
        <v>179</v>
      </c>
      <c r="E650" s="3">
        <v>4</v>
      </c>
      <c r="F650" s="3" t="s">
        <v>41</v>
      </c>
      <c r="G650" s="3" t="str">
        <f t="shared" si="44"/>
        <v>2013</v>
      </c>
      <c r="H650" s="3">
        <f t="shared" si="42"/>
        <v>3</v>
      </c>
      <c r="I650" s="69"/>
      <c r="J650" s="3" t="s">
        <v>583</v>
      </c>
      <c r="K650" s="3" t="s">
        <v>318</v>
      </c>
      <c r="L650" s="3">
        <v>180.1</v>
      </c>
      <c r="M650" s="3">
        <v>553</v>
      </c>
      <c r="N650" s="3" t="str">
        <f t="shared" si="43"/>
        <v>2011</v>
      </c>
      <c r="O650" s="2">
        <v>179</v>
      </c>
    </row>
    <row r="651" spans="1:15" x14ac:dyDescent="0.35">
      <c r="A651" s="3">
        <v>2021</v>
      </c>
      <c r="B651" s="3">
        <v>10</v>
      </c>
      <c r="C651" s="3">
        <v>11</v>
      </c>
      <c r="D651" s="2">
        <v>463</v>
      </c>
      <c r="E651" s="3">
        <v>4</v>
      </c>
      <c r="F651" s="3" t="s">
        <v>226</v>
      </c>
      <c r="G651" s="3" t="str">
        <f t="shared" si="44"/>
        <v>2018</v>
      </c>
      <c r="H651" s="3">
        <f t="shared" si="42"/>
        <v>3</v>
      </c>
      <c r="I651" s="69"/>
      <c r="J651" s="3" t="s">
        <v>51</v>
      </c>
      <c r="K651" s="3" t="s">
        <v>920</v>
      </c>
      <c r="L651" s="16">
        <v>160</v>
      </c>
      <c r="M651" s="3">
        <v>553</v>
      </c>
      <c r="N651" s="3" t="str">
        <f t="shared" si="43"/>
        <v>2017</v>
      </c>
      <c r="O651" s="2">
        <v>463</v>
      </c>
    </row>
    <row r="652" spans="1:15" x14ac:dyDescent="0.35">
      <c r="A652" s="3">
        <v>2024</v>
      </c>
      <c r="B652" s="3">
        <v>8</v>
      </c>
      <c r="C652" s="3">
        <v>9</v>
      </c>
      <c r="D652" s="2">
        <v>767</v>
      </c>
      <c r="E652" s="3">
        <v>3</v>
      </c>
      <c r="F652" s="3" t="s">
        <v>41</v>
      </c>
      <c r="G652" s="3" t="str">
        <f t="shared" si="44"/>
        <v>2013</v>
      </c>
      <c r="H652" s="3">
        <f t="shared" si="42"/>
        <v>11</v>
      </c>
      <c r="I652" s="69"/>
      <c r="J652" s="6" t="s">
        <v>509</v>
      </c>
      <c r="K652" t="s">
        <v>458</v>
      </c>
      <c r="L652">
        <v>148.5</v>
      </c>
      <c r="M652" s="3">
        <v>553</v>
      </c>
      <c r="N652" s="3" t="str">
        <f t="shared" si="43"/>
        <v>2011</v>
      </c>
      <c r="O652" s="2">
        <v>767</v>
      </c>
    </row>
    <row r="653" spans="1:15" x14ac:dyDescent="0.35">
      <c r="A653" s="3">
        <v>2021</v>
      </c>
      <c r="B653" s="3">
        <v>10</v>
      </c>
      <c r="C653" s="3" t="s">
        <v>28</v>
      </c>
      <c r="D653" s="2">
        <v>36</v>
      </c>
      <c r="E653" s="3">
        <v>4</v>
      </c>
      <c r="F653" s="3" t="s">
        <v>41</v>
      </c>
      <c r="G653" s="3" t="str">
        <f t="shared" si="44"/>
        <v>2012</v>
      </c>
      <c r="H653" s="3">
        <f t="shared" si="42"/>
        <v>9</v>
      </c>
      <c r="I653" s="69"/>
      <c r="J653" s="3" t="s">
        <v>461</v>
      </c>
      <c r="K653" s="3" t="s">
        <v>461</v>
      </c>
      <c r="L653" s="3">
        <v>161.80000000000001</v>
      </c>
      <c r="M653" s="3">
        <v>554</v>
      </c>
      <c r="N653" s="3" t="str">
        <f t="shared" si="43"/>
        <v>2011</v>
      </c>
      <c r="O653" s="2">
        <v>36</v>
      </c>
    </row>
    <row r="654" spans="1:15" x14ac:dyDescent="0.35">
      <c r="A654" s="3">
        <v>2023</v>
      </c>
      <c r="B654" s="3">
        <v>7</v>
      </c>
      <c r="C654" s="3">
        <v>21</v>
      </c>
      <c r="D654" s="2">
        <v>447</v>
      </c>
      <c r="E654" s="3">
        <v>3</v>
      </c>
      <c r="F654" s="3" t="s">
        <v>20</v>
      </c>
      <c r="G654" s="3" t="str">
        <f t="shared" si="44"/>
        <v>2020</v>
      </c>
      <c r="H654" s="3">
        <f t="shared" si="42"/>
        <v>3</v>
      </c>
      <c r="I654" s="69"/>
      <c r="J654" s="3" t="s">
        <v>73</v>
      </c>
      <c r="K654" s="3">
        <v>37</v>
      </c>
      <c r="L654" s="3">
        <v>168.8</v>
      </c>
      <c r="M654" s="3">
        <v>555</v>
      </c>
      <c r="N654" s="3" t="str">
        <f t="shared" si="43"/>
        <v>2018</v>
      </c>
      <c r="O654" s="2">
        <v>447</v>
      </c>
    </row>
    <row r="655" spans="1:15" x14ac:dyDescent="0.35">
      <c r="A655" s="3">
        <v>2021</v>
      </c>
      <c r="B655" s="3">
        <v>10</v>
      </c>
      <c r="C655" s="3">
        <v>11</v>
      </c>
      <c r="D655" s="2">
        <v>470</v>
      </c>
      <c r="E655" s="3">
        <v>4</v>
      </c>
      <c r="F655" s="3" t="s">
        <v>226</v>
      </c>
      <c r="G655" s="3" t="str">
        <f t="shared" si="44"/>
        <v>2018</v>
      </c>
      <c r="H655" s="3">
        <f t="shared" si="42"/>
        <v>3</v>
      </c>
      <c r="I655" s="69"/>
      <c r="J655" s="3" t="s">
        <v>51</v>
      </c>
      <c r="K655" s="3" t="s">
        <v>920</v>
      </c>
      <c r="L655" s="16">
        <v>165</v>
      </c>
      <c r="M655" s="3">
        <v>555</v>
      </c>
      <c r="N655" s="3" t="str">
        <f t="shared" si="43"/>
        <v>2017</v>
      </c>
      <c r="O655" s="2">
        <v>470</v>
      </c>
    </row>
    <row r="656" spans="1:15" x14ac:dyDescent="0.35">
      <c r="A656" s="3">
        <v>2024</v>
      </c>
      <c r="B656" s="3">
        <v>2</v>
      </c>
      <c r="C656" s="3">
        <v>28</v>
      </c>
      <c r="D656" s="2">
        <v>669</v>
      </c>
      <c r="E656" s="3">
        <v>2</v>
      </c>
      <c r="F656" s="3" t="s">
        <v>225</v>
      </c>
      <c r="G656" s="3" t="str">
        <f t="shared" si="44"/>
        <v>2023</v>
      </c>
      <c r="H656" s="3">
        <f t="shared" si="42"/>
        <v>1</v>
      </c>
      <c r="I656" s="69"/>
      <c r="J656" t="s">
        <v>1090</v>
      </c>
      <c r="K656">
        <v>9</v>
      </c>
      <c r="L656">
        <v>208.7</v>
      </c>
      <c r="M656" s="3">
        <v>555</v>
      </c>
      <c r="N656" s="3" t="str">
        <f t="shared" si="43"/>
        <v>2021</v>
      </c>
      <c r="O656" s="2">
        <v>669</v>
      </c>
    </row>
    <row r="657" spans="1:24" x14ac:dyDescent="0.35">
      <c r="A657" s="3">
        <v>2022</v>
      </c>
      <c r="B657" s="3">
        <v>1</v>
      </c>
      <c r="C657" s="3" t="s">
        <v>28</v>
      </c>
      <c r="D657" s="2">
        <v>18</v>
      </c>
      <c r="E657" s="3">
        <v>1</v>
      </c>
      <c r="F657" s="3" t="s">
        <v>41</v>
      </c>
      <c r="G657" s="3" t="str">
        <f t="shared" si="44"/>
        <v>2012</v>
      </c>
      <c r="H657" s="3">
        <f t="shared" si="42"/>
        <v>10</v>
      </c>
      <c r="I657" s="69"/>
      <c r="J657" s="3" t="s">
        <v>461</v>
      </c>
      <c r="K657" s="3" t="s">
        <v>461</v>
      </c>
      <c r="L657" s="3">
        <v>163.5</v>
      </c>
      <c r="M657" s="3">
        <v>556</v>
      </c>
      <c r="N657" s="3" t="str">
        <f t="shared" si="43"/>
        <v>2011</v>
      </c>
      <c r="O657" s="2">
        <v>18</v>
      </c>
    </row>
    <row r="658" spans="1:24" x14ac:dyDescent="0.35">
      <c r="A658" s="3">
        <v>2024</v>
      </c>
      <c r="B658" s="3">
        <v>8</v>
      </c>
      <c r="C658" s="3">
        <v>19</v>
      </c>
      <c r="D658" s="2">
        <v>751</v>
      </c>
      <c r="E658" s="3">
        <v>3</v>
      </c>
      <c r="F658" s="3" t="s">
        <v>225</v>
      </c>
      <c r="G658" s="3" t="str">
        <f t="shared" si="44"/>
        <v>2021</v>
      </c>
      <c r="H658" s="3">
        <f t="shared" si="42"/>
        <v>3</v>
      </c>
      <c r="I658" s="69"/>
      <c r="J658">
        <v>3</v>
      </c>
      <c r="K658">
        <v>3</v>
      </c>
      <c r="L658">
        <v>182.8</v>
      </c>
      <c r="M658" s="3">
        <v>558</v>
      </c>
      <c r="N658" s="3" t="str">
        <f t="shared" si="43"/>
        <v>2021</v>
      </c>
      <c r="O658" s="2">
        <v>751</v>
      </c>
    </row>
    <row r="659" spans="1:24" x14ac:dyDescent="0.35">
      <c r="A659" s="3">
        <v>2019</v>
      </c>
      <c r="B659" s="3">
        <v>2</v>
      </c>
      <c r="C659" s="3">
        <v>18</v>
      </c>
      <c r="D659" s="2">
        <v>155</v>
      </c>
      <c r="E659" s="3">
        <v>1</v>
      </c>
      <c r="F659" s="3" t="s">
        <v>41</v>
      </c>
      <c r="G659" s="3" t="str">
        <f t="shared" si="44"/>
        <v>2013</v>
      </c>
      <c r="H659" s="3">
        <f t="shared" si="42"/>
        <v>6</v>
      </c>
      <c r="I659" s="69"/>
      <c r="J659" s="3" t="s">
        <v>91</v>
      </c>
      <c r="K659" s="3" t="s">
        <v>318</v>
      </c>
      <c r="L659" s="3">
        <v>189.6</v>
      </c>
      <c r="M659" s="3">
        <v>559</v>
      </c>
      <c r="N659" s="3" t="str">
        <f t="shared" si="43"/>
        <v>2011</v>
      </c>
      <c r="O659" s="2">
        <v>155</v>
      </c>
    </row>
    <row r="660" spans="1:24" x14ac:dyDescent="0.35">
      <c r="A660" s="3">
        <v>2019</v>
      </c>
      <c r="B660" s="3">
        <v>11</v>
      </c>
      <c r="C660" s="3">
        <v>27</v>
      </c>
      <c r="D660" s="2">
        <v>43</v>
      </c>
      <c r="E660" s="3">
        <v>4</v>
      </c>
      <c r="F660" s="3" t="s">
        <v>45</v>
      </c>
      <c r="G660" s="3" t="str">
        <f t="shared" si="44"/>
        <v>2011</v>
      </c>
      <c r="H660" s="3">
        <f t="shared" si="42"/>
        <v>8</v>
      </c>
      <c r="I660" s="69"/>
      <c r="J660" s="3" t="s">
        <v>317</v>
      </c>
      <c r="K660" s="3" t="s">
        <v>317</v>
      </c>
      <c r="L660" s="3">
        <v>188.8</v>
      </c>
      <c r="M660" s="3">
        <v>560</v>
      </c>
      <c r="N660" s="3" t="str">
        <f t="shared" si="43"/>
        <v>2007</v>
      </c>
      <c r="O660" s="2">
        <v>43</v>
      </c>
    </row>
    <row r="661" spans="1:24" x14ac:dyDescent="0.35">
      <c r="A661" s="3">
        <v>2024</v>
      </c>
      <c r="B661" s="3">
        <v>1</v>
      </c>
      <c r="C661" s="3">
        <v>17</v>
      </c>
      <c r="D661" s="2">
        <v>563</v>
      </c>
      <c r="E661" s="3">
        <v>1</v>
      </c>
      <c r="F661" s="3" t="s">
        <v>41</v>
      </c>
      <c r="G661" s="3" t="str">
        <f t="shared" si="44"/>
        <v>2013</v>
      </c>
      <c r="H661" s="3">
        <f t="shared" si="42"/>
        <v>11</v>
      </c>
      <c r="I661" s="69"/>
      <c r="J661" t="s">
        <v>42</v>
      </c>
      <c r="K661" s="3" t="s">
        <v>318</v>
      </c>
      <c r="L661">
        <v>180.6</v>
      </c>
      <c r="M661" s="3">
        <v>561</v>
      </c>
      <c r="N661" s="3" t="str">
        <f t="shared" si="43"/>
        <v>2011</v>
      </c>
      <c r="O661" s="2">
        <v>563</v>
      </c>
    </row>
    <row r="662" spans="1:24" x14ac:dyDescent="0.35">
      <c r="A662" s="3">
        <v>2024</v>
      </c>
      <c r="B662" s="3">
        <v>2</v>
      </c>
      <c r="C662" s="3">
        <v>23</v>
      </c>
      <c r="D662" s="2">
        <v>640</v>
      </c>
      <c r="E662" s="3">
        <v>1</v>
      </c>
      <c r="F662" s="3" t="s">
        <v>225</v>
      </c>
      <c r="G662" s="3" t="str">
        <f t="shared" si="44"/>
        <v>2022</v>
      </c>
      <c r="H662" s="3">
        <f t="shared" si="42"/>
        <v>2</v>
      </c>
      <c r="I662" s="69"/>
      <c r="J662" t="s">
        <v>21</v>
      </c>
      <c r="K662" s="3">
        <v>2</v>
      </c>
      <c r="L662">
        <v>210.6</v>
      </c>
      <c r="M662" s="3">
        <v>561</v>
      </c>
      <c r="N662" s="3" t="str">
        <f t="shared" si="43"/>
        <v>2021</v>
      </c>
      <c r="O662" s="2">
        <v>640</v>
      </c>
    </row>
    <row r="663" spans="1:24" x14ac:dyDescent="0.35">
      <c r="A663" s="3">
        <v>2024</v>
      </c>
      <c r="B663" s="3">
        <v>4</v>
      </c>
      <c r="C663" s="3">
        <v>5</v>
      </c>
      <c r="D663" s="2">
        <v>652</v>
      </c>
      <c r="E663" s="3">
        <v>2</v>
      </c>
      <c r="F663" s="3" t="s">
        <v>225</v>
      </c>
      <c r="G663" s="3" t="str">
        <f t="shared" si="44"/>
        <v>2021</v>
      </c>
      <c r="H663" s="3">
        <f t="shared" si="42"/>
        <v>3</v>
      </c>
      <c r="I663" s="69"/>
      <c r="J663" t="s">
        <v>76</v>
      </c>
      <c r="K663" s="3">
        <v>1</v>
      </c>
      <c r="L663">
        <v>16.02</v>
      </c>
      <c r="M663" s="3">
        <v>561</v>
      </c>
      <c r="N663" s="3" t="str">
        <f t="shared" si="43"/>
        <v>2021</v>
      </c>
      <c r="O663" s="2">
        <v>652</v>
      </c>
    </row>
    <row r="664" spans="1:24" x14ac:dyDescent="0.35">
      <c r="A664" s="3">
        <v>2024</v>
      </c>
      <c r="B664" s="3">
        <v>8</v>
      </c>
      <c r="C664" s="3">
        <v>9</v>
      </c>
      <c r="D664" s="2">
        <v>769</v>
      </c>
      <c r="E664" s="3">
        <v>3</v>
      </c>
      <c r="F664" s="3" t="s">
        <v>41</v>
      </c>
      <c r="G664" s="3" t="str">
        <f t="shared" si="44"/>
        <v>2013</v>
      </c>
      <c r="H664" s="3">
        <f t="shared" si="42"/>
        <v>11</v>
      </c>
      <c r="I664" s="69"/>
      <c r="J664" s="6" t="s">
        <v>509</v>
      </c>
      <c r="K664" t="s">
        <v>458</v>
      </c>
      <c r="L664">
        <v>176.8</v>
      </c>
      <c r="M664" s="3">
        <v>561</v>
      </c>
      <c r="N664" s="3" t="str">
        <f t="shared" si="43"/>
        <v>2011</v>
      </c>
      <c r="O664" s="2">
        <v>769</v>
      </c>
    </row>
    <row r="665" spans="1:24" x14ac:dyDescent="0.35">
      <c r="A665" s="3">
        <v>2024</v>
      </c>
      <c r="B665" s="3">
        <v>3</v>
      </c>
      <c r="C665" s="3">
        <v>12</v>
      </c>
      <c r="D665" s="2">
        <v>685</v>
      </c>
      <c r="E665" s="3">
        <v>2</v>
      </c>
      <c r="F665" s="3" t="s">
        <v>45</v>
      </c>
      <c r="G665" s="3" t="str">
        <f t="shared" si="44"/>
        <v>2011</v>
      </c>
      <c r="H665" s="3">
        <f t="shared" si="42"/>
        <v>13</v>
      </c>
      <c r="I665" s="69"/>
      <c r="J665" t="s">
        <v>1105</v>
      </c>
      <c r="K665" t="s">
        <v>317</v>
      </c>
      <c r="L665">
        <v>215.5</v>
      </c>
      <c r="M665" s="3">
        <v>562</v>
      </c>
      <c r="N665" s="3" t="str">
        <f t="shared" si="43"/>
        <v>2007</v>
      </c>
      <c r="O665" s="2">
        <v>685</v>
      </c>
    </row>
    <row r="666" spans="1:24" x14ac:dyDescent="0.35">
      <c r="A666" s="3">
        <v>2024</v>
      </c>
      <c r="B666" s="3">
        <v>8</v>
      </c>
      <c r="C666" s="2">
        <v>20</v>
      </c>
      <c r="D666" s="2">
        <v>763</v>
      </c>
      <c r="E666" s="3">
        <v>3</v>
      </c>
      <c r="F666" s="3" t="s">
        <v>226</v>
      </c>
      <c r="G666" s="3" t="str">
        <f t="shared" si="44"/>
        <v>2017</v>
      </c>
      <c r="H666" s="3">
        <f t="shared" si="42"/>
        <v>7</v>
      </c>
      <c r="I666" s="69"/>
      <c r="J666" s="6" t="s">
        <v>228</v>
      </c>
      <c r="K666">
        <v>7</v>
      </c>
      <c r="L666">
        <v>177.2</v>
      </c>
      <c r="M666" s="3">
        <v>562</v>
      </c>
      <c r="N666" s="3" t="str">
        <f t="shared" si="43"/>
        <v>2017</v>
      </c>
      <c r="O666" s="2">
        <v>763</v>
      </c>
    </row>
    <row r="667" spans="1:24" x14ac:dyDescent="0.35">
      <c r="A667" s="3">
        <v>2019</v>
      </c>
      <c r="B667" s="3">
        <v>2</v>
      </c>
      <c r="C667" s="3">
        <v>21</v>
      </c>
      <c r="D667" s="2">
        <v>171</v>
      </c>
      <c r="E667" s="3">
        <v>1</v>
      </c>
      <c r="F667" s="3" t="s">
        <v>45</v>
      </c>
      <c r="G667" s="3" t="str">
        <f t="shared" si="44"/>
        <v>2011</v>
      </c>
      <c r="H667" s="3">
        <f t="shared" si="42"/>
        <v>8</v>
      </c>
      <c r="I667" s="69"/>
      <c r="J667" s="3" t="s">
        <v>615</v>
      </c>
      <c r="K667" s="3" t="s">
        <v>317</v>
      </c>
      <c r="L667" s="3">
        <v>16.600000000000001</v>
      </c>
      <c r="M667" s="3">
        <v>563</v>
      </c>
      <c r="N667" s="3" t="str">
        <f t="shared" si="43"/>
        <v>2007</v>
      </c>
      <c r="O667" s="2">
        <v>171</v>
      </c>
    </row>
    <row r="668" spans="1:24" x14ac:dyDescent="0.35">
      <c r="A668" s="3">
        <v>2021</v>
      </c>
      <c r="B668" s="3">
        <v>10</v>
      </c>
      <c r="C668" s="3">
        <v>11</v>
      </c>
      <c r="D668" s="2">
        <v>485</v>
      </c>
      <c r="E668" s="3">
        <v>4</v>
      </c>
      <c r="F668" s="3" t="s">
        <v>226</v>
      </c>
      <c r="G668" s="3" t="str">
        <f t="shared" si="44"/>
        <v>2018</v>
      </c>
      <c r="H668" s="3">
        <f t="shared" si="42"/>
        <v>3</v>
      </c>
      <c r="I668" s="69"/>
      <c r="J668" s="3" t="s">
        <v>51</v>
      </c>
      <c r="K668" s="3" t="s">
        <v>939</v>
      </c>
      <c r="L668" s="16">
        <v>210</v>
      </c>
      <c r="M668" s="3">
        <v>563</v>
      </c>
      <c r="N668" s="3" t="str">
        <f t="shared" si="43"/>
        <v>2017</v>
      </c>
      <c r="O668" s="2">
        <v>485</v>
      </c>
      <c r="X668">
        <v>64.27</v>
      </c>
    </row>
    <row r="669" spans="1:24" x14ac:dyDescent="0.35">
      <c r="A669" s="3">
        <v>2023</v>
      </c>
      <c r="B669" s="3">
        <v>7</v>
      </c>
      <c r="C669" s="3">
        <v>31</v>
      </c>
      <c r="D669" s="2">
        <v>418</v>
      </c>
      <c r="E669" s="3">
        <v>3</v>
      </c>
      <c r="F669" s="3" t="s">
        <v>225</v>
      </c>
      <c r="G669" s="3" t="str">
        <f t="shared" si="44"/>
        <v>2022</v>
      </c>
      <c r="H669" s="3">
        <f t="shared" si="42"/>
        <v>1</v>
      </c>
      <c r="I669" s="69"/>
      <c r="J669" s="3" t="s">
        <v>58</v>
      </c>
      <c r="K669" s="3">
        <v>2</v>
      </c>
      <c r="L669" s="3">
        <v>212.9</v>
      </c>
      <c r="M669" s="3">
        <v>563.80000000000007</v>
      </c>
      <c r="N669" s="3" t="str">
        <f t="shared" si="43"/>
        <v>2021</v>
      </c>
      <c r="O669" s="2">
        <v>418</v>
      </c>
    </row>
    <row r="670" spans="1:24" x14ac:dyDescent="0.35">
      <c r="A670" s="3">
        <v>2022</v>
      </c>
      <c r="B670" s="3">
        <v>1</v>
      </c>
      <c r="C670" s="3" t="s">
        <v>28</v>
      </c>
      <c r="D670" s="2">
        <v>10</v>
      </c>
      <c r="E670" s="3">
        <v>1</v>
      </c>
      <c r="F670" s="3" t="s">
        <v>41</v>
      </c>
      <c r="G670" s="3" t="str">
        <f t="shared" si="44"/>
        <v>2013</v>
      </c>
      <c r="H670" s="3">
        <f t="shared" si="42"/>
        <v>9</v>
      </c>
      <c r="I670" s="69"/>
      <c r="J670" s="3" t="s">
        <v>318</v>
      </c>
      <c r="K670" s="3" t="s">
        <v>318</v>
      </c>
      <c r="L670" s="3">
        <v>174.7</v>
      </c>
      <c r="M670" s="3">
        <v>566</v>
      </c>
      <c r="N670" s="3" t="str">
        <f t="shared" si="43"/>
        <v>2011</v>
      </c>
      <c r="O670" s="2">
        <v>10</v>
      </c>
    </row>
    <row r="671" spans="1:24" x14ac:dyDescent="0.35">
      <c r="A671" s="3">
        <v>2016</v>
      </c>
      <c r="B671" s="3">
        <v>9</v>
      </c>
      <c r="C671" s="3">
        <v>2</v>
      </c>
      <c r="D671" s="2">
        <v>296</v>
      </c>
      <c r="E671" s="3">
        <v>3</v>
      </c>
      <c r="F671" s="3" t="s">
        <v>41</v>
      </c>
      <c r="G671" s="3" t="str">
        <f t="shared" si="44"/>
        <v>2013</v>
      </c>
      <c r="H671" s="3">
        <f t="shared" si="42"/>
        <v>3</v>
      </c>
      <c r="I671" s="69"/>
      <c r="J671" s="3" t="s">
        <v>583</v>
      </c>
      <c r="K671" s="3" t="s">
        <v>318</v>
      </c>
      <c r="L671" s="3">
        <v>168.6</v>
      </c>
      <c r="M671" s="3">
        <v>566</v>
      </c>
      <c r="N671" s="3" t="str">
        <f t="shared" si="43"/>
        <v>2011</v>
      </c>
      <c r="O671" s="2">
        <v>296</v>
      </c>
    </row>
    <row r="672" spans="1:24" x14ac:dyDescent="0.35">
      <c r="A672" s="3">
        <v>2024</v>
      </c>
      <c r="B672" s="3">
        <v>8</v>
      </c>
      <c r="C672" s="3">
        <v>13</v>
      </c>
      <c r="D672" s="2">
        <v>758</v>
      </c>
      <c r="E672" s="3">
        <v>3</v>
      </c>
      <c r="F672" s="3" t="s">
        <v>225</v>
      </c>
      <c r="G672" s="3" t="str">
        <f t="shared" si="44"/>
        <v>2021</v>
      </c>
      <c r="H672" s="3">
        <f t="shared" si="42"/>
        <v>3</v>
      </c>
      <c r="I672" s="69"/>
      <c r="J672" s="6" t="s">
        <v>1076</v>
      </c>
      <c r="K672">
        <v>3</v>
      </c>
      <c r="L672">
        <v>205.8</v>
      </c>
      <c r="M672" s="3">
        <v>566</v>
      </c>
      <c r="N672" s="3" t="str">
        <f t="shared" si="43"/>
        <v>2021</v>
      </c>
      <c r="O672" s="2">
        <v>758</v>
      </c>
    </row>
    <row r="673" spans="1:19" x14ac:dyDescent="0.35">
      <c r="A673" s="3">
        <v>2019</v>
      </c>
      <c r="B673" s="3">
        <v>11</v>
      </c>
      <c r="C673" s="3">
        <v>27</v>
      </c>
      <c r="D673" s="2">
        <v>38</v>
      </c>
      <c r="E673" s="3">
        <v>4</v>
      </c>
      <c r="F673" s="3" t="s">
        <v>45</v>
      </c>
      <c r="G673" s="3" t="str">
        <f t="shared" si="44"/>
        <v>2011</v>
      </c>
      <c r="H673" s="3">
        <f t="shared" si="42"/>
        <v>8</v>
      </c>
      <c r="I673" s="69"/>
      <c r="J673" s="3" t="s">
        <v>317</v>
      </c>
      <c r="K673" s="3" t="s">
        <v>317</v>
      </c>
      <c r="L673" s="3">
        <v>187.2</v>
      </c>
      <c r="M673" s="3">
        <v>568</v>
      </c>
      <c r="N673" s="3" t="str">
        <f t="shared" si="43"/>
        <v>2007</v>
      </c>
      <c r="O673" s="2">
        <v>38</v>
      </c>
    </row>
    <row r="674" spans="1:19" x14ac:dyDescent="0.35">
      <c r="A674" s="3">
        <v>2016</v>
      </c>
      <c r="B674" s="3">
        <v>11</v>
      </c>
      <c r="C674" s="3">
        <v>7</v>
      </c>
      <c r="D674" s="2">
        <v>205</v>
      </c>
      <c r="E674" s="3">
        <v>4</v>
      </c>
      <c r="F674" s="3" t="s">
        <v>45</v>
      </c>
      <c r="G674" s="3" t="str">
        <f t="shared" si="44"/>
        <v>2009</v>
      </c>
      <c r="H674" s="3">
        <f t="shared" si="42"/>
        <v>7</v>
      </c>
      <c r="I674" s="69"/>
      <c r="J674" s="3" t="s">
        <v>657</v>
      </c>
      <c r="K674" s="3" t="s">
        <v>488</v>
      </c>
      <c r="L674" s="3">
        <v>197.1</v>
      </c>
      <c r="M674" s="3">
        <v>568</v>
      </c>
      <c r="N674" s="3" t="str">
        <f t="shared" si="43"/>
        <v>2007</v>
      </c>
      <c r="O674" s="2">
        <v>205</v>
      </c>
    </row>
    <row r="675" spans="1:19" x14ac:dyDescent="0.35">
      <c r="A675" s="3">
        <v>2017</v>
      </c>
      <c r="B675" s="3">
        <v>7</v>
      </c>
      <c r="C675" s="3">
        <v>8</v>
      </c>
      <c r="D675" s="2">
        <v>92</v>
      </c>
      <c r="E675" s="15">
        <v>3</v>
      </c>
      <c r="F675" s="3" t="s">
        <v>41</v>
      </c>
      <c r="G675" s="3" t="str">
        <f t="shared" si="44"/>
        <v>2013</v>
      </c>
      <c r="H675" s="3">
        <f t="shared" si="42"/>
        <v>4</v>
      </c>
      <c r="I675" s="69"/>
      <c r="J675" s="3" t="s">
        <v>318</v>
      </c>
      <c r="K675" s="3" t="s">
        <v>318</v>
      </c>
      <c r="L675" s="3">
        <v>168.6</v>
      </c>
      <c r="M675" s="3">
        <v>570</v>
      </c>
      <c r="N675" s="3" t="str">
        <f t="shared" si="43"/>
        <v>2011</v>
      </c>
      <c r="O675" s="2">
        <v>92</v>
      </c>
    </row>
    <row r="676" spans="1:19" x14ac:dyDescent="0.35">
      <c r="A676" s="3">
        <v>2016</v>
      </c>
      <c r="B676" s="3">
        <v>11</v>
      </c>
      <c r="C676" s="3">
        <v>8</v>
      </c>
      <c r="D676" s="2">
        <v>195</v>
      </c>
      <c r="E676" s="3">
        <v>4</v>
      </c>
      <c r="F676" s="3" t="s">
        <v>45</v>
      </c>
      <c r="G676" s="3" t="str">
        <f t="shared" si="44"/>
        <v>2011</v>
      </c>
      <c r="H676" s="3">
        <f t="shared" si="42"/>
        <v>5</v>
      </c>
      <c r="I676" s="69"/>
      <c r="J676" s="3" t="s">
        <v>647</v>
      </c>
      <c r="K676" s="3" t="s">
        <v>317</v>
      </c>
      <c r="L676" s="3">
        <v>199.7</v>
      </c>
      <c r="M676" s="3">
        <v>570</v>
      </c>
      <c r="N676" s="3" t="str">
        <f t="shared" si="43"/>
        <v>2007</v>
      </c>
      <c r="O676" s="2">
        <v>195</v>
      </c>
    </row>
    <row r="677" spans="1:19" x14ac:dyDescent="0.35">
      <c r="A677" s="3">
        <v>2023</v>
      </c>
      <c r="B677" s="3">
        <v>7</v>
      </c>
      <c r="C677" s="3">
        <v>31</v>
      </c>
      <c r="D677" s="2">
        <v>417</v>
      </c>
      <c r="E677" s="3">
        <v>3</v>
      </c>
      <c r="F677" s="3" t="s">
        <v>225</v>
      </c>
      <c r="G677" s="3" t="str">
        <f t="shared" si="44"/>
        <v>2022</v>
      </c>
      <c r="H677" s="3">
        <f t="shared" si="42"/>
        <v>1</v>
      </c>
      <c r="I677" s="69"/>
      <c r="J677" s="3" t="s">
        <v>58</v>
      </c>
      <c r="K677" s="3">
        <v>2</v>
      </c>
      <c r="L677" s="3">
        <v>20.6</v>
      </c>
      <c r="M677" s="3">
        <v>571.5</v>
      </c>
      <c r="N677" s="3" t="str">
        <f t="shared" si="43"/>
        <v>2021</v>
      </c>
      <c r="O677" s="2">
        <v>417</v>
      </c>
    </row>
    <row r="678" spans="1:19" x14ac:dyDescent="0.35">
      <c r="A678" s="3">
        <v>2022</v>
      </c>
      <c r="B678" s="3">
        <v>1</v>
      </c>
      <c r="C678" s="3" t="s">
        <v>28</v>
      </c>
      <c r="D678" s="2">
        <v>9</v>
      </c>
      <c r="E678" s="3">
        <v>1</v>
      </c>
      <c r="F678" s="3" t="s">
        <v>41</v>
      </c>
      <c r="G678" s="3" t="str">
        <f t="shared" si="44"/>
        <v>2013</v>
      </c>
      <c r="H678" s="3">
        <f t="shared" si="42"/>
        <v>9</v>
      </c>
      <c r="I678" s="69"/>
      <c r="J678" s="3" t="s">
        <v>318</v>
      </c>
      <c r="K678" s="3" t="s">
        <v>318</v>
      </c>
      <c r="L678" s="3">
        <v>25</v>
      </c>
      <c r="M678" s="3">
        <v>572</v>
      </c>
      <c r="N678" s="3" t="str">
        <f t="shared" si="43"/>
        <v>2011</v>
      </c>
      <c r="O678" s="2">
        <v>9</v>
      </c>
      <c r="P678">
        <v>18.91</v>
      </c>
    </row>
    <row r="679" spans="1:19" x14ac:dyDescent="0.35">
      <c r="A679" s="3">
        <v>2016</v>
      </c>
      <c r="B679" s="3">
        <v>11</v>
      </c>
      <c r="C679" s="3">
        <v>8</v>
      </c>
      <c r="D679" s="2">
        <v>189</v>
      </c>
      <c r="E679" s="3">
        <v>4</v>
      </c>
      <c r="F679" s="3" t="s">
        <v>45</v>
      </c>
      <c r="G679" s="3" t="str">
        <f t="shared" si="44"/>
        <v>2011</v>
      </c>
      <c r="H679" s="3">
        <f t="shared" si="42"/>
        <v>5</v>
      </c>
      <c r="I679" s="69"/>
      <c r="J679" s="3" t="s">
        <v>46</v>
      </c>
      <c r="K679" s="3" t="s">
        <v>317</v>
      </c>
      <c r="L679" s="3">
        <v>188.3</v>
      </c>
      <c r="M679" s="3">
        <v>572</v>
      </c>
      <c r="N679" s="3" t="str">
        <f t="shared" si="43"/>
        <v>2007</v>
      </c>
      <c r="O679" s="2">
        <v>189</v>
      </c>
    </row>
    <row r="680" spans="1:19" x14ac:dyDescent="0.35">
      <c r="A680" s="3">
        <v>2021</v>
      </c>
      <c r="B680" s="3">
        <v>10</v>
      </c>
      <c r="C680" s="3">
        <v>11</v>
      </c>
      <c r="D680" s="2">
        <v>476</v>
      </c>
      <c r="E680" s="3">
        <v>4</v>
      </c>
      <c r="F680" s="3" t="s">
        <v>226</v>
      </c>
      <c r="G680" s="3" t="str">
        <f t="shared" si="44"/>
        <v>2018</v>
      </c>
      <c r="H680" s="3">
        <f t="shared" si="42"/>
        <v>3</v>
      </c>
      <c r="I680" s="69"/>
      <c r="J680" s="3" t="s">
        <v>51</v>
      </c>
      <c r="K680" s="3" t="s">
        <v>929</v>
      </c>
      <c r="L680" s="16">
        <v>185</v>
      </c>
      <c r="M680" s="3">
        <v>572</v>
      </c>
      <c r="N680" s="3" t="str">
        <f t="shared" si="43"/>
        <v>2017</v>
      </c>
      <c r="O680" s="2">
        <v>476</v>
      </c>
    </row>
    <row r="681" spans="1:19" x14ac:dyDescent="0.35">
      <c r="A681" s="3">
        <v>2024</v>
      </c>
      <c r="B681" s="3">
        <v>3</v>
      </c>
      <c r="C681" s="3">
        <v>29</v>
      </c>
      <c r="D681" s="2">
        <v>663</v>
      </c>
      <c r="E681" s="3">
        <v>2</v>
      </c>
      <c r="F681" s="3" t="s">
        <v>41</v>
      </c>
      <c r="G681" s="3" t="str">
        <f t="shared" si="44"/>
        <v>2012</v>
      </c>
      <c r="H681" s="3">
        <f t="shared" si="42"/>
        <v>12</v>
      </c>
      <c r="I681" s="69"/>
      <c r="J681" t="s">
        <v>551</v>
      </c>
      <c r="K681" t="s">
        <v>461</v>
      </c>
      <c r="L681">
        <v>208.4</v>
      </c>
      <c r="M681" s="3">
        <v>573</v>
      </c>
      <c r="N681" s="3" t="str">
        <f t="shared" si="43"/>
        <v>2011</v>
      </c>
      <c r="O681" s="2">
        <v>663</v>
      </c>
    </row>
    <row r="682" spans="1:19" x14ac:dyDescent="0.35">
      <c r="A682" s="3">
        <v>2019</v>
      </c>
      <c r="B682" s="3">
        <v>10</v>
      </c>
      <c r="C682" s="3">
        <v>29</v>
      </c>
      <c r="D682" s="2">
        <v>405</v>
      </c>
      <c r="E682" s="3">
        <v>4</v>
      </c>
      <c r="F682" s="3" t="s">
        <v>226</v>
      </c>
      <c r="G682" s="3" t="str">
        <f t="shared" si="44"/>
        <v>2017</v>
      </c>
      <c r="H682" s="3">
        <f t="shared" si="42"/>
        <v>2</v>
      </c>
      <c r="I682" s="69"/>
      <c r="J682" s="3">
        <v>7</v>
      </c>
      <c r="K682" s="3">
        <v>7</v>
      </c>
      <c r="L682" s="3">
        <v>164.8</v>
      </c>
      <c r="M682" s="3">
        <v>574</v>
      </c>
      <c r="N682" s="3" t="str">
        <f t="shared" si="43"/>
        <v>2017</v>
      </c>
      <c r="O682" s="2">
        <v>405</v>
      </c>
    </row>
    <row r="683" spans="1:19" x14ac:dyDescent="0.35">
      <c r="A683" s="3">
        <v>2024</v>
      </c>
      <c r="B683">
        <v>8</v>
      </c>
      <c r="C683" s="3">
        <v>9</v>
      </c>
      <c r="D683" s="2">
        <v>856</v>
      </c>
      <c r="E683" s="3">
        <v>3</v>
      </c>
      <c r="F683" t="s">
        <v>41</v>
      </c>
      <c r="G683" s="3" t="str">
        <f t="shared" si="44"/>
        <v>2013</v>
      </c>
      <c r="H683" s="3">
        <f t="shared" si="42"/>
        <v>11</v>
      </c>
      <c r="I683" s="69"/>
      <c r="J683" t="s">
        <v>42</v>
      </c>
      <c r="K683" t="s">
        <v>318</v>
      </c>
      <c r="L683">
        <v>210.7</v>
      </c>
      <c r="M683" s="3">
        <v>574</v>
      </c>
      <c r="N683" s="3" t="str">
        <f t="shared" si="43"/>
        <v>2011</v>
      </c>
      <c r="O683" s="2">
        <v>856</v>
      </c>
    </row>
    <row r="684" spans="1:19" x14ac:dyDescent="0.35">
      <c r="A684" s="3">
        <v>2016</v>
      </c>
      <c r="B684" s="3">
        <v>8</v>
      </c>
      <c r="C684" s="3">
        <v>30</v>
      </c>
      <c r="D684" s="2">
        <v>269</v>
      </c>
      <c r="E684" s="3">
        <v>3</v>
      </c>
      <c r="F684" s="3" t="s">
        <v>45</v>
      </c>
      <c r="G684" s="3" t="str">
        <f t="shared" si="44"/>
        <v>2009</v>
      </c>
      <c r="H684" s="3">
        <f t="shared" si="42"/>
        <v>7</v>
      </c>
      <c r="I684" s="69"/>
      <c r="J684" s="3" t="s">
        <v>731</v>
      </c>
      <c r="K684" s="3" t="s">
        <v>512</v>
      </c>
      <c r="L684" s="3">
        <v>202.3</v>
      </c>
      <c r="M684" s="3">
        <v>575</v>
      </c>
      <c r="N684" s="3" t="str">
        <f t="shared" si="43"/>
        <v>2007</v>
      </c>
      <c r="O684" s="2">
        <v>269</v>
      </c>
    </row>
    <row r="685" spans="1:19" x14ac:dyDescent="0.35">
      <c r="A685" s="3">
        <v>2024</v>
      </c>
      <c r="B685">
        <v>8</v>
      </c>
      <c r="C685" s="3">
        <v>19</v>
      </c>
      <c r="D685" s="2">
        <v>824</v>
      </c>
      <c r="E685" s="3">
        <v>3</v>
      </c>
      <c r="F685" s="3" t="s">
        <v>225</v>
      </c>
      <c r="G685" s="3" t="str">
        <f t="shared" si="44"/>
        <v>2021</v>
      </c>
      <c r="H685" s="3">
        <f t="shared" si="42"/>
        <v>3</v>
      </c>
      <c r="I685" s="69"/>
      <c r="J685">
        <v>3</v>
      </c>
      <c r="K685">
        <v>3</v>
      </c>
      <c r="L685">
        <v>217.5</v>
      </c>
      <c r="M685" s="3">
        <v>575</v>
      </c>
      <c r="N685" s="3" t="str">
        <f t="shared" si="43"/>
        <v>2021</v>
      </c>
      <c r="O685" s="2">
        <v>824</v>
      </c>
    </row>
    <row r="686" spans="1:19" x14ac:dyDescent="0.35">
      <c r="A686" s="3">
        <v>2024</v>
      </c>
      <c r="B686">
        <v>8</v>
      </c>
      <c r="C686" s="3">
        <v>16</v>
      </c>
      <c r="D686" s="2">
        <v>859</v>
      </c>
      <c r="E686" s="3">
        <v>3</v>
      </c>
      <c r="F686" t="s">
        <v>225</v>
      </c>
      <c r="G686" s="3" t="str">
        <f t="shared" si="44"/>
        <v>2022</v>
      </c>
      <c r="H686" s="3">
        <f t="shared" si="42"/>
        <v>2</v>
      </c>
      <c r="I686" s="69"/>
      <c r="J686" t="s">
        <v>896</v>
      </c>
      <c r="K686">
        <v>5</v>
      </c>
      <c r="L686">
        <v>196</v>
      </c>
      <c r="M686" s="3">
        <v>575</v>
      </c>
      <c r="N686" s="3" t="str">
        <f t="shared" si="43"/>
        <v>2021</v>
      </c>
      <c r="O686" s="2">
        <v>859</v>
      </c>
    </row>
    <row r="687" spans="1:19" x14ac:dyDescent="0.35">
      <c r="A687" s="3">
        <v>2018</v>
      </c>
      <c r="B687" s="3">
        <v>8</v>
      </c>
      <c r="C687" s="3">
        <v>16</v>
      </c>
      <c r="D687" s="2">
        <v>326</v>
      </c>
      <c r="E687" s="3">
        <v>3</v>
      </c>
      <c r="F687" s="3" t="s">
        <v>45</v>
      </c>
      <c r="G687" s="3" t="str">
        <f t="shared" si="44"/>
        <v>2011</v>
      </c>
      <c r="H687" s="3">
        <f t="shared" si="42"/>
        <v>7</v>
      </c>
      <c r="I687" s="69"/>
      <c r="J687" s="3" t="s">
        <v>647</v>
      </c>
      <c r="K687" s="3" t="s">
        <v>317</v>
      </c>
      <c r="L687" s="3">
        <v>157.69999999999999</v>
      </c>
      <c r="M687" s="3">
        <v>576</v>
      </c>
      <c r="N687" s="3" t="str">
        <f t="shared" si="43"/>
        <v>2007</v>
      </c>
      <c r="O687" s="2">
        <v>326</v>
      </c>
      <c r="S687">
        <v>14.68</v>
      </c>
    </row>
    <row r="688" spans="1:19" x14ac:dyDescent="0.35">
      <c r="A688" s="3">
        <v>2023</v>
      </c>
      <c r="B688" s="3">
        <v>2</v>
      </c>
      <c r="C688" s="3">
        <v>8</v>
      </c>
      <c r="D688" s="2">
        <v>160</v>
      </c>
      <c r="E688" s="3">
        <v>1</v>
      </c>
      <c r="F688" s="3" t="s">
        <v>225</v>
      </c>
      <c r="G688" s="3" t="str">
        <f t="shared" si="44"/>
        <v>2022</v>
      </c>
      <c r="H688" s="3">
        <f t="shared" si="42"/>
        <v>1</v>
      </c>
      <c r="I688" s="69"/>
      <c r="J688" s="3">
        <v>5</v>
      </c>
      <c r="K688" s="3">
        <v>5</v>
      </c>
      <c r="L688" s="3">
        <v>221.8</v>
      </c>
      <c r="M688" s="3">
        <v>577</v>
      </c>
      <c r="N688" s="3" t="str">
        <f t="shared" si="43"/>
        <v>2021</v>
      </c>
      <c r="O688" s="2">
        <v>160</v>
      </c>
    </row>
    <row r="689" spans="1:27" x14ac:dyDescent="0.35">
      <c r="A689" s="3">
        <v>2017</v>
      </c>
      <c r="B689" s="3">
        <v>11</v>
      </c>
      <c r="C689" s="3">
        <v>13</v>
      </c>
      <c r="D689" s="2">
        <v>69</v>
      </c>
      <c r="E689" s="15">
        <v>4</v>
      </c>
      <c r="F689" s="3" t="s">
        <v>41</v>
      </c>
      <c r="G689" s="3" t="str">
        <f t="shared" si="44"/>
        <v>2013</v>
      </c>
      <c r="H689" s="3">
        <f t="shared" si="42"/>
        <v>4</v>
      </c>
      <c r="I689" s="69"/>
      <c r="J689" s="3" t="s">
        <v>42</v>
      </c>
      <c r="K689" s="3" t="s">
        <v>318</v>
      </c>
      <c r="L689" s="3">
        <v>189.4</v>
      </c>
      <c r="M689" s="3">
        <v>580</v>
      </c>
      <c r="N689" s="3" t="str">
        <f t="shared" si="43"/>
        <v>2011</v>
      </c>
      <c r="O689" s="2">
        <v>69</v>
      </c>
    </row>
    <row r="690" spans="1:27" x14ac:dyDescent="0.35">
      <c r="A690" s="3">
        <v>2016</v>
      </c>
      <c r="B690" s="3">
        <v>8</v>
      </c>
      <c r="C690" s="3">
        <v>31</v>
      </c>
      <c r="D690" s="2">
        <v>275</v>
      </c>
      <c r="E690" s="3">
        <v>3</v>
      </c>
      <c r="F690" s="3" t="s">
        <v>45</v>
      </c>
      <c r="G690" s="3" t="str">
        <f t="shared" si="44"/>
        <v>2009</v>
      </c>
      <c r="H690" s="3">
        <f t="shared" si="42"/>
        <v>7</v>
      </c>
      <c r="I690" s="69"/>
      <c r="J690" s="3" t="s">
        <v>644</v>
      </c>
      <c r="K690" s="3" t="s">
        <v>488</v>
      </c>
      <c r="L690" s="3">
        <v>188.6</v>
      </c>
      <c r="M690" s="3">
        <v>580</v>
      </c>
      <c r="N690" s="3" t="str">
        <f t="shared" si="43"/>
        <v>2007</v>
      </c>
      <c r="O690" s="2">
        <v>275</v>
      </c>
    </row>
    <row r="691" spans="1:27" x14ac:dyDescent="0.35">
      <c r="A691" s="3">
        <v>2018</v>
      </c>
      <c r="B691" s="3">
        <v>8</v>
      </c>
      <c r="C691" s="3">
        <v>15</v>
      </c>
      <c r="D691" s="2">
        <v>307</v>
      </c>
      <c r="E691" s="3">
        <v>3</v>
      </c>
      <c r="F691" s="3" t="s">
        <v>41</v>
      </c>
      <c r="G691" s="3" t="str">
        <f t="shared" si="44"/>
        <v>2013</v>
      </c>
      <c r="H691" s="3">
        <f t="shared" si="42"/>
        <v>5</v>
      </c>
      <c r="I691" s="69"/>
      <c r="J691" s="3" t="s">
        <v>49</v>
      </c>
      <c r="K691" s="3" t="s">
        <v>318</v>
      </c>
      <c r="L691" s="3">
        <v>199.3</v>
      </c>
      <c r="M691" s="3">
        <v>584</v>
      </c>
      <c r="N691" s="3" t="str">
        <f t="shared" si="43"/>
        <v>2011</v>
      </c>
      <c r="O691" s="2">
        <v>307</v>
      </c>
    </row>
    <row r="692" spans="1:27" x14ac:dyDescent="0.35">
      <c r="A692" s="3">
        <v>2021</v>
      </c>
      <c r="B692" s="3">
        <v>10</v>
      </c>
      <c r="C692" s="3" t="s">
        <v>28</v>
      </c>
      <c r="D692" s="2">
        <v>27</v>
      </c>
      <c r="E692" s="3">
        <v>4</v>
      </c>
      <c r="F692" s="3" t="s">
        <v>41</v>
      </c>
      <c r="G692" s="3" t="str">
        <f t="shared" si="44"/>
        <v>2012</v>
      </c>
      <c r="H692" s="3">
        <f t="shared" si="42"/>
        <v>9</v>
      </c>
      <c r="I692" s="69"/>
      <c r="J692" s="3" t="s">
        <v>461</v>
      </c>
      <c r="K692" s="3" t="s">
        <v>461</v>
      </c>
      <c r="L692" s="3">
        <v>205.7</v>
      </c>
      <c r="M692" s="3">
        <v>587</v>
      </c>
      <c r="N692" s="3" t="str">
        <f t="shared" si="43"/>
        <v>2011</v>
      </c>
      <c r="O692" s="2">
        <v>27</v>
      </c>
    </row>
    <row r="693" spans="1:27" x14ac:dyDescent="0.35">
      <c r="A693" s="3">
        <v>2024</v>
      </c>
      <c r="B693">
        <v>8</v>
      </c>
      <c r="C693" s="3">
        <v>19</v>
      </c>
      <c r="D693" s="2">
        <v>821</v>
      </c>
      <c r="E693" s="3">
        <v>3</v>
      </c>
      <c r="F693" s="3" t="s">
        <v>225</v>
      </c>
      <c r="G693" s="3" t="str">
        <f t="shared" si="44"/>
        <v>2021</v>
      </c>
      <c r="H693" s="3">
        <f t="shared" si="42"/>
        <v>3</v>
      </c>
      <c r="I693" s="69"/>
      <c r="J693">
        <v>3</v>
      </c>
      <c r="K693">
        <v>3</v>
      </c>
      <c r="L693">
        <v>243.9</v>
      </c>
      <c r="M693" s="3">
        <v>587</v>
      </c>
      <c r="N693" s="3" t="str">
        <f t="shared" si="43"/>
        <v>2021</v>
      </c>
      <c r="O693" s="2">
        <v>821</v>
      </c>
    </row>
    <row r="694" spans="1:27" x14ac:dyDescent="0.35">
      <c r="A694" s="3">
        <v>2021</v>
      </c>
      <c r="B694" s="3" t="s">
        <v>28</v>
      </c>
      <c r="C694" s="3" t="s">
        <v>28</v>
      </c>
      <c r="D694" s="2">
        <v>475</v>
      </c>
      <c r="E694" s="3" t="s">
        <v>28</v>
      </c>
      <c r="F694" s="3" t="s">
        <v>226</v>
      </c>
      <c r="G694" s="3" t="str">
        <f t="shared" si="44"/>
        <v>2018</v>
      </c>
      <c r="H694" s="3">
        <f t="shared" si="42"/>
        <v>3</v>
      </c>
      <c r="I694" s="69"/>
      <c r="J694" s="3" t="s">
        <v>51</v>
      </c>
      <c r="K694" s="3" t="s">
        <v>916</v>
      </c>
      <c r="L694" s="16">
        <v>235</v>
      </c>
      <c r="M694" s="3">
        <v>588</v>
      </c>
      <c r="N694" s="3" t="str">
        <f t="shared" si="43"/>
        <v>2017</v>
      </c>
      <c r="O694" s="2">
        <v>475</v>
      </c>
    </row>
    <row r="695" spans="1:27" x14ac:dyDescent="0.35">
      <c r="A695" s="3">
        <v>2024</v>
      </c>
      <c r="B695" s="3">
        <v>8</v>
      </c>
      <c r="C695" s="3">
        <v>14</v>
      </c>
      <c r="D695" s="2">
        <v>696</v>
      </c>
      <c r="E695" s="3">
        <v>3</v>
      </c>
      <c r="F695" s="3" t="s">
        <v>225</v>
      </c>
      <c r="G695" s="3" t="str">
        <f t="shared" si="44"/>
        <v>2021</v>
      </c>
      <c r="H695" s="3">
        <f t="shared" si="42"/>
        <v>3</v>
      </c>
      <c r="I695" s="69"/>
      <c r="J695" t="s">
        <v>1018</v>
      </c>
      <c r="K695">
        <v>1</v>
      </c>
      <c r="L695">
        <v>179.2</v>
      </c>
      <c r="M695" s="3">
        <v>588</v>
      </c>
      <c r="N695" s="3" t="str">
        <f t="shared" si="43"/>
        <v>2021</v>
      </c>
      <c r="O695" s="2">
        <v>696</v>
      </c>
    </row>
    <row r="696" spans="1:27" x14ac:dyDescent="0.35">
      <c r="A696" s="3">
        <v>2019</v>
      </c>
      <c r="B696" s="3">
        <v>11</v>
      </c>
      <c r="C696" s="3">
        <v>27</v>
      </c>
      <c r="D696" s="2">
        <v>41</v>
      </c>
      <c r="E696" s="3">
        <v>4</v>
      </c>
      <c r="F696" s="3" t="s">
        <v>45</v>
      </c>
      <c r="G696" s="3" t="str">
        <f t="shared" si="44"/>
        <v>2011</v>
      </c>
      <c r="H696" s="3">
        <f t="shared" si="42"/>
        <v>8</v>
      </c>
      <c r="I696" s="69"/>
      <c r="J696" s="3" t="s">
        <v>317</v>
      </c>
      <c r="K696" s="3" t="s">
        <v>317</v>
      </c>
      <c r="L696" s="3">
        <v>229.6</v>
      </c>
      <c r="M696" s="3">
        <v>591</v>
      </c>
      <c r="N696" s="3" t="str">
        <f t="shared" si="43"/>
        <v>2007</v>
      </c>
      <c r="O696" s="2">
        <v>41</v>
      </c>
    </row>
    <row r="697" spans="1:27" x14ac:dyDescent="0.35">
      <c r="A697" s="3">
        <v>2023</v>
      </c>
      <c r="B697" s="3">
        <v>7</v>
      </c>
      <c r="C697" s="3">
        <v>31</v>
      </c>
      <c r="D697" s="2">
        <v>416</v>
      </c>
      <c r="E697" s="3">
        <v>3</v>
      </c>
      <c r="F697" s="3" t="s">
        <v>225</v>
      </c>
      <c r="G697" s="3" t="str">
        <f t="shared" si="44"/>
        <v>2022</v>
      </c>
      <c r="H697" s="3">
        <f t="shared" si="42"/>
        <v>1</v>
      </c>
      <c r="I697" s="69"/>
      <c r="J697" s="3" t="s">
        <v>58</v>
      </c>
      <c r="K697" s="3">
        <v>2</v>
      </c>
      <c r="L697" s="3">
        <v>24.9</v>
      </c>
      <c r="M697" s="3">
        <v>591</v>
      </c>
      <c r="N697" s="3" t="str">
        <f t="shared" si="43"/>
        <v>2021</v>
      </c>
      <c r="O697" s="2">
        <v>416</v>
      </c>
    </row>
    <row r="698" spans="1:27" x14ac:dyDescent="0.35">
      <c r="A698" s="3">
        <v>2022</v>
      </c>
      <c r="B698" s="3">
        <v>3</v>
      </c>
      <c r="C698" s="3" t="s">
        <v>28</v>
      </c>
      <c r="D698" s="2">
        <v>37</v>
      </c>
      <c r="E698" s="3">
        <v>2</v>
      </c>
      <c r="F698" s="3" t="s">
        <v>20</v>
      </c>
      <c r="G698" s="3" t="str">
        <f t="shared" si="44"/>
        <v>2018</v>
      </c>
      <c r="H698" s="3">
        <f t="shared" si="42"/>
        <v>4</v>
      </c>
      <c r="I698" s="69"/>
      <c r="J698" s="3">
        <v>6</v>
      </c>
      <c r="K698" s="3">
        <v>6</v>
      </c>
      <c r="L698" s="3">
        <v>297.3</v>
      </c>
      <c r="M698" s="3">
        <v>592</v>
      </c>
      <c r="N698" s="3" t="str">
        <f t="shared" si="43"/>
        <v>2018</v>
      </c>
      <c r="O698" s="2">
        <v>37</v>
      </c>
    </row>
    <row r="699" spans="1:27" x14ac:dyDescent="0.35">
      <c r="A699" s="3">
        <v>2019</v>
      </c>
      <c r="B699" s="3">
        <v>8</v>
      </c>
      <c r="C699" s="3">
        <v>6</v>
      </c>
      <c r="D699" s="2">
        <v>317</v>
      </c>
      <c r="E699" s="3">
        <v>3</v>
      </c>
      <c r="F699" s="3" t="s">
        <v>226</v>
      </c>
      <c r="G699" s="3" t="str">
        <f t="shared" si="44"/>
        <v>2017</v>
      </c>
      <c r="H699" s="3">
        <f t="shared" si="42"/>
        <v>2</v>
      </c>
      <c r="I699" s="69"/>
      <c r="J699" s="3" t="s">
        <v>783</v>
      </c>
      <c r="K699" s="3">
        <v>7</v>
      </c>
      <c r="L699" s="3">
        <v>173.3</v>
      </c>
      <c r="M699" s="3">
        <v>593</v>
      </c>
      <c r="N699" s="3" t="str">
        <f t="shared" si="43"/>
        <v>2017</v>
      </c>
      <c r="O699" s="2">
        <v>317</v>
      </c>
      <c r="AA699">
        <v>17.46</v>
      </c>
    </row>
    <row r="700" spans="1:27" x14ac:dyDescent="0.35">
      <c r="A700" s="3">
        <v>2024</v>
      </c>
      <c r="B700" s="3">
        <v>3</v>
      </c>
      <c r="C700" s="3">
        <v>28</v>
      </c>
      <c r="D700" s="2">
        <v>682</v>
      </c>
      <c r="E700" s="3">
        <v>2</v>
      </c>
      <c r="F700" s="3" t="s">
        <v>41</v>
      </c>
      <c r="G700" s="3" t="str">
        <f t="shared" si="44"/>
        <v>2013</v>
      </c>
      <c r="H700" s="3">
        <f t="shared" si="42"/>
        <v>11</v>
      </c>
      <c r="I700" s="69"/>
      <c r="J700" t="s">
        <v>583</v>
      </c>
      <c r="K700" t="s">
        <v>318</v>
      </c>
      <c r="L700">
        <v>201.4</v>
      </c>
      <c r="M700" s="3">
        <v>595</v>
      </c>
      <c r="N700" s="3" t="str">
        <f t="shared" si="43"/>
        <v>2011</v>
      </c>
      <c r="O700" s="2">
        <v>682</v>
      </c>
    </row>
    <row r="701" spans="1:27" x14ac:dyDescent="0.35">
      <c r="A701" s="3">
        <v>2022</v>
      </c>
      <c r="B701" s="3">
        <v>1</v>
      </c>
      <c r="C701" s="3" t="s">
        <v>28</v>
      </c>
      <c r="D701" s="2">
        <v>21</v>
      </c>
      <c r="E701" s="3">
        <v>1</v>
      </c>
      <c r="F701" s="3" t="s">
        <v>20</v>
      </c>
      <c r="G701" s="3" t="str">
        <f t="shared" si="44"/>
        <v>2020</v>
      </c>
      <c r="H701" s="3">
        <f t="shared" si="42"/>
        <v>2</v>
      </c>
      <c r="I701" s="69"/>
      <c r="J701" s="3">
        <v>8</v>
      </c>
      <c r="K701" s="3">
        <v>8</v>
      </c>
      <c r="L701" s="3">
        <v>244.1</v>
      </c>
      <c r="M701" s="3">
        <v>596</v>
      </c>
      <c r="N701" s="3" t="str">
        <f t="shared" si="43"/>
        <v>2018</v>
      </c>
      <c r="O701" s="2">
        <v>21</v>
      </c>
    </row>
    <row r="702" spans="1:27" x14ac:dyDescent="0.35">
      <c r="A702" s="3">
        <v>2016</v>
      </c>
      <c r="B702" s="3">
        <v>11</v>
      </c>
      <c r="C702" s="3">
        <v>7</v>
      </c>
      <c r="D702" s="2">
        <v>226</v>
      </c>
      <c r="E702" s="3">
        <v>4</v>
      </c>
      <c r="F702" s="3" t="s">
        <v>45</v>
      </c>
      <c r="G702" s="3" t="str">
        <f t="shared" si="44"/>
        <v>2009</v>
      </c>
      <c r="H702" s="3">
        <f t="shared" si="42"/>
        <v>7</v>
      </c>
      <c r="I702" s="69"/>
      <c r="J702" s="3" t="s">
        <v>671</v>
      </c>
      <c r="K702" s="3" t="s">
        <v>512</v>
      </c>
      <c r="L702" s="3">
        <v>211.2</v>
      </c>
      <c r="M702" s="3">
        <v>597</v>
      </c>
      <c r="N702" s="3" t="str">
        <f t="shared" si="43"/>
        <v>2007</v>
      </c>
      <c r="O702" s="2">
        <v>226</v>
      </c>
    </row>
    <row r="703" spans="1:27" x14ac:dyDescent="0.35">
      <c r="A703" s="3">
        <v>2023</v>
      </c>
      <c r="B703" s="3">
        <v>6</v>
      </c>
      <c r="C703" s="3">
        <v>18</v>
      </c>
      <c r="D703" s="2">
        <v>338</v>
      </c>
      <c r="E703" s="3">
        <v>3</v>
      </c>
      <c r="F703" s="3" t="s">
        <v>41</v>
      </c>
      <c r="G703" s="3" t="str">
        <f t="shared" si="44"/>
        <v>2013</v>
      </c>
      <c r="H703" s="3">
        <f t="shared" si="42"/>
        <v>10</v>
      </c>
      <c r="I703" s="69"/>
      <c r="J703" s="3" t="s">
        <v>755</v>
      </c>
      <c r="K703" s="3" t="s">
        <v>458</v>
      </c>
      <c r="L703" s="3">
        <v>199.4</v>
      </c>
      <c r="M703" s="3">
        <v>597</v>
      </c>
      <c r="N703" s="3" t="str">
        <f t="shared" si="43"/>
        <v>2011</v>
      </c>
      <c r="O703" s="2">
        <v>338</v>
      </c>
    </row>
    <row r="704" spans="1:27" x14ac:dyDescent="0.35">
      <c r="A704" s="3">
        <v>2023</v>
      </c>
      <c r="B704" s="3">
        <v>10</v>
      </c>
      <c r="C704" s="3">
        <v>31</v>
      </c>
      <c r="D704" s="2">
        <v>541</v>
      </c>
      <c r="E704" s="3">
        <v>4</v>
      </c>
      <c r="F704" s="3" t="s">
        <v>225</v>
      </c>
      <c r="G704" s="3" t="str">
        <f t="shared" si="44"/>
        <v>2022</v>
      </c>
      <c r="H704" s="3">
        <f t="shared" si="42"/>
        <v>1</v>
      </c>
      <c r="I704" s="69"/>
      <c r="J704" t="s">
        <v>67</v>
      </c>
      <c r="K704" s="3">
        <v>2</v>
      </c>
      <c r="L704" s="3">
        <v>215.3</v>
      </c>
      <c r="M704" s="3">
        <v>597</v>
      </c>
      <c r="N704" s="3" t="str">
        <f t="shared" si="43"/>
        <v>2021</v>
      </c>
      <c r="O704" s="2">
        <v>541</v>
      </c>
    </row>
    <row r="705" spans="1:26" x14ac:dyDescent="0.35">
      <c r="A705" s="3">
        <v>2024</v>
      </c>
      <c r="B705" s="3">
        <v>8</v>
      </c>
      <c r="C705" s="3">
        <v>15</v>
      </c>
      <c r="D705" s="2">
        <v>770</v>
      </c>
      <c r="E705" s="3">
        <v>3</v>
      </c>
      <c r="F705" s="3" t="s">
        <v>225</v>
      </c>
      <c r="G705" s="3" t="str">
        <f t="shared" si="44"/>
        <v>2021</v>
      </c>
      <c r="H705" s="3">
        <f t="shared" si="42"/>
        <v>3</v>
      </c>
      <c r="I705" s="69"/>
      <c r="J705">
        <v>3</v>
      </c>
      <c r="K705">
        <v>3</v>
      </c>
      <c r="L705">
        <v>275.89999999999998</v>
      </c>
      <c r="M705" s="3">
        <v>597</v>
      </c>
      <c r="N705" s="3" t="str">
        <f t="shared" si="43"/>
        <v>2021</v>
      </c>
      <c r="O705" s="2">
        <v>770</v>
      </c>
    </row>
    <row r="706" spans="1:26" x14ac:dyDescent="0.35">
      <c r="A706" s="3">
        <v>2016</v>
      </c>
      <c r="B706" s="3">
        <v>9</v>
      </c>
      <c r="C706" s="3">
        <v>1</v>
      </c>
      <c r="D706" s="2">
        <v>256</v>
      </c>
      <c r="E706" s="3">
        <v>3</v>
      </c>
      <c r="F706" s="3" t="s">
        <v>45</v>
      </c>
      <c r="G706" s="3" t="str">
        <f t="shared" si="44"/>
        <v>2009</v>
      </c>
      <c r="H706" s="3">
        <f t="shared" ref="H706:H769" si="45">SUM(A706-G706)</f>
        <v>7</v>
      </c>
      <c r="I706" s="69"/>
      <c r="J706" s="3" t="s">
        <v>716</v>
      </c>
      <c r="K706" s="3" t="s">
        <v>512</v>
      </c>
      <c r="L706" s="3">
        <v>203.8</v>
      </c>
      <c r="M706" s="3">
        <v>598</v>
      </c>
      <c r="N706" s="3" t="str">
        <f t="shared" ref="N706:N769" si="46">IF(F706="PHD", "2007", IF(F706="TSL", "2011", IF(F706 = "SRS", "2018", IF(F706="WCA 3B", "2017", IF(F706="WCA 3A", "2021")))))</f>
        <v>2007</v>
      </c>
      <c r="O706" s="2">
        <v>256</v>
      </c>
    </row>
    <row r="707" spans="1:26" x14ac:dyDescent="0.35">
      <c r="A707" s="3">
        <v>2016</v>
      </c>
      <c r="B707" s="3">
        <v>9</v>
      </c>
      <c r="C707" s="3">
        <v>1</v>
      </c>
      <c r="D707" s="2">
        <v>257</v>
      </c>
      <c r="E707" s="3">
        <v>3</v>
      </c>
      <c r="F707" s="3" t="s">
        <v>45</v>
      </c>
      <c r="G707" s="3" t="str">
        <f t="shared" si="44"/>
        <v>2011</v>
      </c>
      <c r="H707" s="3">
        <f t="shared" si="45"/>
        <v>5</v>
      </c>
      <c r="I707" s="69"/>
      <c r="J707" s="3" t="s">
        <v>718</v>
      </c>
      <c r="K707" s="3" t="s">
        <v>317</v>
      </c>
      <c r="L707" s="3">
        <v>207.5</v>
      </c>
      <c r="M707" s="3">
        <v>598</v>
      </c>
      <c r="N707" s="3" t="str">
        <f t="shared" si="46"/>
        <v>2007</v>
      </c>
      <c r="O707" s="2">
        <v>257</v>
      </c>
    </row>
    <row r="708" spans="1:26" x14ac:dyDescent="0.35">
      <c r="A708" s="3">
        <v>2023</v>
      </c>
      <c r="B708" s="3">
        <v>10</v>
      </c>
      <c r="C708" s="3">
        <v>31</v>
      </c>
      <c r="D708" s="2">
        <v>540</v>
      </c>
      <c r="E708" s="3">
        <v>4</v>
      </c>
      <c r="F708" s="3" t="s">
        <v>225</v>
      </c>
      <c r="G708" s="3" t="str">
        <f t="shared" si="44"/>
        <v>2022</v>
      </c>
      <c r="H708" s="3">
        <f t="shared" si="45"/>
        <v>1</v>
      </c>
      <c r="I708" s="69"/>
      <c r="J708" t="s">
        <v>67</v>
      </c>
      <c r="K708" s="3">
        <v>2</v>
      </c>
      <c r="L708" s="3">
        <v>230.2</v>
      </c>
      <c r="M708" s="3">
        <v>600</v>
      </c>
      <c r="N708" s="3" t="str">
        <f t="shared" si="46"/>
        <v>2021</v>
      </c>
      <c r="O708" s="2">
        <v>540</v>
      </c>
    </row>
    <row r="709" spans="1:26" x14ac:dyDescent="0.35">
      <c r="A709" s="3">
        <v>2024</v>
      </c>
      <c r="B709" s="3">
        <v>4</v>
      </c>
      <c r="C709" s="3">
        <v>5</v>
      </c>
      <c r="D709" s="2">
        <v>656</v>
      </c>
      <c r="E709" s="3">
        <v>2</v>
      </c>
      <c r="F709" s="3" t="s">
        <v>225</v>
      </c>
      <c r="G709" s="3" t="str">
        <f t="shared" si="44"/>
        <v>2021</v>
      </c>
      <c r="H709" s="3">
        <f t="shared" si="45"/>
        <v>3</v>
      </c>
      <c r="I709" s="69"/>
      <c r="J709" t="s">
        <v>227</v>
      </c>
      <c r="K709" s="3">
        <v>4</v>
      </c>
      <c r="L709">
        <v>208.9</v>
      </c>
      <c r="M709" s="3">
        <v>600</v>
      </c>
      <c r="N709" s="3" t="str">
        <f t="shared" si="46"/>
        <v>2021</v>
      </c>
      <c r="O709" s="2">
        <v>656</v>
      </c>
    </row>
    <row r="710" spans="1:26" x14ac:dyDescent="0.35">
      <c r="A710" s="3">
        <v>2024</v>
      </c>
      <c r="B710" s="3">
        <v>4</v>
      </c>
      <c r="C710" s="3">
        <v>5</v>
      </c>
      <c r="D710" s="2">
        <v>656</v>
      </c>
      <c r="E710" s="3">
        <v>2</v>
      </c>
      <c r="F710" s="3" t="s">
        <v>225</v>
      </c>
      <c r="G710" s="3" t="str">
        <f t="shared" si="44"/>
        <v>2021</v>
      </c>
      <c r="H710" s="3">
        <f t="shared" si="45"/>
        <v>3</v>
      </c>
      <c r="I710" s="69"/>
      <c r="J710" t="s">
        <v>227</v>
      </c>
      <c r="K710" s="3">
        <v>4</v>
      </c>
      <c r="L710">
        <v>208.9</v>
      </c>
      <c r="M710" s="3">
        <v>600</v>
      </c>
      <c r="N710" s="3" t="str">
        <f t="shared" si="46"/>
        <v>2021</v>
      </c>
      <c r="O710" s="2">
        <v>656</v>
      </c>
    </row>
    <row r="711" spans="1:26" x14ac:dyDescent="0.35">
      <c r="A711" s="3">
        <v>2024</v>
      </c>
      <c r="B711" s="3">
        <v>8</v>
      </c>
      <c r="C711" s="3">
        <v>19</v>
      </c>
      <c r="D711" s="2">
        <v>739</v>
      </c>
      <c r="E711" s="3">
        <v>3</v>
      </c>
      <c r="F711" s="3" t="s">
        <v>225</v>
      </c>
      <c r="G711" s="3" t="str">
        <f t="shared" ref="G711:G774" si="47">IF(K711="A55","2009",IF(K711="A59","2009",IF(K711="A60","2010",IF(K711="A62","2011",IF(K711="CP","2013",IF(K711="MD","2012",IF(K711="TS","2013",IF(K711="DL","2018",IF(K711="SCU","2018",IF(K711="NCU","2018",IF(K711="C1C","2018",IF(K711="C1E","2018",IF(K711="RS1S","2018",IF(K711="C2B","2018",IF(K711="DB3","2018",IF(AND(K711=6,F711="SRS"),"2018",IF(AND(K711=7,F711="SRS"),"2020",IF(AND(K711=8,F711="SRS"),"2020",IF(K711=23,"2019",IF(AND(K711=7,F711="WCA 3B"),"2017",IF(AND(K711=8,F711="WCA 3B"),"2019",IF(K711=1,"2021",IF(K711=2,"2022",IF(K711=3,"2021",IF(K711=4,"2021",IF(K711=5,"2022",IF(AND(K711=6,F711="WCA 3A"),"2022",IF(K711=9,"2023",IF(K711=10,"2023",IF(K711=37,"2020"))))))))))))))))))))))))))))))</f>
        <v>2021</v>
      </c>
      <c r="H711" s="3">
        <f t="shared" si="45"/>
        <v>3</v>
      </c>
      <c r="I711" s="69"/>
      <c r="J711">
        <v>3</v>
      </c>
      <c r="K711">
        <v>3</v>
      </c>
      <c r="L711">
        <v>224.2</v>
      </c>
      <c r="M711" s="3">
        <v>600</v>
      </c>
      <c r="N711" s="3" t="str">
        <f t="shared" si="46"/>
        <v>2021</v>
      </c>
      <c r="O711" s="2">
        <v>739</v>
      </c>
      <c r="Z711">
        <v>31.94</v>
      </c>
    </row>
    <row r="712" spans="1:26" x14ac:dyDescent="0.35">
      <c r="A712" s="3">
        <v>2016</v>
      </c>
      <c r="B712" s="3">
        <v>11</v>
      </c>
      <c r="C712" s="3">
        <v>7</v>
      </c>
      <c r="D712" s="2">
        <v>209</v>
      </c>
      <c r="E712" s="3">
        <v>4</v>
      </c>
      <c r="F712" s="3" t="s">
        <v>45</v>
      </c>
      <c r="G712" s="3" t="str">
        <f t="shared" si="47"/>
        <v>2009</v>
      </c>
      <c r="H712" s="3">
        <f t="shared" si="45"/>
        <v>7</v>
      </c>
      <c r="I712" s="69"/>
      <c r="J712" s="3" t="s">
        <v>662</v>
      </c>
      <c r="K712" s="3" t="s">
        <v>488</v>
      </c>
      <c r="L712" s="3">
        <v>197.4</v>
      </c>
      <c r="M712" s="3">
        <v>601</v>
      </c>
      <c r="N712" s="3" t="str">
        <f t="shared" si="46"/>
        <v>2007</v>
      </c>
      <c r="O712" s="2">
        <v>209</v>
      </c>
    </row>
    <row r="713" spans="1:26" x14ac:dyDescent="0.35">
      <c r="A713" s="3">
        <v>2023</v>
      </c>
      <c r="B713" s="3">
        <v>7</v>
      </c>
      <c r="C713" s="3">
        <v>19</v>
      </c>
      <c r="D713" s="2">
        <v>353</v>
      </c>
      <c r="E713" s="3">
        <v>3</v>
      </c>
      <c r="F713" s="3" t="s">
        <v>41</v>
      </c>
      <c r="G713" s="3" t="str">
        <f t="shared" si="47"/>
        <v>2013</v>
      </c>
      <c r="H713" s="3">
        <f t="shared" si="45"/>
        <v>10</v>
      </c>
      <c r="I713" s="69"/>
      <c r="J713" s="3" t="s">
        <v>583</v>
      </c>
      <c r="K713" s="3" t="s">
        <v>318</v>
      </c>
      <c r="L713" s="3">
        <v>215.5</v>
      </c>
      <c r="M713" s="3">
        <v>602</v>
      </c>
      <c r="N713" s="3" t="str">
        <f t="shared" si="46"/>
        <v>2011</v>
      </c>
      <c r="O713" s="2">
        <v>353</v>
      </c>
      <c r="P713">
        <v>10.91</v>
      </c>
    </row>
    <row r="714" spans="1:26" x14ac:dyDescent="0.35">
      <c r="A714" s="3">
        <v>2016</v>
      </c>
      <c r="B714" s="3">
        <v>9</v>
      </c>
      <c r="C714" s="3">
        <v>1</v>
      </c>
      <c r="D714" s="2">
        <v>233</v>
      </c>
      <c r="E714" s="3">
        <v>3</v>
      </c>
      <c r="F714" s="3" t="s">
        <v>45</v>
      </c>
      <c r="G714" s="3" t="str">
        <f t="shared" si="47"/>
        <v>2011</v>
      </c>
      <c r="H714" s="3">
        <f t="shared" si="45"/>
        <v>5</v>
      </c>
      <c r="I714" s="69"/>
      <c r="J714" s="3" t="s">
        <v>647</v>
      </c>
      <c r="K714" s="3" t="s">
        <v>317</v>
      </c>
      <c r="L714" s="3">
        <v>187.9</v>
      </c>
      <c r="M714" s="3">
        <v>603</v>
      </c>
      <c r="N714" s="3" t="str">
        <f t="shared" si="46"/>
        <v>2007</v>
      </c>
      <c r="O714" s="2">
        <v>233</v>
      </c>
    </row>
    <row r="715" spans="1:26" x14ac:dyDescent="0.35">
      <c r="A715" s="3">
        <v>2021</v>
      </c>
      <c r="B715" s="3" t="s">
        <v>28</v>
      </c>
      <c r="C715" s="3" t="s">
        <v>28</v>
      </c>
      <c r="D715" s="2">
        <v>483</v>
      </c>
      <c r="E715" s="3" t="s">
        <v>28</v>
      </c>
      <c r="F715" s="3" t="s">
        <v>226</v>
      </c>
      <c r="G715" s="3" t="str">
        <f t="shared" si="47"/>
        <v>2018</v>
      </c>
      <c r="H715" s="3">
        <f t="shared" si="45"/>
        <v>3</v>
      </c>
      <c r="I715" s="69"/>
      <c r="J715" s="3" t="s">
        <v>51</v>
      </c>
      <c r="K715" s="3" t="s">
        <v>929</v>
      </c>
      <c r="L715" s="16">
        <v>190</v>
      </c>
      <c r="M715" s="3">
        <v>603</v>
      </c>
      <c r="N715" s="3" t="str">
        <f t="shared" si="46"/>
        <v>2017</v>
      </c>
      <c r="O715" s="2">
        <v>483</v>
      </c>
    </row>
    <row r="716" spans="1:26" x14ac:dyDescent="0.35">
      <c r="A716" s="3">
        <v>2021</v>
      </c>
      <c r="B716" s="3">
        <v>4</v>
      </c>
      <c r="C716" s="3">
        <v>13</v>
      </c>
      <c r="D716" s="2">
        <v>490</v>
      </c>
      <c r="E716" s="3">
        <v>2</v>
      </c>
      <c r="F716" s="3" t="s">
        <v>226</v>
      </c>
      <c r="G716" s="3" t="str">
        <f t="shared" si="47"/>
        <v>2018</v>
      </c>
      <c r="H716" s="3">
        <f t="shared" si="45"/>
        <v>3</v>
      </c>
      <c r="I716" s="69"/>
      <c r="J716" s="3" t="s">
        <v>51</v>
      </c>
      <c r="K716" s="3" t="s">
        <v>944</v>
      </c>
      <c r="L716" s="16">
        <v>195</v>
      </c>
      <c r="M716" s="3">
        <v>603</v>
      </c>
      <c r="N716" s="3" t="str">
        <f t="shared" si="46"/>
        <v>2017</v>
      </c>
      <c r="O716" s="2">
        <v>490</v>
      </c>
    </row>
    <row r="717" spans="1:26" x14ac:dyDescent="0.35">
      <c r="A717" s="3">
        <v>2016</v>
      </c>
      <c r="B717" s="3">
        <v>11</v>
      </c>
      <c r="C717" s="3">
        <v>8</v>
      </c>
      <c r="D717" s="2">
        <v>187</v>
      </c>
      <c r="E717" s="3">
        <v>4</v>
      </c>
      <c r="F717" s="3" t="s">
        <v>45</v>
      </c>
      <c r="G717" s="3" t="str">
        <f t="shared" si="47"/>
        <v>2011</v>
      </c>
      <c r="H717" s="3">
        <f t="shared" si="45"/>
        <v>5</v>
      </c>
      <c r="I717" s="69"/>
      <c r="J717" s="3" t="s">
        <v>46</v>
      </c>
      <c r="K717" s="3" t="s">
        <v>317</v>
      </c>
      <c r="L717" s="3">
        <v>195.5</v>
      </c>
      <c r="M717" s="3">
        <v>606</v>
      </c>
      <c r="N717" s="3" t="str">
        <f t="shared" si="46"/>
        <v>2007</v>
      </c>
      <c r="O717" s="2">
        <v>187</v>
      </c>
    </row>
    <row r="718" spans="1:26" x14ac:dyDescent="0.35">
      <c r="A718" s="3">
        <v>2019</v>
      </c>
      <c r="B718" s="3">
        <v>11</v>
      </c>
      <c r="C718" s="3">
        <v>27</v>
      </c>
      <c r="D718" s="2">
        <v>45</v>
      </c>
      <c r="E718" s="3">
        <v>4</v>
      </c>
      <c r="F718" s="3" t="s">
        <v>45</v>
      </c>
      <c r="G718" s="3" t="str">
        <f t="shared" si="47"/>
        <v>2009</v>
      </c>
      <c r="H718" s="3">
        <f t="shared" si="45"/>
        <v>10</v>
      </c>
      <c r="I718" s="69"/>
      <c r="J718" s="3" t="s">
        <v>488</v>
      </c>
      <c r="K718" s="3" t="s">
        <v>488</v>
      </c>
      <c r="L718" s="3">
        <v>219.6</v>
      </c>
      <c r="M718" s="3">
        <v>608</v>
      </c>
      <c r="N718" s="3" t="str">
        <f t="shared" si="46"/>
        <v>2007</v>
      </c>
      <c r="O718" s="2">
        <v>45</v>
      </c>
    </row>
    <row r="719" spans="1:26" x14ac:dyDescent="0.35">
      <c r="A719" s="3">
        <v>2023</v>
      </c>
      <c r="B719" s="3">
        <v>11</v>
      </c>
      <c r="C719" s="3">
        <v>7</v>
      </c>
      <c r="D719" s="2">
        <v>546</v>
      </c>
      <c r="E719" s="3">
        <v>4</v>
      </c>
      <c r="F719" s="3" t="s">
        <v>41</v>
      </c>
      <c r="G719" s="3" t="str">
        <f t="shared" si="47"/>
        <v>2013</v>
      </c>
      <c r="H719" s="3">
        <f t="shared" si="45"/>
        <v>10</v>
      </c>
      <c r="I719" s="69"/>
      <c r="J719" t="s">
        <v>42</v>
      </c>
      <c r="K719" s="3" t="s">
        <v>318</v>
      </c>
      <c r="L719" s="3">
        <v>197.7</v>
      </c>
      <c r="M719" s="3">
        <v>608</v>
      </c>
      <c r="N719" s="3" t="str">
        <f t="shared" si="46"/>
        <v>2011</v>
      </c>
      <c r="O719" s="2">
        <v>546</v>
      </c>
    </row>
    <row r="720" spans="1:26" x14ac:dyDescent="0.35">
      <c r="A720" s="3">
        <v>2016</v>
      </c>
      <c r="B720" s="3">
        <v>11</v>
      </c>
      <c r="C720" s="3">
        <v>7</v>
      </c>
      <c r="D720" s="2">
        <v>225</v>
      </c>
      <c r="E720" s="3">
        <v>4</v>
      </c>
      <c r="F720" s="3" t="s">
        <v>45</v>
      </c>
      <c r="G720" s="3" t="str">
        <f t="shared" si="47"/>
        <v>2009</v>
      </c>
      <c r="H720" s="3">
        <f t="shared" si="45"/>
        <v>7</v>
      </c>
      <c r="I720" s="69"/>
      <c r="J720" s="3" t="s">
        <v>671</v>
      </c>
      <c r="K720" s="3" t="s">
        <v>512</v>
      </c>
      <c r="L720" s="3">
        <v>234.5</v>
      </c>
      <c r="M720" s="3">
        <v>610</v>
      </c>
      <c r="N720" s="3" t="str">
        <f t="shared" si="46"/>
        <v>2007</v>
      </c>
      <c r="O720" s="2">
        <v>225</v>
      </c>
    </row>
    <row r="721" spans="1:16" x14ac:dyDescent="0.35">
      <c r="A721" s="3">
        <v>2016</v>
      </c>
      <c r="B721" s="3">
        <v>9</v>
      </c>
      <c r="C721" s="3">
        <v>1</v>
      </c>
      <c r="D721" s="2">
        <v>242</v>
      </c>
      <c r="E721" s="3">
        <v>3</v>
      </c>
      <c r="F721" s="3" t="s">
        <v>45</v>
      </c>
      <c r="G721" s="3" t="str">
        <f t="shared" si="47"/>
        <v>2011</v>
      </c>
      <c r="H721" s="3">
        <f t="shared" si="45"/>
        <v>5</v>
      </c>
      <c r="I721" s="69"/>
      <c r="J721" s="3" t="s">
        <v>647</v>
      </c>
      <c r="K721" s="3" t="s">
        <v>317</v>
      </c>
      <c r="L721" s="3">
        <v>23</v>
      </c>
      <c r="M721" s="3">
        <v>610</v>
      </c>
      <c r="N721" s="3" t="str">
        <f t="shared" si="46"/>
        <v>2007</v>
      </c>
      <c r="O721" s="2">
        <v>242</v>
      </c>
    </row>
    <row r="722" spans="1:16" x14ac:dyDescent="0.35">
      <c r="A722" s="3">
        <v>2023</v>
      </c>
      <c r="B722" s="3">
        <v>7</v>
      </c>
      <c r="C722" s="3">
        <v>21</v>
      </c>
      <c r="D722" s="2">
        <v>410</v>
      </c>
      <c r="E722" s="3">
        <v>3</v>
      </c>
      <c r="F722" s="3" t="s">
        <v>20</v>
      </c>
      <c r="G722" s="3" t="str">
        <f t="shared" si="47"/>
        <v>2020</v>
      </c>
      <c r="H722" s="3">
        <f t="shared" si="45"/>
        <v>3</v>
      </c>
      <c r="I722" s="69"/>
      <c r="J722" s="3" t="s">
        <v>55</v>
      </c>
      <c r="K722" s="3">
        <v>8</v>
      </c>
      <c r="L722" s="3">
        <v>18.2</v>
      </c>
      <c r="M722" s="3">
        <v>610</v>
      </c>
      <c r="N722" s="3" t="str">
        <f t="shared" si="46"/>
        <v>2018</v>
      </c>
      <c r="O722" s="2">
        <v>410</v>
      </c>
    </row>
    <row r="723" spans="1:16" x14ac:dyDescent="0.35">
      <c r="A723" s="3">
        <v>2024</v>
      </c>
      <c r="B723" s="3">
        <v>2</v>
      </c>
      <c r="C723" s="3">
        <v>23</v>
      </c>
      <c r="D723" s="2">
        <v>647</v>
      </c>
      <c r="E723" s="3">
        <v>1</v>
      </c>
      <c r="F723" s="3" t="s">
        <v>225</v>
      </c>
      <c r="G723" s="3" t="str">
        <f t="shared" si="47"/>
        <v>2022</v>
      </c>
      <c r="H723" s="3">
        <f t="shared" si="45"/>
        <v>2</v>
      </c>
      <c r="I723" s="69"/>
      <c r="J723" t="s">
        <v>21</v>
      </c>
      <c r="K723" s="3">
        <v>2</v>
      </c>
      <c r="L723">
        <v>258.7</v>
      </c>
      <c r="M723" s="3">
        <v>610</v>
      </c>
      <c r="N723" s="3" t="str">
        <f t="shared" si="46"/>
        <v>2021</v>
      </c>
      <c r="O723" s="2">
        <v>647</v>
      </c>
    </row>
    <row r="724" spans="1:16" x14ac:dyDescent="0.35">
      <c r="A724" s="3">
        <v>2024</v>
      </c>
      <c r="B724" s="3">
        <v>8</v>
      </c>
      <c r="C724" s="3">
        <v>20</v>
      </c>
      <c r="D724" s="2">
        <v>725</v>
      </c>
      <c r="E724" s="3">
        <v>3</v>
      </c>
      <c r="F724" s="3" t="s">
        <v>226</v>
      </c>
      <c r="G724" s="3" t="str">
        <f t="shared" si="47"/>
        <v>2017</v>
      </c>
      <c r="H724" s="3">
        <f t="shared" si="45"/>
        <v>7</v>
      </c>
      <c r="I724" s="69"/>
      <c r="J724" t="s">
        <v>783</v>
      </c>
      <c r="K724">
        <v>7</v>
      </c>
      <c r="L724">
        <v>226.9</v>
      </c>
      <c r="M724" s="3">
        <v>610</v>
      </c>
      <c r="N724" s="3" t="str">
        <f t="shared" si="46"/>
        <v>2017</v>
      </c>
      <c r="O724" s="2">
        <v>725</v>
      </c>
    </row>
    <row r="725" spans="1:16" x14ac:dyDescent="0.35">
      <c r="A725" s="3">
        <v>2023</v>
      </c>
      <c r="B725" s="3">
        <v>7</v>
      </c>
      <c r="C725" s="3">
        <v>19</v>
      </c>
      <c r="D725" s="2">
        <v>403</v>
      </c>
      <c r="E725" s="3">
        <v>3</v>
      </c>
      <c r="F725" s="3" t="s">
        <v>41</v>
      </c>
      <c r="G725" s="3" t="str">
        <f t="shared" si="47"/>
        <v>2013</v>
      </c>
      <c r="H725" s="3">
        <f t="shared" si="45"/>
        <v>10</v>
      </c>
      <c r="I725" s="69"/>
      <c r="J725" s="3" t="s">
        <v>49</v>
      </c>
      <c r="K725" s="3" t="s">
        <v>318</v>
      </c>
      <c r="L725" s="3">
        <v>185.5</v>
      </c>
      <c r="M725" s="3">
        <v>613</v>
      </c>
      <c r="N725" s="3" t="str">
        <f t="shared" si="46"/>
        <v>2011</v>
      </c>
      <c r="O725" s="2">
        <v>403</v>
      </c>
      <c r="P725">
        <v>9.67</v>
      </c>
    </row>
    <row r="726" spans="1:16" x14ac:dyDescent="0.35">
      <c r="A726" s="3">
        <v>2023</v>
      </c>
      <c r="B726" s="3">
        <v>2</v>
      </c>
      <c r="C726" s="3">
        <v>13</v>
      </c>
      <c r="D726" s="2">
        <v>152</v>
      </c>
      <c r="E726" s="3">
        <v>1</v>
      </c>
      <c r="F726" s="3" t="s">
        <v>41</v>
      </c>
      <c r="G726" s="3" t="str">
        <f t="shared" si="47"/>
        <v>2012</v>
      </c>
      <c r="H726" s="3">
        <f t="shared" si="45"/>
        <v>11</v>
      </c>
      <c r="I726" s="69"/>
      <c r="J726" s="3" t="s">
        <v>461</v>
      </c>
      <c r="K726" s="3" t="s">
        <v>461</v>
      </c>
      <c r="L726" s="3">
        <v>195.5</v>
      </c>
      <c r="M726" s="3">
        <v>613</v>
      </c>
      <c r="N726" s="3" t="str">
        <f t="shared" si="46"/>
        <v>2011</v>
      </c>
      <c r="O726" s="2">
        <v>152</v>
      </c>
    </row>
    <row r="727" spans="1:16" x14ac:dyDescent="0.35">
      <c r="A727" s="3">
        <v>2023</v>
      </c>
      <c r="B727" s="3">
        <v>7</v>
      </c>
      <c r="C727" s="3">
        <v>17</v>
      </c>
      <c r="D727" s="2">
        <v>348</v>
      </c>
      <c r="E727" s="3">
        <v>3</v>
      </c>
      <c r="F727" s="3" t="s">
        <v>45</v>
      </c>
      <c r="G727" s="3" t="str">
        <f t="shared" si="47"/>
        <v>2011</v>
      </c>
      <c r="H727" s="3">
        <f t="shared" si="45"/>
        <v>12</v>
      </c>
      <c r="I727" s="69"/>
      <c r="J727" s="3" t="s">
        <v>236</v>
      </c>
      <c r="K727" s="3" t="s">
        <v>317</v>
      </c>
      <c r="L727" s="3">
        <v>217.2</v>
      </c>
      <c r="M727" s="3">
        <v>613</v>
      </c>
      <c r="N727" s="3" t="str">
        <f t="shared" si="46"/>
        <v>2007</v>
      </c>
      <c r="O727" s="2">
        <v>348</v>
      </c>
    </row>
    <row r="728" spans="1:16" x14ac:dyDescent="0.35">
      <c r="A728" s="3">
        <v>2024</v>
      </c>
      <c r="B728" s="3">
        <v>1</v>
      </c>
      <c r="C728" s="3">
        <v>22</v>
      </c>
      <c r="D728" s="2">
        <v>589</v>
      </c>
      <c r="E728" s="3">
        <v>1</v>
      </c>
      <c r="F728" s="3" t="s">
        <v>20</v>
      </c>
      <c r="G728" s="3" t="str">
        <f t="shared" si="47"/>
        <v>2020</v>
      </c>
      <c r="H728" s="3">
        <f t="shared" si="45"/>
        <v>4</v>
      </c>
      <c r="I728" s="69"/>
      <c r="J728" t="s">
        <v>55</v>
      </c>
      <c r="K728">
        <v>8</v>
      </c>
      <c r="L728">
        <v>484.2</v>
      </c>
      <c r="M728" s="3">
        <v>615</v>
      </c>
      <c r="N728" s="3" t="str">
        <f t="shared" si="46"/>
        <v>2018</v>
      </c>
      <c r="O728" s="2">
        <v>589</v>
      </c>
    </row>
    <row r="729" spans="1:16" x14ac:dyDescent="0.35">
      <c r="A729" s="3">
        <v>2024</v>
      </c>
      <c r="B729">
        <v>8</v>
      </c>
      <c r="C729" s="3">
        <v>19</v>
      </c>
      <c r="D729" s="2">
        <v>812</v>
      </c>
      <c r="E729" s="3">
        <v>3</v>
      </c>
      <c r="F729" s="3" t="s">
        <v>225</v>
      </c>
      <c r="G729" s="3" t="str">
        <f t="shared" si="47"/>
        <v>2021</v>
      </c>
      <c r="H729" s="3">
        <f t="shared" si="45"/>
        <v>3</v>
      </c>
      <c r="I729" s="69"/>
      <c r="J729">
        <v>3</v>
      </c>
      <c r="K729">
        <v>3</v>
      </c>
      <c r="L729">
        <v>266.89999999999998</v>
      </c>
      <c r="M729" s="3">
        <v>615</v>
      </c>
      <c r="N729" s="3" t="str">
        <f t="shared" si="46"/>
        <v>2021</v>
      </c>
      <c r="O729" s="2">
        <v>812</v>
      </c>
    </row>
    <row r="730" spans="1:16" x14ac:dyDescent="0.35">
      <c r="A730" s="3">
        <v>2024</v>
      </c>
      <c r="B730">
        <v>8</v>
      </c>
      <c r="C730" s="3">
        <v>19</v>
      </c>
      <c r="D730" s="2">
        <v>822</v>
      </c>
      <c r="E730" s="3">
        <v>3</v>
      </c>
      <c r="F730" s="3" t="s">
        <v>225</v>
      </c>
      <c r="G730" s="3" t="str">
        <f t="shared" si="47"/>
        <v>2021</v>
      </c>
      <c r="H730" s="3">
        <f t="shared" si="45"/>
        <v>3</v>
      </c>
      <c r="I730" s="69"/>
      <c r="J730">
        <v>3</v>
      </c>
      <c r="K730">
        <v>3</v>
      </c>
      <c r="L730">
        <v>269.7</v>
      </c>
      <c r="M730" s="3">
        <v>615</v>
      </c>
      <c r="N730" s="3" t="str">
        <f t="shared" si="46"/>
        <v>2021</v>
      </c>
      <c r="O730" s="2">
        <v>822</v>
      </c>
    </row>
    <row r="731" spans="1:16" x14ac:dyDescent="0.35">
      <c r="A731" s="3">
        <v>2019</v>
      </c>
      <c r="B731" s="3">
        <v>2</v>
      </c>
      <c r="C731" s="3">
        <v>21</v>
      </c>
      <c r="D731" s="2">
        <v>147</v>
      </c>
      <c r="E731" s="15">
        <v>1</v>
      </c>
      <c r="F731" s="3" t="s">
        <v>41</v>
      </c>
      <c r="G731" s="3" t="str">
        <f t="shared" si="47"/>
        <v>2012</v>
      </c>
      <c r="H731" s="3">
        <f t="shared" si="45"/>
        <v>7</v>
      </c>
      <c r="I731" s="69"/>
      <c r="J731" s="3" t="s">
        <v>551</v>
      </c>
      <c r="K731" s="3" t="s">
        <v>461</v>
      </c>
      <c r="L731" s="3">
        <v>247.3</v>
      </c>
      <c r="M731" s="3">
        <v>616</v>
      </c>
      <c r="N731" s="3" t="str">
        <f t="shared" si="46"/>
        <v>2011</v>
      </c>
      <c r="O731" s="2">
        <v>147</v>
      </c>
      <c r="P731">
        <v>23.15</v>
      </c>
    </row>
    <row r="732" spans="1:16" x14ac:dyDescent="0.35">
      <c r="A732" s="3">
        <v>2019</v>
      </c>
      <c r="B732" s="3">
        <v>2</v>
      </c>
      <c r="C732" s="3">
        <v>21</v>
      </c>
      <c r="D732" s="2">
        <v>147</v>
      </c>
      <c r="E732" s="15">
        <v>1</v>
      </c>
      <c r="F732" s="3" t="s">
        <v>41</v>
      </c>
      <c r="G732" s="3" t="str">
        <f t="shared" si="47"/>
        <v>2012</v>
      </c>
      <c r="H732" s="3">
        <f t="shared" si="45"/>
        <v>7</v>
      </c>
      <c r="I732" s="69"/>
      <c r="J732" s="3" t="s">
        <v>551</v>
      </c>
      <c r="K732" s="3" t="s">
        <v>461</v>
      </c>
      <c r="L732" s="3">
        <v>247.3</v>
      </c>
      <c r="M732" s="3">
        <v>616</v>
      </c>
      <c r="N732" s="3" t="str">
        <f t="shared" si="46"/>
        <v>2011</v>
      </c>
      <c r="O732" s="2">
        <v>147</v>
      </c>
      <c r="P732">
        <v>19.2</v>
      </c>
    </row>
    <row r="733" spans="1:16" x14ac:dyDescent="0.35">
      <c r="A733" s="3">
        <v>2019</v>
      </c>
      <c r="B733" s="3">
        <v>2</v>
      </c>
      <c r="C733" s="3">
        <v>21</v>
      </c>
      <c r="D733" s="2">
        <v>147</v>
      </c>
      <c r="E733" s="15">
        <v>1</v>
      </c>
      <c r="F733" s="3" t="s">
        <v>41</v>
      </c>
      <c r="G733" s="3" t="str">
        <f t="shared" si="47"/>
        <v>2012</v>
      </c>
      <c r="H733" s="3">
        <f t="shared" si="45"/>
        <v>7</v>
      </c>
      <c r="I733" s="69"/>
      <c r="J733" s="3" t="s">
        <v>551</v>
      </c>
      <c r="K733" s="3" t="s">
        <v>461</v>
      </c>
      <c r="L733" s="3">
        <v>247.3</v>
      </c>
      <c r="M733" s="3">
        <v>616</v>
      </c>
      <c r="N733" s="3" t="str">
        <f t="shared" si="46"/>
        <v>2011</v>
      </c>
      <c r="O733" s="2">
        <v>147</v>
      </c>
      <c r="P733">
        <v>14.18</v>
      </c>
    </row>
    <row r="734" spans="1:16" x14ac:dyDescent="0.35">
      <c r="A734" s="3">
        <v>2019</v>
      </c>
      <c r="B734" s="3">
        <v>1</v>
      </c>
      <c r="C734" s="3" t="s">
        <v>28</v>
      </c>
      <c r="D734" s="2">
        <v>62</v>
      </c>
      <c r="E734" s="3">
        <v>1</v>
      </c>
      <c r="F734" s="3" t="s">
        <v>41</v>
      </c>
      <c r="G734" s="3" t="str">
        <f t="shared" si="47"/>
        <v>2012</v>
      </c>
      <c r="H734" s="3">
        <f t="shared" si="45"/>
        <v>7</v>
      </c>
      <c r="I734" s="69"/>
      <c r="J734" s="3" t="s">
        <v>461</v>
      </c>
      <c r="K734" s="3" t="s">
        <v>461</v>
      </c>
      <c r="L734" s="3">
        <v>260.8</v>
      </c>
      <c r="M734" s="3">
        <v>618</v>
      </c>
      <c r="N734" s="3" t="str">
        <f t="shared" si="46"/>
        <v>2011</v>
      </c>
      <c r="O734" s="2">
        <v>62</v>
      </c>
    </row>
    <row r="735" spans="1:16" x14ac:dyDescent="0.35">
      <c r="A735" s="3">
        <v>2021</v>
      </c>
      <c r="B735" s="3">
        <v>10</v>
      </c>
      <c r="C735" s="3">
        <v>11</v>
      </c>
      <c r="D735" s="2">
        <v>480</v>
      </c>
      <c r="E735" s="3">
        <v>4</v>
      </c>
      <c r="F735" s="3" t="s">
        <v>226</v>
      </c>
      <c r="G735" s="3" t="str">
        <f t="shared" si="47"/>
        <v>2018</v>
      </c>
      <c r="H735" s="3">
        <f t="shared" si="45"/>
        <v>3</v>
      </c>
      <c r="I735" s="69"/>
      <c r="J735" s="3" t="s">
        <v>51</v>
      </c>
      <c r="K735" s="3" t="s">
        <v>929</v>
      </c>
      <c r="L735" s="16">
        <v>225</v>
      </c>
      <c r="M735" s="3">
        <v>618</v>
      </c>
      <c r="N735" s="3" t="str">
        <f t="shared" si="46"/>
        <v>2017</v>
      </c>
      <c r="O735" s="2">
        <v>480</v>
      </c>
    </row>
    <row r="736" spans="1:16" x14ac:dyDescent="0.35">
      <c r="A736" s="3">
        <v>2024</v>
      </c>
      <c r="B736" s="3">
        <v>1</v>
      </c>
      <c r="C736" s="3">
        <v>22</v>
      </c>
      <c r="D736" s="2">
        <v>604</v>
      </c>
      <c r="E736" s="3">
        <v>1</v>
      </c>
      <c r="F736" s="3" t="s">
        <v>20</v>
      </c>
      <c r="G736" s="3" t="str">
        <f t="shared" si="47"/>
        <v>2020</v>
      </c>
      <c r="H736" s="3">
        <f t="shared" si="45"/>
        <v>4</v>
      </c>
      <c r="I736" s="69"/>
      <c r="J736" t="s">
        <v>233</v>
      </c>
      <c r="K736">
        <v>37</v>
      </c>
      <c r="L736">
        <v>286</v>
      </c>
      <c r="M736" s="3">
        <v>618</v>
      </c>
      <c r="N736" s="3" t="str">
        <f t="shared" si="46"/>
        <v>2018</v>
      </c>
      <c r="O736" s="2">
        <v>604</v>
      </c>
    </row>
    <row r="737" spans="1:15" x14ac:dyDescent="0.35">
      <c r="A737" s="3">
        <v>2017</v>
      </c>
      <c r="B737" s="3">
        <v>8</v>
      </c>
      <c r="C737" s="3">
        <v>14</v>
      </c>
      <c r="D737" s="2">
        <v>130</v>
      </c>
      <c r="E737" s="15">
        <v>3</v>
      </c>
      <c r="F737" s="3" t="s">
        <v>45</v>
      </c>
      <c r="G737" s="3" t="str">
        <f t="shared" si="47"/>
        <v>2011</v>
      </c>
      <c r="H737" s="3">
        <f t="shared" si="45"/>
        <v>6</v>
      </c>
      <c r="I737" s="69"/>
      <c r="J737" s="3" t="s">
        <v>317</v>
      </c>
      <c r="K737" s="3" t="s">
        <v>317</v>
      </c>
      <c r="L737" s="3">
        <v>236.4</v>
      </c>
      <c r="M737" s="3">
        <v>620</v>
      </c>
      <c r="N737" s="3" t="str">
        <f t="shared" si="46"/>
        <v>2007</v>
      </c>
      <c r="O737" s="2">
        <v>130</v>
      </c>
    </row>
    <row r="738" spans="1:15" x14ac:dyDescent="0.35">
      <c r="A738" s="3">
        <v>2023</v>
      </c>
      <c r="B738" s="3">
        <v>7</v>
      </c>
      <c r="C738" s="3">
        <v>19</v>
      </c>
      <c r="D738" s="2">
        <v>352</v>
      </c>
      <c r="E738" s="3">
        <v>3</v>
      </c>
      <c r="F738" s="3" t="s">
        <v>41</v>
      </c>
      <c r="G738" s="3" t="str">
        <f t="shared" si="47"/>
        <v>2013</v>
      </c>
      <c r="H738" s="3">
        <f t="shared" si="45"/>
        <v>10</v>
      </c>
      <c r="I738" s="69"/>
      <c r="J738" s="3" t="s">
        <v>583</v>
      </c>
      <c r="K738" s="3" t="s">
        <v>318</v>
      </c>
      <c r="L738" s="3">
        <v>223.2</v>
      </c>
      <c r="M738" s="3">
        <v>620</v>
      </c>
      <c r="N738" s="3" t="str">
        <f t="shared" si="46"/>
        <v>2011</v>
      </c>
      <c r="O738" s="2">
        <v>352</v>
      </c>
    </row>
    <row r="739" spans="1:15" x14ac:dyDescent="0.35">
      <c r="A739" s="3">
        <v>2017</v>
      </c>
      <c r="B739" s="3">
        <v>7</v>
      </c>
      <c r="C739" s="3">
        <v>8</v>
      </c>
      <c r="D739" s="2">
        <v>93</v>
      </c>
      <c r="E739" s="15">
        <v>3</v>
      </c>
      <c r="F739" s="3" t="s">
        <v>41</v>
      </c>
      <c r="G739" s="3" t="str">
        <f t="shared" si="47"/>
        <v>2013</v>
      </c>
      <c r="H739" s="3">
        <f t="shared" si="45"/>
        <v>4</v>
      </c>
      <c r="I739" s="69"/>
      <c r="J739" s="3" t="s">
        <v>318</v>
      </c>
      <c r="K739" s="3" t="s">
        <v>318</v>
      </c>
      <c r="L739" s="3">
        <v>229.8</v>
      </c>
      <c r="M739" s="3">
        <v>624</v>
      </c>
      <c r="N739" s="3" t="str">
        <f t="shared" si="46"/>
        <v>2011</v>
      </c>
      <c r="O739" s="2">
        <v>93</v>
      </c>
    </row>
    <row r="740" spans="1:15" x14ac:dyDescent="0.35">
      <c r="A740" s="3">
        <v>2024</v>
      </c>
      <c r="B740" s="3">
        <v>8</v>
      </c>
      <c r="C740" s="3">
        <v>9</v>
      </c>
      <c r="D740" s="2">
        <v>719</v>
      </c>
      <c r="E740" s="3">
        <v>3</v>
      </c>
      <c r="F740" s="3" t="s">
        <v>41</v>
      </c>
      <c r="G740" s="3" t="str">
        <f t="shared" si="47"/>
        <v>2013</v>
      </c>
      <c r="H740" s="3">
        <f t="shared" si="45"/>
        <v>11</v>
      </c>
      <c r="I740" s="69"/>
      <c r="J740" t="s">
        <v>755</v>
      </c>
      <c r="K740" t="s">
        <v>458</v>
      </c>
      <c r="L740">
        <v>207.6</v>
      </c>
      <c r="M740" s="3">
        <v>625</v>
      </c>
      <c r="N740" s="3" t="str">
        <f t="shared" si="46"/>
        <v>2011</v>
      </c>
      <c r="O740" s="2">
        <v>719</v>
      </c>
    </row>
    <row r="741" spans="1:15" x14ac:dyDescent="0.35">
      <c r="A741" s="3">
        <v>2024</v>
      </c>
      <c r="B741" s="3">
        <v>8</v>
      </c>
      <c r="C741" s="3">
        <v>19</v>
      </c>
      <c r="D741" s="2">
        <v>740</v>
      </c>
      <c r="E741" s="3">
        <v>3</v>
      </c>
      <c r="F741" s="3" t="s">
        <v>225</v>
      </c>
      <c r="G741" s="3" t="str">
        <f t="shared" si="47"/>
        <v>2021</v>
      </c>
      <c r="H741" s="3">
        <f t="shared" si="45"/>
        <v>3</v>
      </c>
      <c r="I741" s="69"/>
      <c r="J741">
        <v>3</v>
      </c>
      <c r="K741">
        <v>3</v>
      </c>
      <c r="L741">
        <v>258.10000000000002</v>
      </c>
      <c r="M741" s="3">
        <v>625</v>
      </c>
      <c r="N741" s="3" t="str">
        <f t="shared" si="46"/>
        <v>2021</v>
      </c>
      <c r="O741" s="2">
        <v>740</v>
      </c>
    </row>
    <row r="742" spans="1:15" x14ac:dyDescent="0.35">
      <c r="A742" s="3">
        <v>2024</v>
      </c>
      <c r="B742" s="3">
        <v>8</v>
      </c>
      <c r="C742" s="3">
        <v>9</v>
      </c>
      <c r="D742" s="2">
        <v>776</v>
      </c>
      <c r="E742" s="3">
        <v>3</v>
      </c>
      <c r="F742" s="3" t="s">
        <v>41</v>
      </c>
      <c r="G742" s="3" t="str">
        <f t="shared" si="47"/>
        <v>2013</v>
      </c>
      <c r="H742" s="3">
        <f t="shared" si="45"/>
        <v>11</v>
      </c>
      <c r="I742" s="69"/>
      <c r="J742" t="s">
        <v>669</v>
      </c>
      <c r="K742" t="s">
        <v>458</v>
      </c>
      <c r="L742">
        <v>293.39999999999998</v>
      </c>
      <c r="M742" s="3">
        <v>626</v>
      </c>
      <c r="N742" s="3" t="str">
        <f t="shared" si="46"/>
        <v>2011</v>
      </c>
      <c r="O742" s="2">
        <v>776</v>
      </c>
    </row>
    <row r="743" spans="1:15" x14ac:dyDescent="0.35">
      <c r="A743" s="3">
        <v>2016</v>
      </c>
      <c r="B743" s="3">
        <v>11</v>
      </c>
      <c r="C743" s="3">
        <v>8</v>
      </c>
      <c r="D743" s="2">
        <v>184</v>
      </c>
      <c r="E743" s="3">
        <v>4</v>
      </c>
      <c r="F743" s="3" t="s">
        <v>45</v>
      </c>
      <c r="G743" s="3" t="str">
        <f t="shared" si="47"/>
        <v>2011</v>
      </c>
      <c r="H743" s="3">
        <f t="shared" si="45"/>
        <v>5</v>
      </c>
      <c r="I743" s="69"/>
      <c r="J743" s="3" t="s">
        <v>632</v>
      </c>
      <c r="K743" s="3" t="s">
        <v>317</v>
      </c>
      <c r="L743" s="3">
        <v>290.89999999999998</v>
      </c>
      <c r="M743" s="3">
        <v>627</v>
      </c>
      <c r="N743" s="3" t="str">
        <f t="shared" si="46"/>
        <v>2007</v>
      </c>
      <c r="O743" s="2">
        <v>184</v>
      </c>
    </row>
    <row r="744" spans="1:15" x14ac:dyDescent="0.35">
      <c r="A744" s="3">
        <v>2024</v>
      </c>
      <c r="B744" s="3">
        <v>8</v>
      </c>
      <c r="C744" s="3">
        <v>13</v>
      </c>
      <c r="D744" s="2">
        <v>777</v>
      </c>
      <c r="E744" s="3">
        <v>3</v>
      </c>
      <c r="F744" s="3" t="s">
        <v>225</v>
      </c>
      <c r="G744" s="3" t="str">
        <f t="shared" si="47"/>
        <v>2021</v>
      </c>
      <c r="H744" s="3">
        <f t="shared" si="45"/>
        <v>3</v>
      </c>
      <c r="I744" s="69"/>
      <c r="J744" t="s">
        <v>1162</v>
      </c>
      <c r="K744">
        <v>3</v>
      </c>
      <c r="L744">
        <v>264.60000000000002</v>
      </c>
      <c r="M744" s="3">
        <v>627</v>
      </c>
      <c r="N744" s="3" t="str">
        <f t="shared" si="46"/>
        <v>2021</v>
      </c>
      <c r="O744" s="2">
        <v>777</v>
      </c>
    </row>
    <row r="745" spans="1:15" x14ac:dyDescent="0.35">
      <c r="A745" s="3">
        <v>2019</v>
      </c>
      <c r="B745" s="3">
        <v>11</v>
      </c>
      <c r="C745" s="3">
        <v>27</v>
      </c>
      <c r="D745" s="2">
        <v>40</v>
      </c>
      <c r="E745" s="3">
        <v>4</v>
      </c>
      <c r="F745" s="3" t="s">
        <v>45</v>
      </c>
      <c r="G745" s="3" t="str">
        <f t="shared" si="47"/>
        <v>2011</v>
      </c>
      <c r="H745" s="3">
        <f t="shared" si="45"/>
        <v>8</v>
      </c>
      <c r="I745" s="69"/>
      <c r="J745" s="3" t="s">
        <v>317</v>
      </c>
      <c r="K745" s="3" t="s">
        <v>317</v>
      </c>
      <c r="L745" s="3">
        <v>226.3</v>
      </c>
      <c r="M745" s="3">
        <v>630</v>
      </c>
      <c r="N745" s="3" t="str">
        <f t="shared" si="46"/>
        <v>2007</v>
      </c>
      <c r="O745" s="2">
        <v>40</v>
      </c>
    </row>
    <row r="746" spans="1:15" x14ac:dyDescent="0.35">
      <c r="A746" s="3">
        <v>2017</v>
      </c>
      <c r="B746" s="3">
        <v>8</v>
      </c>
      <c r="C746" s="3">
        <v>8</v>
      </c>
      <c r="D746" s="2">
        <v>124</v>
      </c>
      <c r="E746" s="15">
        <v>3</v>
      </c>
      <c r="F746" s="3" t="s">
        <v>45</v>
      </c>
      <c r="G746" s="3" t="str">
        <f t="shared" si="47"/>
        <v>2009</v>
      </c>
      <c r="H746" s="3">
        <f t="shared" si="45"/>
        <v>8</v>
      </c>
      <c r="I746" s="69"/>
      <c r="J746" s="3" t="s">
        <v>512</v>
      </c>
      <c r="K746" s="3" t="s">
        <v>512</v>
      </c>
      <c r="L746" s="3">
        <v>249.7</v>
      </c>
      <c r="M746" s="3">
        <v>630</v>
      </c>
      <c r="N746" s="3" t="str">
        <f t="shared" si="46"/>
        <v>2007</v>
      </c>
      <c r="O746" s="2">
        <v>124</v>
      </c>
    </row>
    <row r="747" spans="1:15" x14ac:dyDescent="0.35">
      <c r="A747" s="3">
        <v>2024</v>
      </c>
      <c r="B747" s="3">
        <v>4</v>
      </c>
      <c r="C747" s="3">
        <v>5</v>
      </c>
      <c r="D747" s="2">
        <v>662</v>
      </c>
      <c r="E747" s="3">
        <v>2</v>
      </c>
      <c r="F747" s="3" t="s">
        <v>225</v>
      </c>
      <c r="G747" s="3" t="str">
        <f t="shared" si="47"/>
        <v>2021</v>
      </c>
      <c r="H747" s="3">
        <f t="shared" si="45"/>
        <v>3</v>
      </c>
      <c r="I747" s="69"/>
      <c r="J747" t="s">
        <v>94</v>
      </c>
      <c r="K747">
        <v>1</v>
      </c>
      <c r="L747">
        <v>281.7</v>
      </c>
      <c r="M747" s="3">
        <v>630</v>
      </c>
      <c r="N747" s="3" t="str">
        <f t="shared" si="46"/>
        <v>2021</v>
      </c>
      <c r="O747" s="2">
        <v>662</v>
      </c>
    </row>
    <row r="748" spans="1:15" x14ac:dyDescent="0.35">
      <c r="A748" s="3">
        <v>2021</v>
      </c>
      <c r="B748" s="3">
        <v>10</v>
      </c>
      <c r="C748" s="3" t="s">
        <v>28</v>
      </c>
      <c r="D748" s="2">
        <v>34</v>
      </c>
      <c r="E748" s="3">
        <v>4</v>
      </c>
      <c r="F748" s="3" t="s">
        <v>41</v>
      </c>
      <c r="G748" s="3" t="str">
        <f t="shared" si="47"/>
        <v>2012</v>
      </c>
      <c r="H748" s="3">
        <f t="shared" si="45"/>
        <v>9</v>
      </c>
      <c r="I748" s="69"/>
      <c r="J748" s="3" t="s">
        <v>461</v>
      </c>
      <c r="K748" s="3" t="s">
        <v>461</v>
      </c>
      <c r="L748" s="3">
        <v>216.4</v>
      </c>
      <c r="M748" s="3">
        <v>631</v>
      </c>
      <c r="N748" s="3" t="str">
        <f t="shared" si="46"/>
        <v>2011</v>
      </c>
      <c r="O748" s="2">
        <v>34</v>
      </c>
    </row>
    <row r="749" spans="1:15" x14ac:dyDescent="0.35">
      <c r="A749" s="3">
        <v>2017</v>
      </c>
      <c r="B749" s="3">
        <v>1</v>
      </c>
      <c r="C749" s="3">
        <v>20</v>
      </c>
      <c r="D749" s="2">
        <v>97</v>
      </c>
      <c r="E749" s="15">
        <v>1</v>
      </c>
      <c r="F749" s="3" t="s">
        <v>41</v>
      </c>
      <c r="G749" s="3" t="str">
        <f t="shared" si="47"/>
        <v>2012</v>
      </c>
      <c r="H749" s="3">
        <f t="shared" si="45"/>
        <v>5</v>
      </c>
      <c r="I749" s="69"/>
      <c r="J749" s="3" t="s">
        <v>544</v>
      </c>
      <c r="K749" s="3" t="s">
        <v>461</v>
      </c>
      <c r="L749" s="3">
        <v>243.1</v>
      </c>
      <c r="M749" s="3">
        <v>631</v>
      </c>
      <c r="N749" s="3" t="str">
        <f t="shared" si="46"/>
        <v>2011</v>
      </c>
      <c r="O749" s="2">
        <v>97</v>
      </c>
    </row>
    <row r="750" spans="1:15" x14ac:dyDescent="0.35">
      <c r="A750" s="3">
        <v>2019</v>
      </c>
      <c r="B750" s="3">
        <v>2</v>
      </c>
      <c r="C750" s="3">
        <v>21</v>
      </c>
      <c r="D750" s="2">
        <v>168</v>
      </c>
      <c r="E750" s="3">
        <v>1</v>
      </c>
      <c r="F750" s="3" t="s">
        <v>45</v>
      </c>
      <c r="G750" s="3" t="str">
        <f t="shared" si="47"/>
        <v>2011</v>
      </c>
      <c r="H750" s="3">
        <f t="shared" si="45"/>
        <v>8</v>
      </c>
      <c r="I750" s="69"/>
      <c r="J750" s="3" t="s">
        <v>615</v>
      </c>
      <c r="K750" s="3" t="s">
        <v>317</v>
      </c>
      <c r="L750" s="3">
        <v>282.2</v>
      </c>
      <c r="M750" s="3">
        <v>632</v>
      </c>
      <c r="N750" s="3" t="str">
        <f t="shared" si="46"/>
        <v>2007</v>
      </c>
      <c r="O750" s="2">
        <v>168</v>
      </c>
    </row>
    <row r="751" spans="1:15" x14ac:dyDescent="0.35">
      <c r="A751" s="3">
        <v>2018</v>
      </c>
      <c r="B751" s="3">
        <v>8</v>
      </c>
      <c r="C751" s="3">
        <v>16</v>
      </c>
      <c r="D751" s="2">
        <v>330</v>
      </c>
      <c r="E751" s="3">
        <v>3</v>
      </c>
      <c r="F751" s="3" t="s">
        <v>45</v>
      </c>
      <c r="G751" s="3" t="str">
        <f t="shared" si="47"/>
        <v>2011</v>
      </c>
      <c r="H751" s="3">
        <f t="shared" si="45"/>
        <v>7</v>
      </c>
      <c r="I751" s="69"/>
      <c r="J751" s="3" t="s">
        <v>632</v>
      </c>
      <c r="K751" s="3" t="s">
        <v>317</v>
      </c>
      <c r="L751" s="3">
        <v>211.2</v>
      </c>
      <c r="M751" s="3">
        <v>633</v>
      </c>
      <c r="N751" s="3" t="str">
        <f t="shared" si="46"/>
        <v>2007</v>
      </c>
      <c r="O751" s="2">
        <v>330</v>
      </c>
    </row>
    <row r="752" spans="1:15" x14ac:dyDescent="0.35">
      <c r="A752" s="3">
        <v>2021</v>
      </c>
      <c r="B752" s="3" t="s">
        <v>28</v>
      </c>
      <c r="C752" s="3" t="s">
        <v>28</v>
      </c>
      <c r="D752" s="2">
        <v>486</v>
      </c>
      <c r="E752" s="3" t="s">
        <v>28</v>
      </c>
      <c r="F752" s="3" t="s">
        <v>226</v>
      </c>
      <c r="G752" s="3" t="str">
        <f t="shared" si="47"/>
        <v>2018</v>
      </c>
      <c r="H752" s="3">
        <f t="shared" si="45"/>
        <v>3</v>
      </c>
      <c r="I752" s="69"/>
      <c r="J752" s="3" t="s">
        <v>51</v>
      </c>
      <c r="K752" s="3" t="s">
        <v>939</v>
      </c>
      <c r="L752" s="16">
        <v>210</v>
      </c>
      <c r="M752" s="3">
        <v>633</v>
      </c>
      <c r="N752" s="3" t="str">
        <f t="shared" si="46"/>
        <v>2017</v>
      </c>
      <c r="O752" s="2">
        <v>486</v>
      </c>
    </row>
    <row r="753" spans="1:15" x14ac:dyDescent="0.35">
      <c r="A753" s="3">
        <v>2023</v>
      </c>
      <c r="B753" s="3">
        <v>11</v>
      </c>
      <c r="C753" s="3">
        <v>17</v>
      </c>
      <c r="D753" s="2">
        <v>511</v>
      </c>
      <c r="E753" s="3">
        <v>4</v>
      </c>
      <c r="F753" s="3" t="s">
        <v>225</v>
      </c>
      <c r="G753" s="3" t="str">
        <f t="shared" si="47"/>
        <v>2022</v>
      </c>
      <c r="H753" s="3">
        <f t="shared" si="45"/>
        <v>1</v>
      </c>
      <c r="I753" s="69"/>
      <c r="J753" s="3" t="s">
        <v>896</v>
      </c>
      <c r="K753" s="3">
        <v>5</v>
      </c>
      <c r="L753" s="3">
        <v>316.10000000000002</v>
      </c>
      <c r="M753" s="3">
        <v>633</v>
      </c>
      <c r="N753" s="3" t="str">
        <f t="shared" si="46"/>
        <v>2021</v>
      </c>
      <c r="O753" s="2">
        <v>511</v>
      </c>
    </row>
    <row r="754" spans="1:15" x14ac:dyDescent="0.35">
      <c r="A754" s="3">
        <v>2011</v>
      </c>
      <c r="B754" s="3">
        <v>11</v>
      </c>
      <c r="C754" s="3">
        <v>14</v>
      </c>
      <c r="D754" s="2">
        <v>616</v>
      </c>
      <c r="E754" s="3">
        <v>4</v>
      </c>
      <c r="F754" s="3" t="s">
        <v>45</v>
      </c>
      <c r="G754" s="3" t="str">
        <f t="shared" si="47"/>
        <v>2009</v>
      </c>
      <c r="H754" s="3">
        <f t="shared" si="45"/>
        <v>2</v>
      </c>
      <c r="I754" s="69"/>
      <c r="J754" t="s">
        <v>671</v>
      </c>
      <c r="K754" s="3" t="s">
        <v>512</v>
      </c>
      <c r="L754">
        <v>225.4</v>
      </c>
      <c r="M754" s="3">
        <v>633</v>
      </c>
      <c r="N754" s="3" t="str">
        <f t="shared" si="46"/>
        <v>2007</v>
      </c>
      <c r="O754" s="2">
        <v>616</v>
      </c>
    </row>
    <row r="755" spans="1:15" x14ac:dyDescent="0.35">
      <c r="A755" s="3">
        <v>2024</v>
      </c>
      <c r="B755" s="3">
        <v>8</v>
      </c>
      <c r="C755" s="3">
        <v>19</v>
      </c>
      <c r="D755" s="2">
        <v>729</v>
      </c>
      <c r="E755" s="3">
        <v>3</v>
      </c>
      <c r="F755" s="3" t="s">
        <v>225</v>
      </c>
      <c r="G755" s="3" t="str">
        <f t="shared" si="47"/>
        <v>2021</v>
      </c>
      <c r="H755" s="3">
        <f t="shared" si="45"/>
        <v>3</v>
      </c>
      <c r="I755" s="69"/>
      <c r="J755">
        <v>3</v>
      </c>
      <c r="K755">
        <v>3</v>
      </c>
      <c r="L755">
        <v>291.89999999999998</v>
      </c>
      <c r="M755" s="3">
        <v>634</v>
      </c>
      <c r="N755" s="3" t="str">
        <f t="shared" si="46"/>
        <v>2021</v>
      </c>
      <c r="O755" s="2">
        <v>729</v>
      </c>
    </row>
    <row r="756" spans="1:15" x14ac:dyDescent="0.35">
      <c r="A756" s="3">
        <v>2022</v>
      </c>
      <c r="B756" s="3">
        <v>1</v>
      </c>
      <c r="C756" s="3" t="s">
        <v>28</v>
      </c>
      <c r="D756" s="2">
        <v>11</v>
      </c>
      <c r="E756" s="3">
        <v>1</v>
      </c>
      <c r="F756" s="3" t="s">
        <v>20</v>
      </c>
      <c r="G756" s="3" t="str">
        <f t="shared" si="47"/>
        <v>2020</v>
      </c>
      <c r="H756" s="3">
        <f t="shared" si="45"/>
        <v>2</v>
      </c>
      <c r="I756" s="69"/>
      <c r="J756" s="3">
        <v>8</v>
      </c>
      <c r="K756" s="3">
        <v>8</v>
      </c>
      <c r="L756" s="3">
        <v>370.8</v>
      </c>
      <c r="M756" s="3">
        <v>637</v>
      </c>
      <c r="N756" s="3" t="str">
        <f t="shared" si="46"/>
        <v>2018</v>
      </c>
      <c r="O756" s="2">
        <v>11</v>
      </c>
    </row>
    <row r="757" spans="1:15" x14ac:dyDescent="0.35">
      <c r="A757" s="3">
        <v>2023</v>
      </c>
      <c r="B757" s="3">
        <v>11</v>
      </c>
      <c r="C757" s="3">
        <v>20</v>
      </c>
      <c r="D757" s="2">
        <v>538</v>
      </c>
      <c r="E757" s="3">
        <v>4</v>
      </c>
      <c r="F757" s="3" t="s">
        <v>225</v>
      </c>
      <c r="G757" s="3" t="str">
        <f t="shared" si="47"/>
        <v>2023</v>
      </c>
      <c r="H757" s="3">
        <f t="shared" si="45"/>
        <v>0</v>
      </c>
      <c r="I757" s="69"/>
      <c r="J757" t="s">
        <v>229</v>
      </c>
      <c r="K757" s="3">
        <v>10</v>
      </c>
      <c r="L757" s="3">
        <v>313.2</v>
      </c>
      <c r="M757" s="3">
        <v>638</v>
      </c>
      <c r="N757" s="3" t="str">
        <f t="shared" si="46"/>
        <v>2021</v>
      </c>
      <c r="O757" s="2">
        <v>538</v>
      </c>
    </row>
    <row r="758" spans="1:15" x14ac:dyDescent="0.35">
      <c r="A758" s="3">
        <v>2024</v>
      </c>
      <c r="B758">
        <v>8</v>
      </c>
      <c r="C758" s="3">
        <v>15</v>
      </c>
      <c r="D758" s="2">
        <v>827</v>
      </c>
      <c r="E758" s="3">
        <v>3</v>
      </c>
      <c r="F758" s="3" t="s">
        <v>225</v>
      </c>
      <c r="G758" s="3" t="str">
        <f t="shared" si="47"/>
        <v>2021</v>
      </c>
      <c r="H758" s="3">
        <f t="shared" si="45"/>
        <v>3</v>
      </c>
      <c r="I758" s="69"/>
      <c r="J758" t="s">
        <v>237</v>
      </c>
      <c r="K758">
        <v>3</v>
      </c>
      <c r="L758">
        <v>309</v>
      </c>
      <c r="M758" s="3">
        <v>638</v>
      </c>
      <c r="N758" s="3" t="str">
        <f t="shared" si="46"/>
        <v>2021</v>
      </c>
      <c r="O758" s="2">
        <v>827</v>
      </c>
    </row>
    <row r="759" spans="1:15" x14ac:dyDescent="0.35">
      <c r="A759" s="3">
        <v>2024</v>
      </c>
      <c r="B759" s="3">
        <v>2</v>
      </c>
      <c r="C759" s="3">
        <v>23</v>
      </c>
      <c r="D759" s="2">
        <v>646</v>
      </c>
      <c r="E759" s="3">
        <v>1</v>
      </c>
      <c r="F759" s="3" t="s">
        <v>225</v>
      </c>
      <c r="G759" s="3" t="str">
        <f t="shared" si="47"/>
        <v>2022</v>
      </c>
      <c r="H759" s="3">
        <f t="shared" si="45"/>
        <v>2</v>
      </c>
      <c r="I759" s="69"/>
      <c r="J759" t="s">
        <v>21</v>
      </c>
      <c r="K759" s="3">
        <v>2</v>
      </c>
      <c r="L759">
        <v>249.8</v>
      </c>
      <c r="M759" s="3">
        <v>639</v>
      </c>
      <c r="N759" s="3" t="str">
        <f t="shared" si="46"/>
        <v>2021</v>
      </c>
      <c r="O759" s="2">
        <v>646</v>
      </c>
    </row>
    <row r="760" spans="1:15" x14ac:dyDescent="0.35">
      <c r="A760" s="3">
        <v>2022</v>
      </c>
      <c r="B760" s="3">
        <v>11</v>
      </c>
      <c r="C760" s="3">
        <v>18</v>
      </c>
      <c r="D760" s="2">
        <v>109</v>
      </c>
      <c r="E760" s="15">
        <v>4</v>
      </c>
      <c r="F760" s="3" t="s">
        <v>225</v>
      </c>
      <c r="G760" s="3" t="str">
        <f t="shared" si="47"/>
        <v>2021</v>
      </c>
      <c r="H760" s="3">
        <f t="shared" si="45"/>
        <v>1</v>
      </c>
      <c r="I760" s="69"/>
      <c r="J760" s="3">
        <v>4</v>
      </c>
      <c r="K760" s="3">
        <v>4</v>
      </c>
      <c r="L760" s="3">
        <v>262.7</v>
      </c>
      <c r="M760" s="3">
        <v>640</v>
      </c>
      <c r="N760" s="3" t="str">
        <f t="shared" si="46"/>
        <v>2021</v>
      </c>
      <c r="O760" s="2">
        <v>109</v>
      </c>
    </row>
    <row r="761" spans="1:15" x14ac:dyDescent="0.35">
      <c r="A761" s="3">
        <v>2024</v>
      </c>
      <c r="B761" s="3">
        <v>8</v>
      </c>
      <c r="C761" s="3">
        <v>15</v>
      </c>
      <c r="D761" s="2">
        <v>737</v>
      </c>
      <c r="E761" s="3">
        <v>3</v>
      </c>
      <c r="F761" s="3" t="s">
        <v>225</v>
      </c>
      <c r="G761" s="3" t="str">
        <f t="shared" si="47"/>
        <v>2021</v>
      </c>
      <c r="H761" s="3">
        <f t="shared" si="45"/>
        <v>3</v>
      </c>
      <c r="I761" s="69"/>
      <c r="J761">
        <v>3</v>
      </c>
      <c r="K761">
        <v>3</v>
      </c>
      <c r="L761">
        <v>330.4</v>
      </c>
      <c r="M761" s="3">
        <v>641</v>
      </c>
      <c r="N761" s="3" t="str">
        <f t="shared" si="46"/>
        <v>2021</v>
      </c>
      <c r="O761" s="2">
        <v>737</v>
      </c>
    </row>
    <row r="762" spans="1:15" x14ac:dyDescent="0.35">
      <c r="A762" s="3">
        <v>2023</v>
      </c>
      <c r="B762" s="3">
        <v>8</v>
      </c>
      <c r="C762" s="3">
        <v>2</v>
      </c>
      <c r="D762" s="2">
        <v>425</v>
      </c>
      <c r="E762" s="3">
        <v>3</v>
      </c>
      <c r="F762" s="3" t="s">
        <v>225</v>
      </c>
      <c r="G762" s="3" t="str">
        <f t="shared" si="47"/>
        <v>2022</v>
      </c>
      <c r="H762" s="3">
        <f t="shared" si="45"/>
        <v>1</v>
      </c>
      <c r="I762" s="69"/>
      <c r="J762" s="3" t="s">
        <v>67</v>
      </c>
      <c r="K762" s="3">
        <v>2</v>
      </c>
      <c r="L762" s="3">
        <v>271.8</v>
      </c>
      <c r="M762" s="3">
        <v>641.35</v>
      </c>
      <c r="N762" s="3" t="str">
        <f t="shared" si="46"/>
        <v>2021</v>
      </c>
      <c r="O762" s="2">
        <v>425</v>
      </c>
    </row>
    <row r="763" spans="1:15" x14ac:dyDescent="0.35">
      <c r="A763" s="3">
        <v>2017</v>
      </c>
      <c r="B763" s="3">
        <v>3</v>
      </c>
      <c r="C763" s="3">
        <v>7</v>
      </c>
      <c r="D763" s="2">
        <v>133</v>
      </c>
      <c r="E763" s="15">
        <v>2</v>
      </c>
      <c r="F763" s="3" t="s">
        <v>41</v>
      </c>
      <c r="G763" s="3" t="str">
        <f t="shared" si="47"/>
        <v>2012</v>
      </c>
      <c r="H763" s="3">
        <f t="shared" si="45"/>
        <v>5</v>
      </c>
      <c r="I763" s="69"/>
      <c r="J763" s="3" t="s">
        <v>461</v>
      </c>
      <c r="K763" s="3" t="s">
        <v>461</v>
      </c>
      <c r="L763" s="3">
        <v>274.8</v>
      </c>
      <c r="M763" s="3">
        <v>643</v>
      </c>
      <c r="N763" s="3" t="str">
        <f t="shared" si="46"/>
        <v>2011</v>
      </c>
      <c r="O763" s="2">
        <v>133</v>
      </c>
    </row>
    <row r="764" spans="1:15" x14ac:dyDescent="0.35">
      <c r="A764" s="3">
        <v>2016</v>
      </c>
      <c r="B764" s="3">
        <v>11</v>
      </c>
      <c r="C764" s="3">
        <v>8</v>
      </c>
      <c r="D764" s="2">
        <v>185</v>
      </c>
      <c r="E764" s="3">
        <v>4</v>
      </c>
      <c r="F764" s="3" t="s">
        <v>45</v>
      </c>
      <c r="G764" s="3" t="str">
        <f t="shared" si="47"/>
        <v>2011</v>
      </c>
      <c r="H764" s="3">
        <f t="shared" si="45"/>
        <v>5</v>
      </c>
      <c r="I764" s="69"/>
      <c r="J764" s="3" t="s">
        <v>632</v>
      </c>
      <c r="K764" s="3" t="s">
        <v>317</v>
      </c>
      <c r="L764" s="3">
        <v>369.7</v>
      </c>
      <c r="M764" s="3">
        <v>643</v>
      </c>
      <c r="N764" s="3" t="str">
        <f t="shared" si="46"/>
        <v>2007</v>
      </c>
      <c r="O764" s="2">
        <v>185</v>
      </c>
    </row>
    <row r="765" spans="1:15" x14ac:dyDescent="0.35">
      <c r="A765" s="3">
        <v>2024</v>
      </c>
      <c r="B765" s="3">
        <v>8</v>
      </c>
      <c r="C765" s="3">
        <v>14</v>
      </c>
      <c r="D765" s="2">
        <v>723</v>
      </c>
      <c r="E765" s="3">
        <v>3</v>
      </c>
      <c r="F765" s="3" t="s">
        <v>225</v>
      </c>
      <c r="G765" s="3" t="str">
        <f t="shared" si="47"/>
        <v>2021</v>
      </c>
      <c r="H765" s="3">
        <f t="shared" si="45"/>
        <v>3</v>
      </c>
      <c r="I765" s="69"/>
      <c r="J765" t="s">
        <v>94</v>
      </c>
      <c r="K765">
        <v>1</v>
      </c>
      <c r="L765">
        <v>283.60000000000002</v>
      </c>
      <c r="M765" s="3">
        <v>643</v>
      </c>
      <c r="N765" s="3" t="str">
        <f t="shared" si="46"/>
        <v>2021</v>
      </c>
      <c r="O765" s="2">
        <v>723</v>
      </c>
    </row>
    <row r="766" spans="1:15" x14ac:dyDescent="0.35">
      <c r="A766" s="3">
        <v>2018</v>
      </c>
      <c r="B766" s="3">
        <v>8</v>
      </c>
      <c r="C766" s="3">
        <v>16</v>
      </c>
      <c r="D766" s="2">
        <v>324</v>
      </c>
      <c r="E766" s="3">
        <v>3</v>
      </c>
      <c r="F766" s="3" t="s">
        <v>45</v>
      </c>
      <c r="G766" s="3" t="str">
        <f t="shared" si="47"/>
        <v>2011</v>
      </c>
      <c r="H766" s="3">
        <f t="shared" si="45"/>
        <v>7</v>
      </c>
      <c r="I766" s="69"/>
      <c r="J766" s="3" t="s">
        <v>647</v>
      </c>
      <c r="K766" s="3" t="s">
        <v>317</v>
      </c>
      <c r="L766" s="3">
        <v>249.9</v>
      </c>
      <c r="M766" s="3">
        <v>646</v>
      </c>
      <c r="N766" s="3" t="str">
        <f t="shared" si="46"/>
        <v>2007</v>
      </c>
      <c r="O766" s="2">
        <v>324</v>
      </c>
    </row>
    <row r="767" spans="1:15" x14ac:dyDescent="0.35">
      <c r="A767" s="3">
        <v>2019</v>
      </c>
      <c r="B767" s="3">
        <v>2</v>
      </c>
      <c r="C767" s="3">
        <v>21</v>
      </c>
      <c r="D767" s="2">
        <v>167</v>
      </c>
      <c r="E767" s="3">
        <v>1</v>
      </c>
      <c r="F767" s="3" t="s">
        <v>45</v>
      </c>
      <c r="G767" s="3" t="str">
        <f t="shared" si="47"/>
        <v>2011</v>
      </c>
      <c r="H767" s="3">
        <f t="shared" si="45"/>
        <v>8</v>
      </c>
      <c r="I767" s="69"/>
      <c r="J767" s="3" t="s">
        <v>615</v>
      </c>
      <c r="K767" s="3" t="s">
        <v>317</v>
      </c>
      <c r="L767" s="3">
        <v>263.39999999999998</v>
      </c>
      <c r="M767" s="3">
        <v>648</v>
      </c>
      <c r="N767" s="3" t="str">
        <f t="shared" si="46"/>
        <v>2007</v>
      </c>
      <c r="O767" s="2">
        <v>167</v>
      </c>
    </row>
    <row r="768" spans="1:15" x14ac:dyDescent="0.35">
      <c r="A768" s="3">
        <v>2024</v>
      </c>
      <c r="B768" s="3">
        <v>1</v>
      </c>
      <c r="C768" s="3">
        <v>19</v>
      </c>
      <c r="D768" s="2">
        <v>584</v>
      </c>
      <c r="E768" s="3">
        <v>1</v>
      </c>
      <c r="F768" s="3" t="s">
        <v>41</v>
      </c>
      <c r="G768" s="3" t="str">
        <f t="shared" si="47"/>
        <v>2013</v>
      </c>
      <c r="H768" s="3">
        <f t="shared" si="45"/>
        <v>11</v>
      </c>
      <c r="I768" s="69"/>
      <c r="J768" t="s">
        <v>42</v>
      </c>
      <c r="K768" s="3" t="s">
        <v>318</v>
      </c>
      <c r="L768">
        <v>280.8</v>
      </c>
      <c r="M768" s="3">
        <v>649</v>
      </c>
      <c r="N768" s="3" t="str">
        <f t="shared" si="46"/>
        <v>2011</v>
      </c>
      <c r="O768" s="2">
        <v>584</v>
      </c>
    </row>
    <row r="769" spans="1:17" x14ac:dyDescent="0.35">
      <c r="A769" s="3">
        <v>2023</v>
      </c>
      <c r="B769" s="3">
        <v>7</v>
      </c>
      <c r="C769" s="3">
        <v>17</v>
      </c>
      <c r="D769" s="2">
        <v>347</v>
      </c>
      <c r="E769" s="3">
        <v>3</v>
      </c>
      <c r="F769" s="3" t="s">
        <v>45</v>
      </c>
      <c r="G769" s="3" t="str">
        <f t="shared" si="47"/>
        <v>2011</v>
      </c>
      <c r="H769" s="3">
        <f t="shared" si="45"/>
        <v>12</v>
      </c>
      <c r="I769" s="69"/>
      <c r="J769" s="3" t="s">
        <v>236</v>
      </c>
      <c r="K769" s="3" t="s">
        <v>317</v>
      </c>
      <c r="L769" s="3">
        <v>245.9</v>
      </c>
      <c r="M769" s="3">
        <v>650</v>
      </c>
      <c r="N769" s="3" t="str">
        <f t="shared" si="46"/>
        <v>2007</v>
      </c>
      <c r="O769" s="2">
        <v>347</v>
      </c>
    </row>
    <row r="770" spans="1:17" x14ac:dyDescent="0.35">
      <c r="A770" s="3">
        <v>2024</v>
      </c>
      <c r="B770">
        <v>8</v>
      </c>
      <c r="C770" s="3">
        <v>19</v>
      </c>
      <c r="D770" s="2">
        <v>820</v>
      </c>
      <c r="E770" s="3">
        <v>3</v>
      </c>
      <c r="F770" s="3" t="s">
        <v>225</v>
      </c>
      <c r="G770" s="3" t="str">
        <f t="shared" si="47"/>
        <v>2021</v>
      </c>
      <c r="H770" s="3">
        <f t="shared" ref="H770:H833" si="48">SUM(A770-G770)</f>
        <v>3</v>
      </c>
      <c r="I770" s="69"/>
      <c r="J770">
        <v>3</v>
      </c>
      <c r="K770">
        <v>3</v>
      </c>
      <c r="L770">
        <v>304.10000000000002</v>
      </c>
      <c r="M770" s="3">
        <v>650</v>
      </c>
      <c r="N770" s="3" t="str">
        <f t="shared" ref="N770:N833" si="49">IF(F770="PHD", "2007", IF(F770="TSL", "2011", IF(F770 = "SRS", "2018", IF(F770="WCA 3B", "2017", IF(F770="WCA 3A", "2021")))))</f>
        <v>2021</v>
      </c>
      <c r="O770" s="2">
        <v>820</v>
      </c>
    </row>
    <row r="771" spans="1:17" x14ac:dyDescent="0.35">
      <c r="A771" s="3">
        <v>2021</v>
      </c>
      <c r="B771" s="3">
        <v>10</v>
      </c>
      <c r="C771" s="3" t="s">
        <v>28</v>
      </c>
      <c r="D771" s="2">
        <v>28</v>
      </c>
      <c r="E771" s="3">
        <v>4</v>
      </c>
      <c r="F771" s="3" t="s">
        <v>41</v>
      </c>
      <c r="G771" s="3" t="str">
        <f t="shared" si="47"/>
        <v>2012</v>
      </c>
      <c r="H771" s="3">
        <f t="shared" si="48"/>
        <v>9</v>
      </c>
      <c r="I771" s="69"/>
      <c r="J771" s="3" t="s">
        <v>461</v>
      </c>
      <c r="K771" s="3" t="s">
        <v>461</v>
      </c>
      <c r="L771" s="3">
        <v>283.2</v>
      </c>
      <c r="M771" s="3">
        <v>651</v>
      </c>
      <c r="N771" s="3" t="str">
        <f t="shared" si="49"/>
        <v>2011</v>
      </c>
      <c r="O771" s="2">
        <v>28</v>
      </c>
    </row>
    <row r="772" spans="1:17" x14ac:dyDescent="0.35">
      <c r="A772" s="3">
        <v>2017</v>
      </c>
      <c r="B772" s="3">
        <v>8</v>
      </c>
      <c r="C772" s="3">
        <v>14</v>
      </c>
      <c r="D772" s="2">
        <v>129</v>
      </c>
      <c r="E772" s="15">
        <v>3</v>
      </c>
      <c r="F772" s="3" t="s">
        <v>45</v>
      </c>
      <c r="G772" s="3" t="str">
        <f t="shared" si="47"/>
        <v>2011</v>
      </c>
      <c r="H772" s="3">
        <f t="shared" si="48"/>
        <v>6</v>
      </c>
      <c r="I772" s="69"/>
      <c r="J772" s="3" t="s">
        <v>317</v>
      </c>
      <c r="K772" s="3" t="s">
        <v>317</v>
      </c>
      <c r="L772" s="3">
        <v>229.6</v>
      </c>
      <c r="M772" s="3">
        <v>652</v>
      </c>
      <c r="N772" s="3" t="str">
        <f t="shared" si="49"/>
        <v>2007</v>
      </c>
      <c r="O772" s="2">
        <v>129</v>
      </c>
    </row>
    <row r="773" spans="1:17" x14ac:dyDescent="0.35">
      <c r="A773" s="3">
        <v>2024</v>
      </c>
      <c r="B773" s="3">
        <v>8</v>
      </c>
      <c r="C773" s="3">
        <v>9</v>
      </c>
      <c r="D773" s="2">
        <v>718</v>
      </c>
      <c r="E773" s="3">
        <v>3</v>
      </c>
      <c r="F773" s="3" t="s">
        <v>41</v>
      </c>
      <c r="G773" s="3" t="str">
        <f t="shared" si="47"/>
        <v>2013</v>
      </c>
      <c r="H773" s="3">
        <f t="shared" si="48"/>
        <v>11</v>
      </c>
      <c r="I773" s="69"/>
      <c r="J773" t="s">
        <v>755</v>
      </c>
      <c r="K773" t="s">
        <v>458</v>
      </c>
      <c r="L773">
        <v>305</v>
      </c>
      <c r="M773" s="3">
        <v>653</v>
      </c>
      <c r="N773" s="3" t="str">
        <f t="shared" si="49"/>
        <v>2011</v>
      </c>
      <c r="O773" s="2">
        <v>718</v>
      </c>
    </row>
    <row r="774" spans="1:17" x14ac:dyDescent="0.35">
      <c r="A774" s="3">
        <v>2021</v>
      </c>
      <c r="B774" s="3">
        <v>10</v>
      </c>
      <c r="C774" s="3" t="s">
        <v>28</v>
      </c>
      <c r="D774" s="2">
        <v>5</v>
      </c>
      <c r="E774" s="3">
        <v>4</v>
      </c>
      <c r="F774" s="3" t="s">
        <v>41</v>
      </c>
      <c r="G774" s="3" t="str">
        <f t="shared" si="47"/>
        <v>2013</v>
      </c>
      <c r="H774" s="3">
        <f t="shared" si="48"/>
        <v>8</v>
      </c>
      <c r="I774" s="69"/>
      <c r="J774" s="3" t="s">
        <v>318</v>
      </c>
      <c r="K774" s="3" t="s">
        <v>318</v>
      </c>
      <c r="L774" s="3">
        <v>291.5</v>
      </c>
      <c r="M774" s="3">
        <v>655</v>
      </c>
      <c r="N774" s="3" t="str">
        <f t="shared" si="49"/>
        <v>2011</v>
      </c>
      <c r="O774" s="2">
        <v>5</v>
      </c>
    </row>
    <row r="775" spans="1:17" x14ac:dyDescent="0.35">
      <c r="A775" s="3">
        <v>2016</v>
      </c>
      <c r="B775" s="3">
        <v>11</v>
      </c>
      <c r="C775" s="3">
        <v>7</v>
      </c>
      <c r="D775" s="2">
        <v>203</v>
      </c>
      <c r="E775" s="3">
        <v>4</v>
      </c>
      <c r="F775" s="3" t="s">
        <v>45</v>
      </c>
      <c r="G775" s="3" t="str">
        <f t="shared" ref="G775:G838" si="50">IF(K775="A55","2009",IF(K775="A59","2009",IF(K775="A60","2010",IF(K775="A62","2011",IF(K775="CP","2013",IF(K775="MD","2012",IF(K775="TS","2013",IF(K775="DL","2018",IF(K775="SCU","2018",IF(K775="NCU","2018",IF(K775="C1C","2018",IF(K775="C1E","2018",IF(K775="RS1S","2018",IF(K775="C2B","2018",IF(K775="DB3","2018",IF(AND(K775=6,F775="SRS"),"2018",IF(AND(K775=7,F775="SRS"),"2020",IF(AND(K775=8,F775="SRS"),"2020",IF(K775=23,"2019",IF(AND(K775=7,F775="WCA 3B"),"2017",IF(AND(K775=8,F775="WCA 3B"),"2019",IF(K775=1,"2021",IF(K775=2,"2022",IF(K775=3,"2021",IF(K775=4,"2021",IF(K775=5,"2022",IF(AND(K775=6,F775="WCA 3A"),"2022",IF(K775=9,"2023",IF(K775=10,"2023",IF(K775=37,"2020"))))))))))))))))))))))))))))))</f>
        <v>2009</v>
      </c>
      <c r="H775" s="3">
        <f t="shared" si="48"/>
        <v>7</v>
      </c>
      <c r="I775" s="69"/>
      <c r="J775" s="3" t="s">
        <v>657</v>
      </c>
      <c r="K775" s="3" t="s">
        <v>488</v>
      </c>
      <c r="L775" s="3">
        <v>350.6</v>
      </c>
      <c r="M775" s="3">
        <v>655</v>
      </c>
      <c r="N775" s="3" t="str">
        <f t="shared" si="49"/>
        <v>2007</v>
      </c>
      <c r="O775" s="2">
        <v>203</v>
      </c>
    </row>
    <row r="776" spans="1:17" x14ac:dyDescent="0.35">
      <c r="A776" s="3">
        <v>2024</v>
      </c>
      <c r="B776" s="3">
        <v>8</v>
      </c>
      <c r="C776" s="3">
        <v>19</v>
      </c>
      <c r="D776" s="2">
        <v>799</v>
      </c>
      <c r="E776" s="3">
        <v>3</v>
      </c>
      <c r="F776" s="3" t="s">
        <v>225</v>
      </c>
      <c r="G776" s="3" t="str">
        <f t="shared" si="50"/>
        <v>2021</v>
      </c>
      <c r="H776" s="3">
        <f t="shared" si="48"/>
        <v>3</v>
      </c>
      <c r="I776" s="69"/>
      <c r="J776">
        <v>3</v>
      </c>
      <c r="K776">
        <v>3</v>
      </c>
      <c r="L776">
        <v>319.3</v>
      </c>
      <c r="M776" s="3">
        <v>655</v>
      </c>
      <c r="N776" s="3" t="str">
        <f t="shared" si="49"/>
        <v>2021</v>
      </c>
      <c r="O776" s="2">
        <v>799</v>
      </c>
    </row>
    <row r="777" spans="1:17" x14ac:dyDescent="0.35">
      <c r="A777" s="3">
        <v>2022</v>
      </c>
      <c r="B777" s="3">
        <v>1</v>
      </c>
      <c r="C777" s="3" t="s">
        <v>28</v>
      </c>
      <c r="D777" s="2">
        <v>25</v>
      </c>
      <c r="E777" s="3">
        <v>1</v>
      </c>
      <c r="F777" s="3" t="s">
        <v>20</v>
      </c>
      <c r="G777" s="3" t="str">
        <f t="shared" si="50"/>
        <v>2019</v>
      </c>
      <c r="H777" s="3">
        <f t="shared" si="48"/>
        <v>3</v>
      </c>
      <c r="I777" s="69"/>
      <c r="J777" s="3">
        <v>23</v>
      </c>
      <c r="K777" s="3">
        <v>23</v>
      </c>
      <c r="L777" s="3">
        <v>345.8</v>
      </c>
      <c r="M777" s="3">
        <v>656</v>
      </c>
      <c r="N777" s="3" t="str">
        <f t="shared" si="49"/>
        <v>2018</v>
      </c>
      <c r="O777" s="2">
        <v>25</v>
      </c>
    </row>
    <row r="778" spans="1:17" x14ac:dyDescent="0.35">
      <c r="A778" s="3">
        <v>2017</v>
      </c>
      <c r="B778" s="3">
        <v>8</v>
      </c>
      <c r="C778" s="3">
        <v>14</v>
      </c>
      <c r="D778" s="2">
        <v>88</v>
      </c>
      <c r="E778" s="15">
        <v>3</v>
      </c>
      <c r="F778" s="3" t="s">
        <v>45</v>
      </c>
      <c r="G778" s="3" t="str">
        <f t="shared" si="50"/>
        <v>2011</v>
      </c>
      <c r="H778" s="3">
        <f t="shared" si="48"/>
        <v>6</v>
      </c>
      <c r="I778" s="69"/>
      <c r="J778" s="3" t="s">
        <v>317</v>
      </c>
      <c r="K778" s="3" t="s">
        <v>317</v>
      </c>
      <c r="L778" s="3">
        <v>310.7</v>
      </c>
      <c r="M778" s="3">
        <v>656</v>
      </c>
      <c r="N778" s="3" t="str">
        <f t="shared" si="49"/>
        <v>2007</v>
      </c>
      <c r="O778" s="2">
        <v>88</v>
      </c>
    </row>
    <row r="779" spans="1:17" x14ac:dyDescent="0.35">
      <c r="A779" s="3">
        <v>2016</v>
      </c>
      <c r="B779" s="3">
        <v>9</v>
      </c>
      <c r="C779" s="3">
        <v>1</v>
      </c>
      <c r="D779" s="2">
        <v>301</v>
      </c>
      <c r="E779" s="3">
        <v>3</v>
      </c>
      <c r="F779" s="3" t="s">
        <v>45</v>
      </c>
      <c r="G779" s="3" t="str">
        <f t="shared" si="50"/>
        <v>2011</v>
      </c>
      <c r="H779" s="3">
        <f t="shared" si="48"/>
        <v>5</v>
      </c>
      <c r="I779" s="69"/>
      <c r="J779" s="3" t="s">
        <v>632</v>
      </c>
      <c r="K779" s="3" t="s">
        <v>317</v>
      </c>
      <c r="L779" s="3">
        <v>285.7</v>
      </c>
      <c r="M779" s="3">
        <v>657</v>
      </c>
      <c r="N779" s="3" t="str">
        <f t="shared" si="49"/>
        <v>2007</v>
      </c>
      <c r="O779" s="2">
        <v>301</v>
      </c>
    </row>
    <row r="780" spans="1:17" x14ac:dyDescent="0.35">
      <c r="A780" s="3">
        <v>2016</v>
      </c>
      <c r="B780" s="3">
        <v>11</v>
      </c>
      <c r="C780" s="3">
        <v>8</v>
      </c>
      <c r="D780" s="2">
        <v>197</v>
      </c>
      <c r="E780" s="3">
        <v>4</v>
      </c>
      <c r="F780" s="3" t="s">
        <v>45</v>
      </c>
      <c r="G780" s="3" t="str">
        <f t="shared" si="50"/>
        <v>2011</v>
      </c>
      <c r="H780" s="3">
        <f t="shared" si="48"/>
        <v>5</v>
      </c>
      <c r="I780" s="69"/>
      <c r="J780" s="3" t="s">
        <v>647</v>
      </c>
      <c r="K780" s="3" t="s">
        <v>317</v>
      </c>
      <c r="L780" s="3">
        <v>314.3</v>
      </c>
      <c r="M780" s="3">
        <v>662</v>
      </c>
      <c r="N780" s="3" t="str">
        <f t="shared" si="49"/>
        <v>2007</v>
      </c>
      <c r="O780" s="2">
        <v>197</v>
      </c>
    </row>
    <row r="781" spans="1:17" x14ac:dyDescent="0.35">
      <c r="A781" s="3">
        <v>2023</v>
      </c>
      <c r="B781" s="3">
        <v>11</v>
      </c>
      <c r="C781" s="3">
        <v>6</v>
      </c>
      <c r="D781" s="2">
        <v>510</v>
      </c>
      <c r="E781" s="3">
        <v>4</v>
      </c>
      <c r="F781" s="3" t="s">
        <v>41</v>
      </c>
      <c r="G781" s="3" t="str">
        <f t="shared" si="50"/>
        <v>2013</v>
      </c>
      <c r="H781" s="3">
        <f t="shared" si="48"/>
        <v>10</v>
      </c>
      <c r="I781" s="69"/>
      <c r="J781" s="3" t="s">
        <v>509</v>
      </c>
      <c r="K781" s="3" t="s">
        <v>458</v>
      </c>
      <c r="L781" s="3">
        <v>310.10000000000002</v>
      </c>
      <c r="M781" s="3">
        <v>664</v>
      </c>
      <c r="N781" s="3" t="str">
        <f t="shared" si="49"/>
        <v>2011</v>
      </c>
      <c r="O781" s="2">
        <v>510</v>
      </c>
    </row>
    <row r="782" spans="1:17" x14ac:dyDescent="0.35">
      <c r="A782" s="3">
        <v>2016</v>
      </c>
      <c r="B782" s="3">
        <v>11</v>
      </c>
      <c r="C782" s="3">
        <v>8</v>
      </c>
      <c r="D782" s="2">
        <v>183</v>
      </c>
      <c r="E782" s="3">
        <v>4</v>
      </c>
      <c r="F782" s="3" t="s">
        <v>45</v>
      </c>
      <c r="G782" s="3" t="str">
        <f t="shared" si="50"/>
        <v>2011</v>
      </c>
      <c r="H782" s="3">
        <f t="shared" si="48"/>
        <v>5</v>
      </c>
      <c r="I782" s="69"/>
      <c r="J782" s="3" t="s">
        <v>632</v>
      </c>
      <c r="K782" s="3" t="s">
        <v>317</v>
      </c>
      <c r="L782" s="3">
        <v>450.4</v>
      </c>
      <c r="M782" s="3">
        <v>665</v>
      </c>
      <c r="N782" s="3" t="str">
        <f t="shared" si="49"/>
        <v>2007</v>
      </c>
      <c r="O782" s="2">
        <v>183</v>
      </c>
      <c r="Q782" s="2">
        <v>247</v>
      </c>
    </row>
    <row r="783" spans="1:17" x14ac:dyDescent="0.35">
      <c r="A783" s="3">
        <v>2016</v>
      </c>
      <c r="B783" s="3">
        <v>9</v>
      </c>
      <c r="C783" s="3">
        <v>1</v>
      </c>
      <c r="D783" s="2">
        <v>245</v>
      </c>
      <c r="E783" s="3">
        <v>3</v>
      </c>
      <c r="F783" s="3" t="s">
        <v>41</v>
      </c>
      <c r="G783" s="3" t="str">
        <f t="shared" si="50"/>
        <v>2012</v>
      </c>
      <c r="H783" s="3">
        <f t="shared" si="48"/>
        <v>4</v>
      </c>
      <c r="I783" s="69"/>
      <c r="J783" s="3" t="s">
        <v>544</v>
      </c>
      <c r="K783" s="3" t="s">
        <v>461</v>
      </c>
      <c r="L783" s="3">
        <v>277.60000000000002</v>
      </c>
      <c r="M783" s="3">
        <v>666</v>
      </c>
      <c r="N783" s="3" t="str">
        <f t="shared" si="49"/>
        <v>2011</v>
      </c>
      <c r="O783" s="2">
        <v>245</v>
      </c>
    </row>
    <row r="784" spans="1:17" x14ac:dyDescent="0.35">
      <c r="A784" s="3">
        <v>2021</v>
      </c>
      <c r="B784" s="3">
        <v>10</v>
      </c>
      <c r="C784" s="3">
        <v>11</v>
      </c>
      <c r="D784" s="2">
        <v>482</v>
      </c>
      <c r="E784" s="3">
        <v>4</v>
      </c>
      <c r="F784" s="3" t="s">
        <v>226</v>
      </c>
      <c r="G784" s="3" t="str">
        <f t="shared" si="50"/>
        <v>2018</v>
      </c>
      <c r="H784" s="3">
        <f t="shared" si="48"/>
        <v>3</v>
      </c>
      <c r="I784" s="69"/>
      <c r="J784" s="3" t="s">
        <v>51</v>
      </c>
      <c r="K784" s="3" t="s">
        <v>929</v>
      </c>
      <c r="L784" s="16">
        <v>290</v>
      </c>
      <c r="M784" s="3">
        <v>666</v>
      </c>
      <c r="N784" s="3" t="str">
        <f t="shared" si="49"/>
        <v>2017</v>
      </c>
      <c r="O784" s="2">
        <v>482</v>
      </c>
    </row>
    <row r="785" spans="1:18" x14ac:dyDescent="0.35">
      <c r="A785" s="3">
        <v>2024</v>
      </c>
      <c r="B785" s="3">
        <v>3</v>
      </c>
      <c r="C785" s="3">
        <v>1</v>
      </c>
      <c r="D785" s="2">
        <v>666</v>
      </c>
      <c r="E785" s="3">
        <v>2</v>
      </c>
      <c r="F785" s="3" t="s">
        <v>20</v>
      </c>
      <c r="G785" s="3" t="str">
        <f t="shared" si="50"/>
        <v>2020</v>
      </c>
      <c r="H785" s="3">
        <f t="shared" si="48"/>
        <v>4</v>
      </c>
      <c r="I785" s="69"/>
      <c r="J785" t="s">
        <v>70</v>
      </c>
      <c r="K785">
        <v>37</v>
      </c>
      <c r="L785">
        <v>357.7</v>
      </c>
      <c r="M785" s="3">
        <v>667</v>
      </c>
      <c r="N785" s="3" t="str">
        <f t="shared" si="49"/>
        <v>2018</v>
      </c>
      <c r="O785" s="2">
        <v>666</v>
      </c>
    </row>
    <row r="786" spans="1:18" x14ac:dyDescent="0.35">
      <c r="A786" s="3">
        <v>2024</v>
      </c>
      <c r="B786" s="3">
        <v>8</v>
      </c>
      <c r="C786" s="3">
        <v>9</v>
      </c>
      <c r="D786" s="2">
        <v>766</v>
      </c>
      <c r="E786" s="3">
        <v>3</v>
      </c>
      <c r="F786" s="3" t="s">
        <v>41</v>
      </c>
      <c r="G786" s="3" t="str">
        <f t="shared" si="50"/>
        <v>2013</v>
      </c>
      <c r="H786" s="3">
        <f t="shared" si="48"/>
        <v>11</v>
      </c>
      <c r="I786" s="69"/>
      <c r="J786" s="6" t="s">
        <v>49</v>
      </c>
      <c r="K786" s="6" t="s">
        <v>318</v>
      </c>
      <c r="L786">
        <v>295.39999999999998</v>
      </c>
      <c r="M786" s="3">
        <v>667</v>
      </c>
      <c r="N786" s="3" t="str">
        <f t="shared" si="49"/>
        <v>2011</v>
      </c>
      <c r="O786" s="2">
        <v>766</v>
      </c>
    </row>
    <row r="787" spans="1:18" x14ac:dyDescent="0.35">
      <c r="A787" s="3">
        <v>2017</v>
      </c>
      <c r="B787" s="3">
        <v>8</v>
      </c>
      <c r="C787" s="3">
        <v>14</v>
      </c>
      <c r="D787" s="2">
        <v>134</v>
      </c>
      <c r="E787" s="15">
        <v>3</v>
      </c>
      <c r="F787" s="3" t="s">
        <v>45</v>
      </c>
      <c r="G787" s="3" t="str">
        <f t="shared" si="50"/>
        <v>2011</v>
      </c>
      <c r="H787" s="3">
        <f t="shared" si="48"/>
        <v>6</v>
      </c>
      <c r="I787" s="69"/>
      <c r="J787" s="3" t="s">
        <v>317</v>
      </c>
      <c r="K787" s="3" t="s">
        <v>317</v>
      </c>
      <c r="L787" s="3">
        <v>272.10000000000002</v>
      </c>
      <c r="M787" s="3">
        <v>668</v>
      </c>
      <c r="N787" s="3" t="str">
        <f t="shared" si="49"/>
        <v>2007</v>
      </c>
      <c r="O787" s="2">
        <v>134</v>
      </c>
    </row>
    <row r="788" spans="1:18" x14ac:dyDescent="0.35">
      <c r="A788" s="3">
        <v>2024</v>
      </c>
      <c r="B788" s="3">
        <v>8</v>
      </c>
      <c r="C788" s="3">
        <v>19</v>
      </c>
      <c r="D788" s="2">
        <v>792</v>
      </c>
      <c r="E788" s="3">
        <v>3</v>
      </c>
      <c r="F788" s="3" t="s">
        <v>225</v>
      </c>
      <c r="G788" s="3" t="str">
        <f t="shared" si="50"/>
        <v>2021</v>
      </c>
      <c r="H788" s="3">
        <f t="shared" si="48"/>
        <v>3</v>
      </c>
      <c r="I788" s="69"/>
      <c r="J788">
        <v>3</v>
      </c>
      <c r="K788">
        <v>3</v>
      </c>
      <c r="L788">
        <v>350.4</v>
      </c>
      <c r="M788" s="3">
        <v>669</v>
      </c>
      <c r="N788" s="3" t="str">
        <f t="shared" si="49"/>
        <v>2021</v>
      </c>
      <c r="O788" s="2">
        <v>792</v>
      </c>
    </row>
    <row r="789" spans="1:18" x14ac:dyDescent="0.35">
      <c r="A789" s="3">
        <v>2016</v>
      </c>
      <c r="B789" s="3">
        <v>11</v>
      </c>
      <c r="C789" s="3">
        <v>7</v>
      </c>
      <c r="D789" s="2">
        <v>252</v>
      </c>
      <c r="E789" s="3">
        <v>4</v>
      </c>
      <c r="F789" s="3" t="s">
        <v>45</v>
      </c>
      <c r="G789" s="3" t="str">
        <f t="shared" si="50"/>
        <v>2009</v>
      </c>
      <c r="H789" s="3">
        <f t="shared" si="48"/>
        <v>7</v>
      </c>
      <c r="I789" s="69"/>
      <c r="J789" s="3" t="s">
        <v>711</v>
      </c>
      <c r="K789" s="3" t="s">
        <v>512</v>
      </c>
      <c r="L789" s="3">
        <v>337.5</v>
      </c>
      <c r="M789" s="3">
        <v>670</v>
      </c>
      <c r="N789" s="3" t="str">
        <f t="shared" si="49"/>
        <v>2007</v>
      </c>
      <c r="O789" s="2">
        <v>252</v>
      </c>
      <c r="R789">
        <v>14.22</v>
      </c>
    </row>
    <row r="790" spans="1:18" x14ac:dyDescent="0.35">
      <c r="A790" s="3">
        <v>2022</v>
      </c>
      <c r="B790" s="3">
        <v>1</v>
      </c>
      <c r="C790" s="3" t="s">
        <v>28</v>
      </c>
      <c r="D790" s="2">
        <v>4</v>
      </c>
      <c r="E790" s="3">
        <v>1</v>
      </c>
      <c r="F790" s="3" t="s">
        <v>41</v>
      </c>
      <c r="G790" s="3" t="str">
        <f t="shared" si="50"/>
        <v>2013</v>
      </c>
      <c r="H790" s="3">
        <f t="shared" si="48"/>
        <v>9</v>
      </c>
      <c r="I790" s="69"/>
      <c r="J790" s="3" t="s">
        <v>318</v>
      </c>
      <c r="K790" s="3" t="s">
        <v>318</v>
      </c>
      <c r="L790" s="3">
        <v>369.6</v>
      </c>
      <c r="M790" s="3">
        <v>672</v>
      </c>
      <c r="N790" s="3" t="str">
        <f t="shared" si="49"/>
        <v>2011</v>
      </c>
      <c r="O790" s="2">
        <v>4</v>
      </c>
    </row>
    <row r="791" spans="1:18" x14ac:dyDescent="0.35">
      <c r="A791" s="3">
        <v>2016</v>
      </c>
      <c r="B791" s="3">
        <v>11</v>
      </c>
      <c r="C791" s="3">
        <v>8</v>
      </c>
      <c r="D791" s="2">
        <v>196</v>
      </c>
      <c r="E791" s="3">
        <v>4</v>
      </c>
      <c r="F791" s="3" t="s">
        <v>45</v>
      </c>
      <c r="G791" s="3" t="str">
        <f t="shared" si="50"/>
        <v>2011</v>
      </c>
      <c r="H791" s="3">
        <f t="shared" si="48"/>
        <v>5</v>
      </c>
      <c r="I791" s="69"/>
      <c r="J791" s="3" t="s">
        <v>647</v>
      </c>
      <c r="K791" s="3" t="s">
        <v>317</v>
      </c>
      <c r="L791" s="3">
        <v>483.8</v>
      </c>
      <c r="M791" s="3">
        <v>673</v>
      </c>
      <c r="N791" s="3" t="str">
        <f t="shared" si="49"/>
        <v>2007</v>
      </c>
      <c r="O791" s="2">
        <v>196</v>
      </c>
    </row>
    <row r="792" spans="1:18" x14ac:dyDescent="0.35">
      <c r="A792" s="3">
        <v>2016</v>
      </c>
      <c r="B792" s="3">
        <v>11</v>
      </c>
      <c r="C792" s="3">
        <v>8</v>
      </c>
      <c r="D792" s="2">
        <v>198</v>
      </c>
      <c r="E792" s="3">
        <v>4</v>
      </c>
      <c r="F792" s="3" t="s">
        <v>41</v>
      </c>
      <c r="G792" s="3" t="str">
        <f t="shared" si="50"/>
        <v>2012</v>
      </c>
      <c r="H792" s="3">
        <f t="shared" si="48"/>
        <v>4</v>
      </c>
      <c r="I792" s="69"/>
      <c r="J792" s="3" t="s">
        <v>551</v>
      </c>
      <c r="K792" s="3" t="s">
        <v>461</v>
      </c>
      <c r="L792" s="3">
        <v>425.6</v>
      </c>
      <c r="M792" s="3">
        <v>673</v>
      </c>
      <c r="N792" s="3" t="str">
        <f t="shared" si="49"/>
        <v>2011</v>
      </c>
      <c r="O792" s="2">
        <v>198</v>
      </c>
    </row>
    <row r="793" spans="1:18" x14ac:dyDescent="0.35">
      <c r="A793" s="3">
        <v>2016</v>
      </c>
      <c r="B793" s="3">
        <v>11</v>
      </c>
      <c r="C793" s="3">
        <v>7</v>
      </c>
      <c r="D793" s="2">
        <v>208</v>
      </c>
      <c r="E793" s="3">
        <v>4</v>
      </c>
      <c r="F793" s="3" t="s">
        <v>45</v>
      </c>
      <c r="G793" s="3" t="str">
        <f t="shared" si="50"/>
        <v>2009</v>
      </c>
      <c r="H793" s="3">
        <f t="shared" si="48"/>
        <v>7</v>
      </c>
      <c r="I793" s="69"/>
      <c r="J793" s="3" t="s">
        <v>662</v>
      </c>
      <c r="K793" s="3" t="s">
        <v>488</v>
      </c>
      <c r="L793" s="3">
        <v>294.3</v>
      </c>
      <c r="M793" s="3">
        <v>674</v>
      </c>
      <c r="N793" s="3" t="str">
        <f t="shared" si="49"/>
        <v>2007</v>
      </c>
      <c r="O793" s="2">
        <v>208</v>
      </c>
    </row>
    <row r="794" spans="1:18" x14ac:dyDescent="0.35">
      <c r="A794" s="3">
        <v>2019</v>
      </c>
      <c r="B794" s="3">
        <v>2</v>
      </c>
      <c r="C794" s="3">
        <v>18</v>
      </c>
      <c r="D794" s="2">
        <v>174</v>
      </c>
      <c r="E794" s="3">
        <v>1</v>
      </c>
      <c r="F794" s="3" t="s">
        <v>41</v>
      </c>
      <c r="G794" s="3" t="str">
        <f t="shared" si="50"/>
        <v>2013</v>
      </c>
      <c r="H794" s="3">
        <f t="shared" si="48"/>
        <v>6</v>
      </c>
      <c r="I794" s="69"/>
      <c r="J794" s="3" t="s">
        <v>42</v>
      </c>
      <c r="K794" s="3" t="s">
        <v>318</v>
      </c>
      <c r="L794" s="3">
        <v>290.89999999999998</v>
      </c>
      <c r="M794" s="3">
        <v>676</v>
      </c>
      <c r="N794" s="3" t="str">
        <f t="shared" si="49"/>
        <v>2011</v>
      </c>
      <c r="O794" s="2">
        <v>174</v>
      </c>
    </row>
    <row r="795" spans="1:18" x14ac:dyDescent="0.35">
      <c r="A795" s="3">
        <v>2023</v>
      </c>
      <c r="B795" s="3">
        <v>2</v>
      </c>
      <c r="C795" s="3">
        <v>10</v>
      </c>
      <c r="D795" s="2">
        <v>148</v>
      </c>
      <c r="E795" s="3">
        <v>1</v>
      </c>
      <c r="F795" s="3" t="s">
        <v>41</v>
      </c>
      <c r="G795" s="3" t="str">
        <f t="shared" si="50"/>
        <v>2013</v>
      </c>
      <c r="H795" s="3">
        <f t="shared" si="48"/>
        <v>10</v>
      </c>
      <c r="I795" s="69"/>
      <c r="J795" s="3" t="s">
        <v>91</v>
      </c>
      <c r="K795" s="3" t="s">
        <v>318</v>
      </c>
      <c r="L795" s="3">
        <v>616.70000000000005</v>
      </c>
      <c r="M795" s="3">
        <v>678</v>
      </c>
      <c r="N795" s="3" t="str">
        <f t="shared" si="49"/>
        <v>2011</v>
      </c>
      <c r="O795" s="2">
        <v>148</v>
      </c>
    </row>
    <row r="796" spans="1:18" x14ac:dyDescent="0.35">
      <c r="A796" s="3">
        <v>2023</v>
      </c>
      <c r="B796" s="3">
        <v>11</v>
      </c>
      <c r="C796" s="3">
        <v>14</v>
      </c>
      <c r="D796" s="2">
        <v>515</v>
      </c>
      <c r="E796" s="3">
        <v>4</v>
      </c>
      <c r="F796" s="3" t="s">
        <v>225</v>
      </c>
      <c r="G796" s="3" t="str">
        <f t="shared" si="50"/>
        <v>2021</v>
      </c>
      <c r="H796" s="3">
        <f t="shared" si="48"/>
        <v>2</v>
      </c>
      <c r="I796" s="69"/>
      <c r="J796" s="3" t="s">
        <v>227</v>
      </c>
      <c r="K796" s="3">
        <v>4</v>
      </c>
      <c r="L796" s="3">
        <v>370</v>
      </c>
      <c r="M796" s="3">
        <v>679</v>
      </c>
      <c r="N796" s="3" t="str">
        <f t="shared" si="49"/>
        <v>2021</v>
      </c>
      <c r="O796" s="2">
        <v>515</v>
      </c>
    </row>
    <row r="797" spans="1:18" x14ac:dyDescent="0.35">
      <c r="A797" s="3">
        <v>2016</v>
      </c>
      <c r="B797" s="3">
        <v>9</v>
      </c>
      <c r="C797" s="3">
        <v>1</v>
      </c>
      <c r="D797" s="2">
        <v>232</v>
      </c>
      <c r="E797" s="3">
        <v>3</v>
      </c>
      <c r="F797" s="3" t="s">
        <v>45</v>
      </c>
      <c r="G797" s="3" t="str">
        <f t="shared" si="50"/>
        <v>2011</v>
      </c>
      <c r="H797" s="3">
        <f t="shared" si="48"/>
        <v>5</v>
      </c>
      <c r="I797" s="69"/>
      <c r="J797" s="3" t="s">
        <v>647</v>
      </c>
      <c r="K797" s="3" t="s">
        <v>317</v>
      </c>
      <c r="L797" s="3">
        <v>33.200000000000003</v>
      </c>
      <c r="M797" s="3">
        <v>680</v>
      </c>
      <c r="N797" s="3" t="str">
        <f t="shared" si="49"/>
        <v>2007</v>
      </c>
      <c r="O797" s="2">
        <v>232</v>
      </c>
    </row>
    <row r="798" spans="1:18" x14ac:dyDescent="0.35">
      <c r="A798" s="3">
        <v>2017</v>
      </c>
      <c r="B798" s="3">
        <v>11</v>
      </c>
      <c r="C798" s="3">
        <v>9</v>
      </c>
      <c r="D798" s="2">
        <v>77</v>
      </c>
      <c r="E798" s="15">
        <v>4</v>
      </c>
      <c r="F798" s="3" t="s">
        <v>45</v>
      </c>
      <c r="G798" s="3" t="str">
        <f t="shared" si="50"/>
        <v>2011</v>
      </c>
      <c r="H798" s="3">
        <f t="shared" si="48"/>
        <v>6</v>
      </c>
      <c r="I798" s="69"/>
      <c r="J798" s="3" t="s">
        <v>317</v>
      </c>
      <c r="K798" s="3" t="s">
        <v>317</v>
      </c>
      <c r="L798" s="3">
        <v>37.5</v>
      </c>
      <c r="M798" s="3">
        <v>687</v>
      </c>
      <c r="N798" s="3" t="str">
        <f t="shared" si="49"/>
        <v>2007</v>
      </c>
      <c r="O798" s="2">
        <v>77</v>
      </c>
    </row>
    <row r="799" spans="1:18" x14ac:dyDescent="0.35">
      <c r="A799" s="3">
        <v>2022</v>
      </c>
      <c r="B799" s="3">
        <v>1</v>
      </c>
      <c r="C799" s="3" t="s">
        <v>28</v>
      </c>
      <c r="D799" s="2">
        <v>17</v>
      </c>
      <c r="E799" s="3">
        <v>1</v>
      </c>
      <c r="F799" s="3" t="s">
        <v>41</v>
      </c>
      <c r="G799" s="3" t="str">
        <f t="shared" si="50"/>
        <v>2012</v>
      </c>
      <c r="H799" s="3">
        <f t="shared" si="48"/>
        <v>10</v>
      </c>
      <c r="I799" s="69"/>
      <c r="J799" s="3" t="s">
        <v>461</v>
      </c>
      <c r="K799" s="3" t="s">
        <v>461</v>
      </c>
      <c r="L799" s="3">
        <v>360.6</v>
      </c>
      <c r="M799" s="3">
        <v>690</v>
      </c>
      <c r="N799" s="3" t="str">
        <f t="shared" si="49"/>
        <v>2011</v>
      </c>
      <c r="O799" s="2">
        <v>17</v>
      </c>
    </row>
    <row r="800" spans="1:18" x14ac:dyDescent="0.35">
      <c r="A800" s="3">
        <v>2024</v>
      </c>
      <c r="B800" s="3">
        <v>4</v>
      </c>
      <c r="C800" s="3">
        <v>1</v>
      </c>
      <c r="D800" s="2">
        <v>688</v>
      </c>
      <c r="E800" s="3">
        <v>2</v>
      </c>
      <c r="F800" s="3" t="s">
        <v>20</v>
      </c>
      <c r="G800" s="3" t="str">
        <f t="shared" si="50"/>
        <v>2020</v>
      </c>
      <c r="H800" s="3">
        <f t="shared" si="48"/>
        <v>4</v>
      </c>
      <c r="I800" s="69"/>
      <c r="J800" t="s">
        <v>73</v>
      </c>
      <c r="K800">
        <v>37</v>
      </c>
      <c r="L800">
        <v>352.3</v>
      </c>
      <c r="M800" s="3">
        <v>690</v>
      </c>
      <c r="N800" s="3" t="str">
        <f t="shared" si="49"/>
        <v>2018</v>
      </c>
      <c r="O800" s="2">
        <v>688</v>
      </c>
    </row>
    <row r="801" spans="1:15" x14ac:dyDescent="0.35">
      <c r="A801" s="3">
        <v>2016</v>
      </c>
      <c r="B801" s="3">
        <v>11</v>
      </c>
      <c r="C801" s="3">
        <v>7</v>
      </c>
      <c r="D801" s="2">
        <v>254</v>
      </c>
      <c r="E801" s="3">
        <v>4</v>
      </c>
      <c r="F801" s="3" t="s">
        <v>45</v>
      </c>
      <c r="G801" s="3" t="str">
        <f t="shared" si="50"/>
        <v>2009</v>
      </c>
      <c r="H801" s="3">
        <f t="shared" si="48"/>
        <v>7</v>
      </c>
      <c r="I801" s="69"/>
      <c r="J801" s="3" t="s">
        <v>711</v>
      </c>
      <c r="K801" s="3" t="s">
        <v>512</v>
      </c>
      <c r="L801" s="3">
        <v>345.1</v>
      </c>
      <c r="M801" s="3">
        <v>693</v>
      </c>
      <c r="N801" s="3" t="str">
        <f t="shared" si="49"/>
        <v>2007</v>
      </c>
      <c r="O801" s="2">
        <v>254</v>
      </c>
    </row>
    <row r="802" spans="1:15" x14ac:dyDescent="0.35">
      <c r="A802" s="3">
        <v>2022</v>
      </c>
      <c r="B802" s="3">
        <v>1</v>
      </c>
      <c r="C802" s="3" t="s">
        <v>28</v>
      </c>
      <c r="D802" s="2">
        <v>22</v>
      </c>
      <c r="E802" s="3">
        <v>1</v>
      </c>
      <c r="F802" s="3" t="s">
        <v>20</v>
      </c>
      <c r="G802" s="3" t="str">
        <f t="shared" si="50"/>
        <v>2020</v>
      </c>
      <c r="H802" s="3">
        <f t="shared" si="48"/>
        <v>2</v>
      </c>
      <c r="I802" s="69"/>
      <c r="J802" s="3">
        <v>37</v>
      </c>
      <c r="K802" s="3">
        <v>37</v>
      </c>
      <c r="L802" s="3">
        <v>39.5</v>
      </c>
      <c r="M802" s="3">
        <v>694</v>
      </c>
      <c r="N802" s="3" t="str">
        <f t="shared" si="49"/>
        <v>2018</v>
      </c>
      <c r="O802" s="2">
        <v>22</v>
      </c>
    </row>
    <row r="803" spans="1:15" x14ac:dyDescent="0.35">
      <c r="A803" s="3">
        <v>2023</v>
      </c>
      <c r="B803" s="3">
        <v>11</v>
      </c>
      <c r="C803" s="3">
        <v>2</v>
      </c>
      <c r="D803" s="2">
        <v>545</v>
      </c>
      <c r="E803" s="3">
        <v>4</v>
      </c>
      <c r="F803" s="3" t="s">
        <v>45</v>
      </c>
      <c r="G803" s="3" t="str">
        <f t="shared" si="50"/>
        <v>2011</v>
      </c>
      <c r="H803" s="3">
        <f t="shared" si="48"/>
        <v>12</v>
      </c>
      <c r="I803" s="69"/>
      <c r="J803" t="s">
        <v>236</v>
      </c>
      <c r="K803" s="3" t="s">
        <v>317</v>
      </c>
      <c r="L803" s="3">
        <v>368.9</v>
      </c>
      <c r="M803" s="3">
        <v>696</v>
      </c>
      <c r="N803" s="3" t="str">
        <f t="shared" si="49"/>
        <v>2007</v>
      </c>
      <c r="O803" s="2">
        <v>545</v>
      </c>
    </row>
    <row r="804" spans="1:15" x14ac:dyDescent="0.35">
      <c r="A804" s="3">
        <v>2016</v>
      </c>
      <c r="B804" s="3">
        <v>11</v>
      </c>
      <c r="C804" s="3">
        <v>7</v>
      </c>
      <c r="D804" s="2">
        <v>229</v>
      </c>
      <c r="E804" s="3">
        <v>4</v>
      </c>
      <c r="F804" s="3" t="s">
        <v>45</v>
      </c>
      <c r="G804" s="3" t="str">
        <f t="shared" si="50"/>
        <v>2009</v>
      </c>
      <c r="H804" s="3">
        <f t="shared" si="48"/>
        <v>7</v>
      </c>
      <c r="I804" s="69"/>
      <c r="J804" s="3" t="s">
        <v>671</v>
      </c>
      <c r="K804" s="3" t="s">
        <v>512</v>
      </c>
      <c r="L804" s="3">
        <v>345.3</v>
      </c>
      <c r="M804" s="3">
        <v>699</v>
      </c>
      <c r="N804" s="3" t="str">
        <f t="shared" si="49"/>
        <v>2007</v>
      </c>
      <c r="O804" s="2">
        <v>229</v>
      </c>
    </row>
    <row r="805" spans="1:15" x14ac:dyDescent="0.35">
      <c r="A805" s="3">
        <v>2024</v>
      </c>
      <c r="B805" s="3">
        <v>1</v>
      </c>
      <c r="C805" s="3">
        <v>17</v>
      </c>
      <c r="D805" s="2">
        <v>555</v>
      </c>
      <c r="E805" s="3">
        <v>1</v>
      </c>
      <c r="F805" s="3" t="s">
        <v>41</v>
      </c>
      <c r="G805" s="3" t="str">
        <f t="shared" si="50"/>
        <v>2013</v>
      </c>
      <c r="H805" s="3">
        <f t="shared" si="48"/>
        <v>11</v>
      </c>
      <c r="I805" s="69"/>
      <c r="J805" t="s">
        <v>49</v>
      </c>
      <c r="K805" s="3" t="s">
        <v>318</v>
      </c>
      <c r="L805">
        <v>351.5</v>
      </c>
      <c r="M805" s="3">
        <v>700</v>
      </c>
      <c r="N805" s="3" t="str">
        <f t="shared" si="49"/>
        <v>2011</v>
      </c>
      <c r="O805" s="2">
        <v>555</v>
      </c>
    </row>
    <row r="806" spans="1:15" x14ac:dyDescent="0.35">
      <c r="A806" s="3">
        <v>2017</v>
      </c>
      <c r="B806" s="3">
        <v>1</v>
      </c>
      <c r="C806" s="3">
        <v>20</v>
      </c>
      <c r="D806" s="2">
        <v>95</v>
      </c>
      <c r="E806" s="15">
        <v>1</v>
      </c>
      <c r="F806" s="3" t="s">
        <v>41</v>
      </c>
      <c r="G806" s="3" t="str">
        <f t="shared" si="50"/>
        <v>2012</v>
      </c>
      <c r="H806" s="3">
        <f t="shared" si="48"/>
        <v>5</v>
      </c>
      <c r="I806" s="69"/>
      <c r="J806" s="3" t="s">
        <v>541</v>
      </c>
      <c r="K806" s="3" t="s">
        <v>461</v>
      </c>
      <c r="L806" s="3">
        <v>342.4</v>
      </c>
      <c r="M806" s="3">
        <v>703</v>
      </c>
      <c r="N806" s="3" t="str">
        <f t="shared" si="49"/>
        <v>2011</v>
      </c>
      <c r="O806" s="2">
        <v>95</v>
      </c>
    </row>
    <row r="807" spans="1:15" x14ac:dyDescent="0.35">
      <c r="A807" s="3">
        <v>2017</v>
      </c>
      <c r="B807" s="3">
        <v>1</v>
      </c>
      <c r="C807" s="3">
        <v>20</v>
      </c>
      <c r="D807" s="2">
        <v>95</v>
      </c>
      <c r="E807" s="15">
        <v>1</v>
      </c>
      <c r="F807" s="3" t="s">
        <v>41</v>
      </c>
      <c r="G807" s="3" t="str">
        <f t="shared" si="50"/>
        <v>2012</v>
      </c>
      <c r="H807" s="3">
        <f t="shared" si="48"/>
        <v>5</v>
      </c>
      <c r="I807" s="69"/>
      <c r="J807" s="3" t="s">
        <v>541</v>
      </c>
      <c r="K807" s="3" t="s">
        <v>461</v>
      </c>
      <c r="L807" s="3">
        <v>342.4</v>
      </c>
      <c r="M807" s="3">
        <v>703</v>
      </c>
      <c r="N807" s="3" t="str">
        <f t="shared" si="49"/>
        <v>2011</v>
      </c>
      <c r="O807" s="2">
        <v>95</v>
      </c>
    </row>
    <row r="808" spans="1:15" x14ac:dyDescent="0.35">
      <c r="A808" s="3">
        <v>2024</v>
      </c>
      <c r="B808" s="3">
        <v>8</v>
      </c>
      <c r="C808" s="3">
        <v>5</v>
      </c>
      <c r="D808" s="2">
        <v>761</v>
      </c>
      <c r="E808" s="3">
        <v>3</v>
      </c>
      <c r="F808" s="3" t="s">
        <v>20</v>
      </c>
      <c r="G808" s="3" t="str">
        <f t="shared" si="50"/>
        <v>2020</v>
      </c>
      <c r="H808" s="3">
        <f t="shared" si="48"/>
        <v>4</v>
      </c>
      <c r="I808" s="69"/>
      <c r="J808" s="6" t="s">
        <v>783</v>
      </c>
      <c r="K808">
        <v>7</v>
      </c>
      <c r="L808">
        <v>446.9</v>
      </c>
      <c r="M808" s="3">
        <v>704</v>
      </c>
      <c r="N808" s="3" t="str">
        <f t="shared" si="49"/>
        <v>2018</v>
      </c>
      <c r="O808" s="2">
        <v>761</v>
      </c>
    </row>
    <row r="809" spans="1:15" x14ac:dyDescent="0.35">
      <c r="A809" s="3">
        <v>2023</v>
      </c>
      <c r="B809" s="3">
        <v>2</v>
      </c>
      <c r="C809" s="3">
        <v>1</v>
      </c>
      <c r="D809" s="2">
        <v>122</v>
      </c>
      <c r="E809" s="15">
        <v>1</v>
      </c>
      <c r="F809" s="3" t="s">
        <v>20</v>
      </c>
      <c r="G809" s="3" t="str">
        <f t="shared" si="50"/>
        <v>2020</v>
      </c>
      <c r="H809" s="3">
        <f t="shared" si="48"/>
        <v>3</v>
      </c>
      <c r="I809" s="69"/>
      <c r="J809" s="3">
        <v>7</v>
      </c>
      <c r="K809" s="3">
        <v>7</v>
      </c>
      <c r="L809" s="3">
        <v>69.099999999999994</v>
      </c>
      <c r="M809" s="3">
        <v>707</v>
      </c>
      <c r="N809" s="3" t="str">
        <f t="shared" si="49"/>
        <v>2018</v>
      </c>
      <c r="O809" s="2">
        <v>122</v>
      </c>
    </row>
    <row r="810" spans="1:15" x14ac:dyDescent="0.35">
      <c r="A810" s="3">
        <v>2022</v>
      </c>
      <c r="B810" s="3">
        <v>1</v>
      </c>
      <c r="C810" s="3" t="s">
        <v>28</v>
      </c>
      <c r="D810" s="2">
        <v>58</v>
      </c>
      <c r="E810" s="3">
        <v>1</v>
      </c>
      <c r="F810" s="3" t="s">
        <v>41</v>
      </c>
      <c r="G810" s="3" t="str">
        <f t="shared" si="50"/>
        <v>2012</v>
      </c>
      <c r="H810" s="3">
        <f t="shared" si="48"/>
        <v>10</v>
      </c>
      <c r="I810" s="69"/>
      <c r="J810" s="3" t="s">
        <v>461</v>
      </c>
      <c r="K810" s="3" t="s">
        <v>461</v>
      </c>
      <c r="L810" s="3">
        <v>361.3</v>
      </c>
      <c r="M810" s="3">
        <v>711</v>
      </c>
      <c r="N810" s="3" t="str">
        <f t="shared" si="49"/>
        <v>2011</v>
      </c>
      <c r="O810" s="2">
        <v>58</v>
      </c>
    </row>
    <row r="811" spans="1:15" x14ac:dyDescent="0.35">
      <c r="A811" s="3">
        <v>2024</v>
      </c>
      <c r="B811" s="3">
        <v>1</v>
      </c>
      <c r="C811" s="3">
        <v>30</v>
      </c>
      <c r="D811" s="2">
        <v>649</v>
      </c>
      <c r="E811" s="3">
        <v>1</v>
      </c>
      <c r="F811" s="3" t="s">
        <v>225</v>
      </c>
      <c r="G811" s="3" t="str">
        <f t="shared" si="50"/>
        <v>2022</v>
      </c>
      <c r="H811" s="3">
        <f t="shared" si="48"/>
        <v>2</v>
      </c>
      <c r="I811" s="69"/>
      <c r="J811" t="s">
        <v>58</v>
      </c>
      <c r="K811">
        <v>2</v>
      </c>
      <c r="L811">
        <v>415.8</v>
      </c>
      <c r="M811" s="3">
        <v>711</v>
      </c>
      <c r="N811" s="3" t="str">
        <f t="shared" si="49"/>
        <v>2021</v>
      </c>
      <c r="O811" s="2">
        <v>649</v>
      </c>
    </row>
    <row r="812" spans="1:15" x14ac:dyDescent="0.35">
      <c r="A812" s="3">
        <v>2017</v>
      </c>
      <c r="B812" s="3">
        <v>11</v>
      </c>
      <c r="C812" s="3">
        <v>9</v>
      </c>
      <c r="D812" s="2">
        <v>79</v>
      </c>
      <c r="E812" s="15">
        <v>4</v>
      </c>
      <c r="F812" s="3" t="s">
        <v>45</v>
      </c>
      <c r="G812" s="3" t="str">
        <f t="shared" si="50"/>
        <v>2011</v>
      </c>
      <c r="H812" s="3">
        <f t="shared" si="48"/>
        <v>6</v>
      </c>
      <c r="I812" s="69"/>
      <c r="J812" s="3" t="s">
        <v>317</v>
      </c>
      <c r="K812" s="3" t="s">
        <v>317</v>
      </c>
      <c r="L812" s="3">
        <v>435.2</v>
      </c>
      <c r="M812" s="3">
        <v>712</v>
      </c>
      <c r="N812" s="3" t="str">
        <f t="shared" si="49"/>
        <v>2007</v>
      </c>
      <c r="O812" s="2">
        <v>79</v>
      </c>
    </row>
    <row r="813" spans="1:15" x14ac:dyDescent="0.35">
      <c r="A813" s="3">
        <v>2023</v>
      </c>
      <c r="B813" s="3">
        <v>7</v>
      </c>
      <c r="C813" s="3">
        <v>19</v>
      </c>
      <c r="D813" s="2">
        <v>402</v>
      </c>
      <c r="E813" s="3">
        <v>3</v>
      </c>
      <c r="F813" s="3" t="s">
        <v>41</v>
      </c>
      <c r="G813" s="3" t="str">
        <f t="shared" si="50"/>
        <v>2013</v>
      </c>
      <c r="H813" s="3">
        <f t="shared" si="48"/>
        <v>10</v>
      </c>
      <c r="I813" s="69"/>
      <c r="J813" s="3" t="s">
        <v>49</v>
      </c>
      <c r="K813" s="3" t="s">
        <v>318</v>
      </c>
      <c r="L813" s="3">
        <v>310.5</v>
      </c>
      <c r="M813" s="3">
        <v>714</v>
      </c>
      <c r="N813" s="3" t="str">
        <f t="shared" si="49"/>
        <v>2011</v>
      </c>
      <c r="O813" s="2">
        <v>402</v>
      </c>
    </row>
    <row r="814" spans="1:15" x14ac:dyDescent="0.35">
      <c r="A814" s="3">
        <v>2024</v>
      </c>
      <c r="B814">
        <v>8</v>
      </c>
      <c r="C814" s="3">
        <v>9</v>
      </c>
      <c r="D814" s="2">
        <v>857</v>
      </c>
      <c r="E814" s="3">
        <v>3</v>
      </c>
      <c r="F814" t="s">
        <v>41</v>
      </c>
      <c r="G814" s="3" t="str">
        <f t="shared" si="50"/>
        <v>2013</v>
      </c>
      <c r="H814" s="3">
        <f t="shared" si="48"/>
        <v>11</v>
      </c>
      <c r="I814" s="69"/>
      <c r="J814" t="s">
        <v>42</v>
      </c>
      <c r="K814" t="s">
        <v>318</v>
      </c>
      <c r="L814">
        <v>465.3</v>
      </c>
      <c r="M814" s="3">
        <v>718</v>
      </c>
      <c r="N814" s="3" t="str">
        <f t="shared" si="49"/>
        <v>2011</v>
      </c>
      <c r="O814" s="2">
        <v>857</v>
      </c>
    </row>
    <row r="815" spans="1:15" x14ac:dyDescent="0.35">
      <c r="A815" s="3">
        <v>2016</v>
      </c>
      <c r="B815" s="3">
        <v>9</v>
      </c>
      <c r="C815" s="3">
        <v>1</v>
      </c>
      <c r="D815" s="2">
        <v>299</v>
      </c>
      <c r="E815" s="3">
        <v>3</v>
      </c>
      <c r="F815" s="3" t="s">
        <v>45</v>
      </c>
      <c r="G815" s="3" t="str">
        <f t="shared" si="50"/>
        <v>2011</v>
      </c>
      <c r="H815" s="3">
        <f t="shared" si="48"/>
        <v>5</v>
      </c>
      <c r="I815" s="69"/>
      <c r="J815" s="3" t="s">
        <v>632</v>
      </c>
      <c r="K815" s="3" t="s">
        <v>317</v>
      </c>
      <c r="L815" s="3">
        <v>492.5</v>
      </c>
      <c r="M815" s="3">
        <v>719</v>
      </c>
      <c r="N815" s="3" t="str">
        <f t="shared" si="49"/>
        <v>2007</v>
      </c>
      <c r="O815" s="2">
        <v>299</v>
      </c>
    </row>
    <row r="816" spans="1:15" x14ac:dyDescent="0.35">
      <c r="A816" s="3">
        <v>2022</v>
      </c>
      <c r="B816" s="3">
        <v>1</v>
      </c>
      <c r="C816" s="3" t="s">
        <v>28</v>
      </c>
      <c r="D816" s="2">
        <v>3</v>
      </c>
      <c r="E816" s="3">
        <v>1</v>
      </c>
      <c r="F816" s="3" t="s">
        <v>41</v>
      </c>
      <c r="G816" s="3" t="str">
        <f t="shared" si="50"/>
        <v>2013</v>
      </c>
      <c r="H816" s="3">
        <f t="shared" si="48"/>
        <v>9</v>
      </c>
      <c r="I816" s="69"/>
      <c r="J816" s="3" t="s">
        <v>318</v>
      </c>
      <c r="K816" s="3" t="s">
        <v>318</v>
      </c>
      <c r="L816" s="3">
        <v>464.6</v>
      </c>
      <c r="M816" s="3">
        <v>722</v>
      </c>
      <c r="N816" s="3" t="str">
        <f t="shared" si="49"/>
        <v>2011</v>
      </c>
      <c r="O816" s="2">
        <v>3</v>
      </c>
    </row>
    <row r="817" spans="1:20" x14ac:dyDescent="0.35">
      <c r="A817" s="3">
        <v>2022</v>
      </c>
      <c r="B817" s="3">
        <v>1</v>
      </c>
      <c r="C817" s="3" t="s">
        <v>28</v>
      </c>
      <c r="D817" s="2">
        <v>3</v>
      </c>
      <c r="E817" s="3">
        <v>1</v>
      </c>
      <c r="F817" s="3" t="s">
        <v>41</v>
      </c>
      <c r="G817" s="3" t="str">
        <f t="shared" si="50"/>
        <v>2013</v>
      </c>
      <c r="H817" s="3">
        <f t="shared" si="48"/>
        <v>9</v>
      </c>
      <c r="I817" s="69"/>
      <c r="J817" s="3" t="s">
        <v>318</v>
      </c>
      <c r="K817" s="3" t="s">
        <v>318</v>
      </c>
      <c r="L817" s="3">
        <v>464.6</v>
      </c>
      <c r="M817" s="3">
        <v>722</v>
      </c>
      <c r="N817" s="3" t="str">
        <f t="shared" si="49"/>
        <v>2011</v>
      </c>
      <c r="O817" s="2">
        <v>3</v>
      </c>
    </row>
    <row r="818" spans="1:20" x14ac:dyDescent="0.35">
      <c r="A818" s="3">
        <v>2019</v>
      </c>
      <c r="B818" s="3">
        <v>2</v>
      </c>
      <c r="C818" s="3">
        <v>20</v>
      </c>
      <c r="D818" s="2">
        <v>173</v>
      </c>
      <c r="E818" s="3">
        <v>1</v>
      </c>
      <c r="F818" s="3" t="s">
        <v>41</v>
      </c>
      <c r="G818" s="3" t="str">
        <f t="shared" si="50"/>
        <v>2012</v>
      </c>
      <c r="H818" s="3">
        <f t="shared" si="48"/>
        <v>7</v>
      </c>
      <c r="I818" s="69"/>
      <c r="J818" s="3" t="s">
        <v>623</v>
      </c>
      <c r="K818" s="3" t="s">
        <v>461</v>
      </c>
      <c r="L818" s="3">
        <v>417.3</v>
      </c>
      <c r="M818" s="3">
        <v>723</v>
      </c>
      <c r="N818" s="3" t="str">
        <f t="shared" si="49"/>
        <v>2011</v>
      </c>
      <c r="O818" s="2">
        <v>173</v>
      </c>
    </row>
    <row r="819" spans="1:20" x14ac:dyDescent="0.35">
      <c r="A819" s="3">
        <v>2019</v>
      </c>
      <c r="B819" s="3">
        <v>2</v>
      </c>
      <c r="C819" s="3">
        <v>20</v>
      </c>
      <c r="D819" s="2">
        <v>173</v>
      </c>
      <c r="E819" s="3">
        <v>1</v>
      </c>
      <c r="F819" s="3" t="s">
        <v>41</v>
      </c>
      <c r="G819" s="3" t="str">
        <f t="shared" si="50"/>
        <v>2012</v>
      </c>
      <c r="H819" s="3">
        <f t="shared" si="48"/>
        <v>7</v>
      </c>
      <c r="I819" s="69"/>
      <c r="J819" s="3" t="s">
        <v>623</v>
      </c>
      <c r="K819" s="3" t="s">
        <v>461</v>
      </c>
      <c r="L819" s="3">
        <v>417.3</v>
      </c>
      <c r="M819" s="3">
        <v>723</v>
      </c>
      <c r="N819" s="3" t="str">
        <f t="shared" si="49"/>
        <v>2011</v>
      </c>
      <c r="O819" s="2">
        <v>173</v>
      </c>
    </row>
    <row r="820" spans="1:20" x14ac:dyDescent="0.35">
      <c r="A820" s="3">
        <v>2022</v>
      </c>
      <c r="B820" s="3">
        <v>11</v>
      </c>
      <c r="C820" s="3">
        <v>1</v>
      </c>
      <c r="D820" s="2">
        <v>368</v>
      </c>
      <c r="E820" s="3">
        <v>4</v>
      </c>
      <c r="F820" s="3" t="s">
        <v>41</v>
      </c>
      <c r="G820" s="3" t="str">
        <f t="shared" si="50"/>
        <v>2013</v>
      </c>
      <c r="H820" s="3">
        <f t="shared" si="48"/>
        <v>9</v>
      </c>
      <c r="I820" s="69"/>
      <c r="J820" s="3" t="s">
        <v>42</v>
      </c>
      <c r="K820" s="3" t="s">
        <v>318</v>
      </c>
      <c r="L820" s="3">
        <v>295.89999999999998</v>
      </c>
      <c r="M820" s="3">
        <v>724</v>
      </c>
      <c r="N820" s="3" t="str">
        <f t="shared" si="49"/>
        <v>2011</v>
      </c>
      <c r="O820" s="2">
        <v>368</v>
      </c>
    </row>
    <row r="821" spans="1:20" x14ac:dyDescent="0.35">
      <c r="A821" s="3">
        <v>2022</v>
      </c>
      <c r="B821" s="3">
        <v>1</v>
      </c>
      <c r="C821" s="3" t="s">
        <v>28</v>
      </c>
      <c r="D821" s="2">
        <v>60</v>
      </c>
      <c r="E821" s="3">
        <v>1</v>
      </c>
      <c r="F821" s="3" t="s">
        <v>41</v>
      </c>
      <c r="G821" s="3" t="str">
        <f t="shared" si="50"/>
        <v>2012</v>
      </c>
      <c r="H821" s="3">
        <f t="shared" si="48"/>
        <v>10</v>
      </c>
      <c r="I821" s="69"/>
      <c r="J821" s="3" t="s">
        <v>461</v>
      </c>
      <c r="K821" s="3" t="s">
        <v>461</v>
      </c>
      <c r="L821" s="3">
        <v>399.2</v>
      </c>
      <c r="M821" s="3">
        <v>730</v>
      </c>
      <c r="N821" s="3" t="str">
        <f t="shared" si="49"/>
        <v>2011</v>
      </c>
      <c r="O821" s="2">
        <v>60</v>
      </c>
    </row>
    <row r="822" spans="1:20" x14ac:dyDescent="0.35">
      <c r="A822" s="3">
        <v>2022</v>
      </c>
      <c r="B822" s="3">
        <v>11</v>
      </c>
      <c r="C822" s="3">
        <v>7</v>
      </c>
      <c r="D822" s="2">
        <v>116</v>
      </c>
      <c r="E822" s="15">
        <v>4</v>
      </c>
      <c r="F822" s="3" t="s">
        <v>41</v>
      </c>
      <c r="G822" s="3" t="str">
        <f t="shared" si="50"/>
        <v>2012</v>
      </c>
      <c r="H822" s="3">
        <f t="shared" si="48"/>
        <v>10</v>
      </c>
      <c r="I822" s="69"/>
      <c r="J822" s="3" t="s">
        <v>461</v>
      </c>
      <c r="K822" s="3" t="s">
        <v>461</v>
      </c>
      <c r="L822" s="3">
        <v>441.9</v>
      </c>
      <c r="M822" s="3">
        <v>730</v>
      </c>
      <c r="N822" s="3" t="str">
        <f t="shared" si="49"/>
        <v>2011</v>
      </c>
      <c r="O822" s="2">
        <v>116</v>
      </c>
    </row>
    <row r="823" spans="1:20" x14ac:dyDescent="0.35">
      <c r="A823" s="3">
        <v>2016</v>
      </c>
      <c r="B823" s="3">
        <v>9</v>
      </c>
      <c r="C823" s="3">
        <v>2</v>
      </c>
      <c r="D823" s="2">
        <v>290</v>
      </c>
      <c r="E823" s="3">
        <v>3</v>
      </c>
      <c r="F823" s="3" t="s">
        <v>41</v>
      </c>
      <c r="G823" s="3" t="str">
        <f t="shared" si="50"/>
        <v>2013</v>
      </c>
      <c r="H823" s="3">
        <f t="shared" si="48"/>
        <v>3</v>
      </c>
      <c r="I823" s="69"/>
      <c r="J823" s="3" t="s">
        <v>42</v>
      </c>
      <c r="K823" s="3" t="s">
        <v>318</v>
      </c>
      <c r="L823" s="3">
        <v>403.5</v>
      </c>
      <c r="M823" s="3">
        <v>731</v>
      </c>
      <c r="N823" s="3" t="str">
        <f t="shared" si="49"/>
        <v>2011</v>
      </c>
      <c r="O823" s="2">
        <v>290</v>
      </c>
      <c r="T823">
        <v>18.97</v>
      </c>
    </row>
    <row r="824" spans="1:20" x14ac:dyDescent="0.35">
      <c r="A824" s="3">
        <v>2022</v>
      </c>
      <c r="B824" s="3">
        <v>11</v>
      </c>
      <c r="C824" s="3">
        <v>1</v>
      </c>
      <c r="D824" s="2">
        <v>362</v>
      </c>
      <c r="E824" s="3">
        <v>4</v>
      </c>
      <c r="F824" s="3" t="s">
        <v>41</v>
      </c>
      <c r="G824" s="3" t="str">
        <f t="shared" si="50"/>
        <v>2013</v>
      </c>
      <c r="H824" s="3">
        <f t="shared" si="48"/>
        <v>9</v>
      </c>
      <c r="I824" s="69"/>
      <c r="J824" s="3" t="s">
        <v>583</v>
      </c>
      <c r="K824" s="3" t="s">
        <v>318</v>
      </c>
      <c r="L824" s="3">
        <v>318.8</v>
      </c>
      <c r="M824" s="3">
        <v>732</v>
      </c>
      <c r="N824" s="3" t="str">
        <f t="shared" si="49"/>
        <v>2011</v>
      </c>
      <c r="O824" s="2">
        <v>362</v>
      </c>
    </row>
    <row r="825" spans="1:20" x14ac:dyDescent="0.35">
      <c r="A825" s="3">
        <v>2022</v>
      </c>
      <c r="B825" s="3">
        <v>11</v>
      </c>
      <c r="C825" s="3">
        <v>14</v>
      </c>
      <c r="D825" s="2">
        <v>120</v>
      </c>
      <c r="E825" s="15">
        <v>4</v>
      </c>
      <c r="F825" s="3" t="s">
        <v>20</v>
      </c>
      <c r="G825" s="3" t="str">
        <f t="shared" si="50"/>
        <v>2020</v>
      </c>
      <c r="H825" s="3">
        <f t="shared" si="48"/>
        <v>2</v>
      </c>
      <c r="I825" s="69"/>
      <c r="J825" s="3">
        <v>8</v>
      </c>
      <c r="K825" s="3">
        <v>8</v>
      </c>
      <c r="L825" s="3">
        <v>470.6</v>
      </c>
      <c r="M825" s="3">
        <v>735</v>
      </c>
      <c r="N825" s="3" t="str">
        <f t="shared" si="49"/>
        <v>2018</v>
      </c>
      <c r="O825" s="2">
        <v>120</v>
      </c>
    </row>
    <row r="826" spans="1:20" x14ac:dyDescent="0.35">
      <c r="A826" s="3">
        <v>2019</v>
      </c>
      <c r="B826" s="3">
        <v>2</v>
      </c>
      <c r="C826" s="3">
        <v>21</v>
      </c>
      <c r="D826" s="2">
        <v>158</v>
      </c>
      <c r="E826" s="3">
        <v>1</v>
      </c>
      <c r="F826" s="3" t="s">
        <v>45</v>
      </c>
      <c r="G826" s="3" t="str">
        <f t="shared" si="50"/>
        <v>2011</v>
      </c>
      <c r="H826" s="3">
        <f t="shared" si="48"/>
        <v>8</v>
      </c>
      <c r="I826" s="69"/>
      <c r="J826" s="3" t="s">
        <v>602</v>
      </c>
      <c r="K826" s="3" t="s">
        <v>317</v>
      </c>
      <c r="L826" s="3">
        <v>482.9</v>
      </c>
      <c r="M826" s="3">
        <v>736</v>
      </c>
      <c r="N826" s="3" t="str">
        <f t="shared" si="49"/>
        <v>2007</v>
      </c>
      <c r="O826" s="2">
        <v>158</v>
      </c>
    </row>
    <row r="827" spans="1:20" x14ac:dyDescent="0.35">
      <c r="A827" s="3">
        <v>2022</v>
      </c>
      <c r="B827" s="3">
        <v>11</v>
      </c>
      <c r="C827" s="3">
        <v>7</v>
      </c>
      <c r="D827" s="2">
        <v>127</v>
      </c>
      <c r="E827" s="15">
        <v>4</v>
      </c>
      <c r="F827" s="3" t="s">
        <v>41</v>
      </c>
      <c r="G827" s="3" t="str">
        <f t="shared" si="50"/>
        <v>2012</v>
      </c>
      <c r="H827" s="3">
        <f t="shared" si="48"/>
        <v>10</v>
      </c>
      <c r="I827" s="69"/>
      <c r="J827" s="3" t="s">
        <v>461</v>
      </c>
      <c r="K827" s="3" t="s">
        <v>461</v>
      </c>
      <c r="L827" s="3">
        <v>504.1</v>
      </c>
      <c r="M827" s="3">
        <v>739</v>
      </c>
      <c r="N827" s="3" t="str">
        <f t="shared" si="49"/>
        <v>2011</v>
      </c>
      <c r="O827" s="2">
        <v>127</v>
      </c>
    </row>
    <row r="828" spans="1:20" x14ac:dyDescent="0.35">
      <c r="A828" s="3">
        <v>2016</v>
      </c>
      <c r="B828" s="3">
        <v>11</v>
      </c>
      <c r="C828" s="3">
        <v>16</v>
      </c>
      <c r="D828" s="2">
        <v>200</v>
      </c>
      <c r="E828" s="3">
        <v>4</v>
      </c>
      <c r="F828" s="3" t="s">
        <v>41</v>
      </c>
      <c r="G828" s="3" t="str">
        <f t="shared" si="50"/>
        <v>2013</v>
      </c>
      <c r="H828" s="3">
        <f t="shared" si="48"/>
        <v>3</v>
      </c>
      <c r="I828" s="69"/>
      <c r="J828" s="3" t="s">
        <v>42</v>
      </c>
      <c r="K828" s="3" t="s">
        <v>318</v>
      </c>
      <c r="L828" s="3">
        <v>483.5</v>
      </c>
      <c r="M828" s="3">
        <v>742</v>
      </c>
      <c r="N828" s="3" t="str">
        <f t="shared" si="49"/>
        <v>2011</v>
      </c>
      <c r="O828" s="2">
        <v>200</v>
      </c>
    </row>
    <row r="829" spans="1:20" x14ac:dyDescent="0.35">
      <c r="A829" s="3">
        <v>2018</v>
      </c>
      <c r="B829" s="3">
        <v>8</v>
      </c>
      <c r="C829" s="3">
        <v>15</v>
      </c>
      <c r="D829" s="2">
        <v>288</v>
      </c>
      <c r="E829" s="3">
        <v>3</v>
      </c>
      <c r="F829" s="3" t="s">
        <v>41</v>
      </c>
      <c r="G829" s="3" t="str">
        <f t="shared" si="50"/>
        <v>2013</v>
      </c>
      <c r="H829" s="3">
        <f t="shared" si="48"/>
        <v>5</v>
      </c>
      <c r="I829" s="69"/>
      <c r="J829" s="3" t="s">
        <v>509</v>
      </c>
      <c r="K829" s="3" t="s">
        <v>458</v>
      </c>
      <c r="L829" s="3">
        <v>49.1</v>
      </c>
      <c r="M829" s="3">
        <v>745</v>
      </c>
      <c r="N829" s="3" t="str">
        <f t="shared" si="49"/>
        <v>2011</v>
      </c>
      <c r="O829" s="2">
        <v>288</v>
      </c>
    </row>
    <row r="830" spans="1:20" x14ac:dyDescent="0.35">
      <c r="A830" s="3">
        <v>2024</v>
      </c>
      <c r="B830" s="3">
        <v>8</v>
      </c>
      <c r="C830" s="3">
        <v>13</v>
      </c>
      <c r="D830" s="2">
        <v>721</v>
      </c>
      <c r="E830" s="3">
        <v>3</v>
      </c>
      <c r="F830" s="3" t="s">
        <v>225</v>
      </c>
      <c r="G830" s="3" t="str">
        <f t="shared" si="50"/>
        <v>2021</v>
      </c>
      <c r="H830" s="3">
        <f t="shared" si="48"/>
        <v>3</v>
      </c>
      <c r="I830" s="69"/>
      <c r="J830" t="s">
        <v>1137</v>
      </c>
      <c r="K830">
        <v>3</v>
      </c>
      <c r="L830">
        <v>466.3</v>
      </c>
      <c r="M830" s="3">
        <v>745</v>
      </c>
      <c r="N830" s="3" t="str">
        <f t="shared" si="49"/>
        <v>2021</v>
      </c>
      <c r="O830" s="2">
        <v>721</v>
      </c>
    </row>
    <row r="831" spans="1:20" x14ac:dyDescent="0.35">
      <c r="A831" s="3">
        <v>2018</v>
      </c>
      <c r="B831" s="3">
        <v>8</v>
      </c>
      <c r="C831" s="3">
        <v>15</v>
      </c>
      <c r="D831" s="2">
        <v>334</v>
      </c>
      <c r="E831" s="3">
        <v>3</v>
      </c>
      <c r="F831" s="3" t="s">
        <v>41</v>
      </c>
      <c r="G831" s="3" t="str">
        <f t="shared" si="50"/>
        <v>2013</v>
      </c>
      <c r="H831" s="3">
        <f t="shared" si="48"/>
        <v>5</v>
      </c>
      <c r="I831" s="69"/>
      <c r="J831" s="3" t="s">
        <v>42</v>
      </c>
      <c r="K831" s="3" t="s">
        <v>318</v>
      </c>
      <c r="L831" s="3">
        <v>378.7</v>
      </c>
      <c r="M831" s="3">
        <v>746</v>
      </c>
      <c r="N831" s="3" t="str">
        <f t="shared" si="49"/>
        <v>2011</v>
      </c>
      <c r="O831" s="2">
        <v>334</v>
      </c>
    </row>
    <row r="832" spans="1:20" x14ac:dyDescent="0.35">
      <c r="A832" s="3">
        <v>2024</v>
      </c>
      <c r="B832" s="3">
        <v>8</v>
      </c>
      <c r="C832" s="3">
        <v>20</v>
      </c>
      <c r="D832" s="2">
        <v>765</v>
      </c>
      <c r="E832" s="3">
        <v>3</v>
      </c>
      <c r="F832" s="3" t="s">
        <v>226</v>
      </c>
      <c r="G832" s="3" t="str">
        <f t="shared" si="50"/>
        <v>2017</v>
      </c>
      <c r="H832" s="3">
        <f t="shared" si="48"/>
        <v>7</v>
      </c>
      <c r="I832" s="69"/>
      <c r="J832" s="6" t="s">
        <v>228</v>
      </c>
      <c r="K832">
        <v>7</v>
      </c>
      <c r="L832">
        <v>479.2</v>
      </c>
      <c r="M832" s="3">
        <v>747</v>
      </c>
      <c r="N832" s="3" t="str">
        <f t="shared" si="49"/>
        <v>2017</v>
      </c>
      <c r="O832" s="2">
        <v>765</v>
      </c>
    </row>
    <row r="833" spans="1:19" x14ac:dyDescent="0.35">
      <c r="A833" s="3">
        <v>2023</v>
      </c>
      <c r="B833" s="3">
        <v>7</v>
      </c>
      <c r="C833" s="3">
        <v>19</v>
      </c>
      <c r="D833" s="2">
        <v>401</v>
      </c>
      <c r="E833" s="3">
        <v>3</v>
      </c>
      <c r="F833" s="3" t="s">
        <v>41</v>
      </c>
      <c r="G833" s="3" t="str">
        <f t="shared" si="50"/>
        <v>2013</v>
      </c>
      <c r="H833" s="3">
        <f t="shared" si="48"/>
        <v>10</v>
      </c>
      <c r="I833" s="69"/>
      <c r="J833" s="3" t="s">
        <v>49</v>
      </c>
      <c r="K833" s="3" t="s">
        <v>318</v>
      </c>
      <c r="L833" s="3">
        <v>371.6</v>
      </c>
      <c r="M833" s="3">
        <v>751</v>
      </c>
      <c r="N833" s="3" t="str">
        <f t="shared" si="49"/>
        <v>2011</v>
      </c>
      <c r="O833" s="2">
        <v>401</v>
      </c>
    </row>
    <row r="834" spans="1:19" x14ac:dyDescent="0.35">
      <c r="A834" s="3">
        <v>2024</v>
      </c>
      <c r="B834" s="3">
        <v>8</v>
      </c>
      <c r="C834" s="3">
        <v>5</v>
      </c>
      <c r="D834" s="2">
        <v>708</v>
      </c>
      <c r="E834" s="3">
        <v>3</v>
      </c>
      <c r="F834" s="3" t="s">
        <v>20</v>
      </c>
      <c r="G834" s="3" t="str">
        <f t="shared" si="50"/>
        <v>2020</v>
      </c>
      <c r="H834" s="3">
        <f t="shared" ref="H834:H872" si="51">SUM(A834-G834)</f>
        <v>4</v>
      </c>
      <c r="I834" s="69"/>
      <c r="J834" t="s">
        <v>64</v>
      </c>
      <c r="K834">
        <v>7</v>
      </c>
      <c r="L834">
        <v>558.1</v>
      </c>
      <c r="M834" s="3">
        <v>751</v>
      </c>
      <c r="N834" s="3" t="str">
        <f t="shared" ref="N834:N872" si="52">IF(F834="PHD", "2007", IF(F834="TSL", "2011", IF(F834 = "SRS", "2018", IF(F834="WCA 3B", "2017", IF(F834="WCA 3A", "2021")))))</f>
        <v>2018</v>
      </c>
      <c r="O834" s="2">
        <v>708</v>
      </c>
    </row>
    <row r="835" spans="1:19" x14ac:dyDescent="0.35">
      <c r="A835" s="3">
        <v>2017</v>
      </c>
      <c r="B835" s="3">
        <v>11</v>
      </c>
      <c r="C835" s="3">
        <v>9</v>
      </c>
      <c r="D835" s="2">
        <v>71</v>
      </c>
      <c r="E835" s="15">
        <v>4</v>
      </c>
      <c r="F835" s="3" t="s">
        <v>45</v>
      </c>
      <c r="G835" s="3" t="str">
        <f t="shared" si="50"/>
        <v>2011</v>
      </c>
      <c r="H835" s="3">
        <f t="shared" si="51"/>
        <v>6</v>
      </c>
      <c r="I835" s="69"/>
      <c r="J835" s="3" t="s">
        <v>317</v>
      </c>
      <c r="K835" s="3" t="s">
        <v>317</v>
      </c>
      <c r="L835" s="3">
        <v>444.8</v>
      </c>
      <c r="M835" s="3">
        <v>752</v>
      </c>
      <c r="N835" s="3" t="str">
        <f t="shared" si="52"/>
        <v>2007</v>
      </c>
      <c r="O835" s="2">
        <v>71</v>
      </c>
    </row>
    <row r="836" spans="1:19" x14ac:dyDescent="0.35">
      <c r="A836" s="3">
        <v>2024</v>
      </c>
      <c r="B836" s="3">
        <v>8</v>
      </c>
      <c r="C836" s="3">
        <v>13</v>
      </c>
      <c r="D836" s="2">
        <v>710</v>
      </c>
      <c r="E836" s="3">
        <v>3</v>
      </c>
      <c r="F836" s="3" t="s">
        <v>225</v>
      </c>
      <c r="G836" s="3" t="str">
        <f t="shared" si="50"/>
        <v>2022</v>
      </c>
      <c r="H836" s="3">
        <f t="shared" si="51"/>
        <v>2</v>
      </c>
      <c r="I836" s="69"/>
      <c r="J836" t="s">
        <v>1126</v>
      </c>
      <c r="K836">
        <v>2</v>
      </c>
      <c r="L836">
        <v>450.1</v>
      </c>
      <c r="M836" s="3">
        <v>755</v>
      </c>
      <c r="N836" s="3" t="str">
        <f t="shared" si="52"/>
        <v>2021</v>
      </c>
      <c r="O836" s="2">
        <v>710</v>
      </c>
    </row>
    <row r="837" spans="1:19" x14ac:dyDescent="0.35">
      <c r="A837" s="3">
        <v>2022</v>
      </c>
      <c r="B837" s="3">
        <v>11</v>
      </c>
      <c r="C837" s="3">
        <v>1</v>
      </c>
      <c r="D837" s="2">
        <v>371</v>
      </c>
      <c r="E837" s="3">
        <v>4</v>
      </c>
      <c r="F837" s="3" t="s">
        <v>41</v>
      </c>
      <c r="G837" s="3" t="str">
        <f t="shared" si="50"/>
        <v>2013</v>
      </c>
      <c r="H837" s="3">
        <f t="shared" si="51"/>
        <v>9</v>
      </c>
      <c r="I837" s="69"/>
      <c r="J837" s="3" t="s">
        <v>49</v>
      </c>
      <c r="K837" s="3" t="s">
        <v>318</v>
      </c>
      <c r="L837" s="3">
        <v>422.6</v>
      </c>
      <c r="M837" s="3">
        <v>756</v>
      </c>
      <c r="N837" s="3" t="str">
        <f t="shared" si="52"/>
        <v>2011</v>
      </c>
      <c r="O837" s="2">
        <v>371</v>
      </c>
    </row>
    <row r="838" spans="1:19" x14ac:dyDescent="0.35">
      <c r="A838" s="3">
        <v>2023</v>
      </c>
      <c r="B838" s="3">
        <v>7</v>
      </c>
      <c r="C838" s="3">
        <v>17</v>
      </c>
      <c r="D838" s="2">
        <v>386</v>
      </c>
      <c r="E838" s="3">
        <v>3</v>
      </c>
      <c r="F838" s="3" t="s">
        <v>45</v>
      </c>
      <c r="G838" s="3" t="str">
        <f t="shared" si="50"/>
        <v>2011</v>
      </c>
      <c r="H838" s="3">
        <f t="shared" si="51"/>
        <v>12</v>
      </c>
      <c r="I838" s="69"/>
      <c r="J838" s="3" t="s">
        <v>46</v>
      </c>
      <c r="K838" s="3" t="s">
        <v>317</v>
      </c>
      <c r="L838" s="3">
        <v>409.8</v>
      </c>
      <c r="M838" s="3">
        <v>757</v>
      </c>
      <c r="N838" s="3" t="str">
        <f t="shared" si="52"/>
        <v>2007</v>
      </c>
      <c r="O838" s="2">
        <v>386</v>
      </c>
    </row>
    <row r="839" spans="1:19" x14ac:dyDescent="0.35">
      <c r="A839" s="3">
        <v>2023</v>
      </c>
      <c r="B839" s="3">
        <v>11</v>
      </c>
      <c r="C839" s="3">
        <v>9</v>
      </c>
      <c r="D839" s="2">
        <v>549</v>
      </c>
      <c r="E839" s="3">
        <v>4</v>
      </c>
      <c r="F839" s="3" t="s">
        <v>20</v>
      </c>
      <c r="G839" s="3" t="str">
        <f t="shared" ref="G839:G872" si="53">IF(K839="A55","2009",IF(K839="A59","2009",IF(K839="A60","2010",IF(K839="A62","2011",IF(K839="CP","2013",IF(K839="MD","2012",IF(K839="TS","2013",IF(K839="DL","2018",IF(K839="SCU","2018",IF(K839="NCU","2018",IF(K839="C1C","2018",IF(K839="C1E","2018",IF(K839="RS1S","2018",IF(K839="C2B","2018",IF(K839="DB3","2018",IF(AND(K839=6,F839="SRS"),"2018",IF(AND(K839=7,F839="SRS"),"2020",IF(AND(K839=8,F839="SRS"),"2020",IF(K839=23,"2019",IF(AND(K839=7,F839="WCA 3B"),"2017",IF(AND(K839=8,F839="WCA 3B"),"2019",IF(K839=1,"2021",IF(K839=2,"2022",IF(K839=3,"2021",IF(K839=4,"2021",IF(K839=5,"2022",IF(AND(K839=6,F839="WCA 3A"),"2022",IF(K839=9,"2023",IF(K839=10,"2023",IF(K839=37,"2020"))))))))))))))))))))))))))))))</f>
        <v>2020</v>
      </c>
      <c r="H839" s="3">
        <f t="shared" si="51"/>
        <v>3</v>
      </c>
      <c r="I839" s="69"/>
      <c r="J839" t="s">
        <v>64</v>
      </c>
      <c r="K839">
        <v>7</v>
      </c>
      <c r="L839">
        <v>576.29999999999995</v>
      </c>
      <c r="M839" s="3">
        <v>757</v>
      </c>
      <c r="N839" s="3" t="str">
        <f t="shared" si="52"/>
        <v>2018</v>
      </c>
      <c r="O839" s="2">
        <v>549</v>
      </c>
    </row>
    <row r="840" spans="1:19" x14ac:dyDescent="0.35">
      <c r="A840" s="3" t="s">
        <v>28</v>
      </c>
      <c r="B840" s="3" t="s">
        <v>28</v>
      </c>
      <c r="C840" s="3" t="s">
        <v>28</v>
      </c>
      <c r="D840" s="2">
        <v>448</v>
      </c>
      <c r="E840" s="3" t="s">
        <v>28</v>
      </c>
      <c r="F840" s="3" t="s">
        <v>28</v>
      </c>
      <c r="G840" s="3" t="b">
        <f t="shared" si="53"/>
        <v>0</v>
      </c>
      <c r="H840" s="3" t="e">
        <f t="shared" si="51"/>
        <v>#VALUE!</v>
      </c>
      <c r="I840" s="69"/>
      <c r="J840" s="3" t="s">
        <v>28</v>
      </c>
      <c r="K840" s="3" t="s">
        <v>28</v>
      </c>
      <c r="L840" s="3">
        <v>517.70000000000005</v>
      </c>
      <c r="M840" s="3">
        <v>761</v>
      </c>
      <c r="N840" s="3" t="b">
        <f t="shared" si="52"/>
        <v>0</v>
      </c>
      <c r="O840" s="2">
        <v>448</v>
      </c>
    </row>
    <row r="841" spans="1:19" x14ac:dyDescent="0.35">
      <c r="A841" s="3">
        <v>2019</v>
      </c>
      <c r="B841" s="3">
        <v>2</v>
      </c>
      <c r="C841" s="3">
        <v>21</v>
      </c>
      <c r="D841" s="2">
        <v>157</v>
      </c>
      <c r="E841" s="3">
        <v>1</v>
      </c>
      <c r="F841" s="3" t="s">
        <v>45</v>
      </c>
      <c r="G841" s="3" t="str">
        <f t="shared" si="53"/>
        <v>2011</v>
      </c>
      <c r="H841" s="3">
        <f t="shared" si="51"/>
        <v>8</v>
      </c>
      <c r="I841" s="69"/>
      <c r="J841" s="3" t="s">
        <v>602</v>
      </c>
      <c r="K841" s="3" t="s">
        <v>317</v>
      </c>
      <c r="L841" s="3">
        <v>540.5</v>
      </c>
      <c r="M841" s="3">
        <v>770</v>
      </c>
      <c r="N841" s="3" t="str">
        <f t="shared" si="52"/>
        <v>2007</v>
      </c>
      <c r="O841" s="2">
        <v>157</v>
      </c>
    </row>
    <row r="842" spans="1:19" x14ac:dyDescent="0.35">
      <c r="A842" s="3">
        <v>2024</v>
      </c>
      <c r="B842" s="3">
        <v>4</v>
      </c>
      <c r="C842" s="3">
        <v>1</v>
      </c>
      <c r="D842" s="2">
        <v>689</v>
      </c>
      <c r="E842" s="3">
        <v>2</v>
      </c>
      <c r="F842" s="3" t="s">
        <v>20</v>
      </c>
      <c r="G842" s="3" t="str">
        <f t="shared" si="53"/>
        <v>2020</v>
      </c>
      <c r="H842" s="3">
        <f t="shared" si="51"/>
        <v>4</v>
      </c>
      <c r="I842" s="69"/>
      <c r="J842" t="s">
        <v>73</v>
      </c>
      <c r="K842">
        <v>37</v>
      </c>
      <c r="L842">
        <v>542.5</v>
      </c>
      <c r="M842" s="3">
        <v>770</v>
      </c>
      <c r="N842" s="3" t="str">
        <f t="shared" si="52"/>
        <v>2018</v>
      </c>
      <c r="O842" s="2">
        <v>689</v>
      </c>
    </row>
    <row r="843" spans="1:19" x14ac:dyDescent="0.35">
      <c r="A843" s="3">
        <v>2018</v>
      </c>
      <c r="B843" s="3">
        <v>8</v>
      </c>
      <c r="C843" s="3">
        <v>15</v>
      </c>
      <c r="D843" s="2">
        <v>304</v>
      </c>
      <c r="E843" s="3">
        <v>3</v>
      </c>
      <c r="F843" s="3" t="s">
        <v>41</v>
      </c>
      <c r="G843" s="3" t="str">
        <f t="shared" si="53"/>
        <v>2013</v>
      </c>
      <c r="H843" s="3">
        <f t="shared" si="51"/>
        <v>5</v>
      </c>
      <c r="I843" s="69"/>
      <c r="J843" s="3" t="s">
        <v>49</v>
      </c>
      <c r="K843" s="3" t="s">
        <v>318</v>
      </c>
      <c r="L843" s="3">
        <v>465.5</v>
      </c>
      <c r="M843" s="3">
        <v>775</v>
      </c>
      <c r="N843" s="3" t="str">
        <f t="shared" si="52"/>
        <v>2011</v>
      </c>
      <c r="O843" s="2">
        <v>304</v>
      </c>
    </row>
    <row r="844" spans="1:19" x14ac:dyDescent="0.35">
      <c r="A844" s="3">
        <v>2022</v>
      </c>
      <c r="B844" s="3">
        <v>11</v>
      </c>
      <c r="C844" s="3">
        <v>1</v>
      </c>
      <c r="D844" s="2">
        <v>363</v>
      </c>
      <c r="E844" s="3">
        <v>4</v>
      </c>
      <c r="F844" s="3" t="s">
        <v>41</v>
      </c>
      <c r="G844" s="3" t="str">
        <f t="shared" si="53"/>
        <v>2013</v>
      </c>
      <c r="H844" s="3">
        <f t="shared" si="51"/>
        <v>9</v>
      </c>
      <c r="I844" s="69"/>
      <c r="J844" s="3" t="s">
        <v>669</v>
      </c>
      <c r="K844" s="3" t="s">
        <v>458</v>
      </c>
      <c r="L844" s="3">
        <v>510.2</v>
      </c>
      <c r="M844" s="3">
        <v>775</v>
      </c>
      <c r="N844" s="3" t="str">
        <f t="shared" si="52"/>
        <v>2011</v>
      </c>
      <c r="O844" s="2">
        <v>363</v>
      </c>
    </row>
    <row r="845" spans="1:19" x14ac:dyDescent="0.35">
      <c r="A845" s="3">
        <v>2024</v>
      </c>
      <c r="B845" s="3">
        <v>1</v>
      </c>
      <c r="C845" s="3">
        <v>22</v>
      </c>
      <c r="D845" s="2">
        <v>587</v>
      </c>
      <c r="E845" s="3">
        <v>1</v>
      </c>
      <c r="F845" s="3" t="s">
        <v>20</v>
      </c>
      <c r="G845" s="3" t="str">
        <f t="shared" si="53"/>
        <v>2020</v>
      </c>
      <c r="H845" s="3">
        <f t="shared" si="51"/>
        <v>4</v>
      </c>
      <c r="I845" s="69"/>
      <c r="J845" t="s">
        <v>73</v>
      </c>
      <c r="K845">
        <v>37</v>
      </c>
      <c r="L845">
        <v>527.6</v>
      </c>
      <c r="M845" s="3">
        <v>776</v>
      </c>
      <c r="N845" s="3" t="str">
        <f t="shared" si="52"/>
        <v>2018</v>
      </c>
      <c r="O845" s="2">
        <v>587</v>
      </c>
    </row>
    <row r="846" spans="1:19" x14ac:dyDescent="0.35">
      <c r="A846" s="3">
        <v>2024</v>
      </c>
      <c r="B846" s="3">
        <v>1</v>
      </c>
      <c r="C846" s="3">
        <v>17</v>
      </c>
      <c r="D846" s="2">
        <v>608</v>
      </c>
      <c r="E846" s="3">
        <v>1</v>
      </c>
      <c r="F846" s="3" t="s">
        <v>41</v>
      </c>
      <c r="G846" s="3" t="str">
        <f t="shared" si="53"/>
        <v>2013</v>
      </c>
      <c r="H846" s="3">
        <f t="shared" si="51"/>
        <v>11</v>
      </c>
      <c r="I846" s="69"/>
      <c r="J846" t="s">
        <v>583</v>
      </c>
      <c r="K846" s="3" t="s">
        <v>318</v>
      </c>
      <c r="L846">
        <v>522.5</v>
      </c>
      <c r="M846" s="3">
        <v>780</v>
      </c>
      <c r="N846" s="3" t="str">
        <f t="shared" si="52"/>
        <v>2011</v>
      </c>
      <c r="O846" s="2">
        <v>608</v>
      </c>
      <c r="S846">
        <v>23.32</v>
      </c>
    </row>
    <row r="847" spans="1:19" x14ac:dyDescent="0.35">
      <c r="A847" s="3">
        <v>2016</v>
      </c>
      <c r="B847" s="3">
        <v>11</v>
      </c>
      <c r="C847" s="3">
        <v>8</v>
      </c>
      <c r="D847" s="2">
        <v>191</v>
      </c>
      <c r="E847" s="3">
        <v>4</v>
      </c>
      <c r="F847" s="3" t="s">
        <v>45</v>
      </c>
      <c r="G847" s="3" t="str">
        <f t="shared" si="53"/>
        <v>2011</v>
      </c>
      <c r="H847" s="3">
        <f t="shared" si="51"/>
        <v>5</v>
      </c>
      <c r="I847" s="69"/>
      <c r="J847" s="3" t="s">
        <v>46</v>
      </c>
      <c r="K847" s="3" t="s">
        <v>317</v>
      </c>
      <c r="L847" s="3">
        <v>688.2</v>
      </c>
      <c r="M847" s="3">
        <v>780</v>
      </c>
      <c r="N847" s="3" t="str">
        <f t="shared" si="52"/>
        <v>2007</v>
      </c>
      <c r="O847" s="2">
        <v>191</v>
      </c>
    </row>
    <row r="848" spans="1:19" x14ac:dyDescent="0.35">
      <c r="A848" s="3">
        <v>2011</v>
      </c>
      <c r="B848" s="3">
        <v>11</v>
      </c>
      <c r="C848" s="3">
        <v>14</v>
      </c>
      <c r="D848" s="2">
        <v>611</v>
      </c>
      <c r="E848" s="3">
        <v>4</v>
      </c>
      <c r="F848" s="3" t="s">
        <v>45</v>
      </c>
      <c r="G848" s="3" t="str">
        <f t="shared" si="53"/>
        <v>2009</v>
      </c>
      <c r="H848" s="3">
        <f t="shared" si="51"/>
        <v>2</v>
      </c>
      <c r="I848" s="69"/>
      <c r="J848" t="s">
        <v>671</v>
      </c>
      <c r="K848" s="3" t="s">
        <v>512</v>
      </c>
      <c r="L848">
        <v>597.79999999999995</v>
      </c>
      <c r="M848" s="3">
        <v>780</v>
      </c>
      <c r="N848" s="3" t="str">
        <f t="shared" si="52"/>
        <v>2007</v>
      </c>
      <c r="O848" s="2">
        <v>611</v>
      </c>
    </row>
    <row r="849" spans="1:27" x14ac:dyDescent="0.35">
      <c r="A849" s="3">
        <v>2022</v>
      </c>
      <c r="B849" s="3">
        <v>11</v>
      </c>
      <c r="C849" s="3">
        <v>1</v>
      </c>
      <c r="D849" s="2">
        <v>372</v>
      </c>
      <c r="E849" s="3">
        <v>4</v>
      </c>
      <c r="F849" s="3" t="s">
        <v>41</v>
      </c>
      <c r="G849" s="3" t="str">
        <f t="shared" si="53"/>
        <v>2013</v>
      </c>
      <c r="H849" s="3">
        <f t="shared" si="51"/>
        <v>9</v>
      </c>
      <c r="I849" s="69"/>
      <c r="J849" s="3" t="s">
        <v>42</v>
      </c>
      <c r="K849" s="3" t="s">
        <v>318</v>
      </c>
      <c r="L849" s="3">
        <v>439.7</v>
      </c>
      <c r="M849" s="3">
        <v>781</v>
      </c>
      <c r="N849" s="3" t="str">
        <f t="shared" si="52"/>
        <v>2011</v>
      </c>
      <c r="O849" s="2">
        <v>372</v>
      </c>
    </row>
    <row r="850" spans="1:27" x14ac:dyDescent="0.35">
      <c r="A850" s="3">
        <v>2024</v>
      </c>
      <c r="B850" s="3">
        <v>8</v>
      </c>
      <c r="C850" s="3">
        <v>9</v>
      </c>
      <c r="D850" s="2">
        <v>713</v>
      </c>
      <c r="E850" s="3">
        <v>3</v>
      </c>
      <c r="F850" s="3" t="s">
        <v>41</v>
      </c>
      <c r="G850" s="3" t="str">
        <f t="shared" si="53"/>
        <v>2013</v>
      </c>
      <c r="H850" s="3">
        <f t="shared" si="51"/>
        <v>11</v>
      </c>
      <c r="I850" s="69"/>
      <c r="J850" t="s">
        <v>42</v>
      </c>
      <c r="K850" t="s">
        <v>318</v>
      </c>
      <c r="L850">
        <v>454.7</v>
      </c>
      <c r="M850" s="3">
        <v>782</v>
      </c>
      <c r="N850" s="3" t="str">
        <f t="shared" si="52"/>
        <v>2011</v>
      </c>
      <c r="O850" s="2">
        <v>713</v>
      </c>
      <c r="AA850">
        <v>8.4700000000000006</v>
      </c>
    </row>
    <row r="851" spans="1:27" x14ac:dyDescent="0.35">
      <c r="A851" s="3">
        <v>2016</v>
      </c>
      <c r="B851" s="3">
        <v>9</v>
      </c>
      <c r="C851" s="3">
        <v>1</v>
      </c>
      <c r="D851" s="2">
        <v>246</v>
      </c>
      <c r="E851" s="3">
        <v>3</v>
      </c>
      <c r="F851" s="3" t="s">
        <v>41</v>
      </c>
      <c r="G851" s="3" t="str">
        <f t="shared" si="53"/>
        <v>2012</v>
      </c>
      <c r="H851" s="3">
        <f t="shared" si="51"/>
        <v>4</v>
      </c>
      <c r="I851" s="69"/>
      <c r="J851" s="3" t="s">
        <v>544</v>
      </c>
      <c r="K851" s="3" t="s">
        <v>461</v>
      </c>
      <c r="L851" s="3">
        <v>480.5</v>
      </c>
      <c r="M851" s="3">
        <v>784</v>
      </c>
      <c r="N851" s="3" t="str">
        <f t="shared" si="52"/>
        <v>2011</v>
      </c>
      <c r="O851" s="2">
        <v>246</v>
      </c>
    </row>
    <row r="852" spans="1:27" x14ac:dyDescent="0.35">
      <c r="A852" s="3">
        <v>2023</v>
      </c>
      <c r="B852" s="3">
        <v>2</v>
      </c>
      <c r="C852" s="3">
        <v>13</v>
      </c>
      <c r="D852" s="2">
        <v>153</v>
      </c>
      <c r="E852" s="3">
        <v>1</v>
      </c>
      <c r="F852" s="3" t="s">
        <v>41</v>
      </c>
      <c r="G852" s="3" t="str">
        <f t="shared" si="53"/>
        <v>2012</v>
      </c>
      <c r="H852" s="3">
        <f t="shared" si="51"/>
        <v>11</v>
      </c>
      <c r="I852" s="69"/>
      <c r="J852" s="3" t="s">
        <v>461</v>
      </c>
      <c r="K852" s="3" t="s">
        <v>461</v>
      </c>
      <c r="L852" s="3">
        <v>519.79999999999995</v>
      </c>
      <c r="M852" s="3">
        <v>785</v>
      </c>
      <c r="N852" s="3" t="str">
        <f t="shared" si="52"/>
        <v>2011</v>
      </c>
      <c r="O852" s="2">
        <v>153</v>
      </c>
    </row>
    <row r="853" spans="1:27" x14ac:dyDescent="0.35">
      <c r="A853" s="3">
        <v>2018</v>
      </c>
      <c r="B853" s="3">
        <v>8</v>
      </c>
      <c r="C853" s="3">
        <v>15</v>
      </c>
      <c r="D853" s="2">
        <v>309</v>
      </c>
      <c r="E853" s="3">
        <v>3</v>
      </c>
      <c r="F853" s="3" t="s">
        <v>41</v>
      </c>
      <c r="G853" s="3" t="str">
        <f t="shared" si="53"/>
        <v>2013</v>
      </c>
      <c r="H853" s="3">
        <f t="shared" si="51"/>
        <v>5</v>
      </c>
      <c r="I853" s="69"/>
      <c r="J853" s="3" t="s">
        <v>49</v>
      </c>
      <c r="K853" s="3" t="s">
        <v>318</v>
      </c>
      <c r="L853" s="3">
        <v>568.5</v>
      </c>
      <c r="M853" s="3">
        <v>785</v>
      </c>
      <c r="N853" s="3" t="str">
        <f t="shared" si="52"/>
        <v>2011</v>
      </c>
      <c r="O853" s="2">
        <v>309</v>
      </c>
    </row>
    <row r="854" spans="1:27" x14ac:dyDescent="0.35">
      <c r="A854" s="3">
        <v>2019</v>
      </c>
      <c r="B854" s="3">
        <v>2</v>
      </c>
      <c r="C854" s="3">
        <v>20</v>
      </c>
      <c r="D854" s="2">
        <v>163</v>
      </c>
      <c r="E854" s="3">
        <v>1</v>
      </c>
      <c r="F854" s="3" t="s">
        <v>45</v>
      </c>
      <c r="G854" s="3" t="str">
        <f t="shared" si="53"/>
        <v>2011</v>
      </c>
      <c r="H854" s="3">
        <f t="shared" si="51"/>
        <v>8</v>
      </c>
      <c r="I854" s="69"/>
      <c r="J854" s="3" t="s">
        <v>610</v>
      </c>
      <c r="K854" s="3" t="s">
        <v>317</v>
      </c>
      <c r="L854" s="3">
        <v>603.1</v>
      </c>
      <c r="M854" s="3">
        <v>786</v>
      </c>
      <c r="N854" s="3" t="str">
        <f t="shared" si="52"/>
        <v>2007</v>
      </c>
      <c r="O854" s="2">
        <v>163</v>
      </c>
    </row>
    <row r="855" spans="1:27" x14ac:dyDescent="0.35">
      <c r="A855" s="3">
        <v>2022</v>
      </c>
      <c r="B855" s="3">
        <v>11</v>
      </c>
      <c r="C855" s="3">
        <v>1</v>
      </c>
      <c r="D855" s="2">
        <v>406</v>
      </c>
      <c r="E855" s="3">
        <v>4</v>
      </c>
      <c r="F855" s="3" t="s">
        <v>41</v>
      </c>
      <c r="G855" s="3" t="str">
        <f t="shared" si="53"/>
        <v>2013</v>
      </c>
      <c r="H855" s="3">
        <f t="shared" si="51"/>
        <v>9</v>
      </c>
      <c r="I855" s="69"/>
      <c r="J855" s="3" t="s">
        <v>509</v>
      </c>
      <c r="K855" s="3" t="s">
        <v>458</v>
      </c>
      <c r="L855" s="3">
        <v>37.5</v>
      </c>
      <c r="M855" s="3">
        <v>790</v>
      </c>
      <c r="N855" s="3" t="str">
        <f t="shared" si="52"/>
        <v>2011</v>
      </c>
      <c r="O855" s="2">
        <v>406</v>
      </c>
      <c r="P855">
        <v>20.8</v>
      </c>
    </row>
    <row r="856" spans="1:27" x14ac:dyDescent="0.35">
      <c r="A856" s="3">
        <v>2024</v>
      </c>
      <c r="B856" s="3">
        <v>1</v>
      </c>
      <c r="C856" s="3">
        <v>17</v>
      </c>
      <c r="D856" s="2">
        <v>585</v>
      </c>
      <c r="E856" s="3">
        <v>1</v>
      </c>
      <c r="F856" s="3" t="s">
        <v>41</v>
      </c>
      <c r="G856" s="3" t="str">
        <f t="shared" si="53"/>
        <v>2013</v>
      </c>
      <c r="H856" s="3">
        <f t="shared" si="51"/>
        <v>11</v>
      </c>
      <c r="I856" s="69"/>
      <c r="J856" t="s">
        <v>583</v>
      </c>
      <c r="K856" s="3" t="s">
        <v>318</v>
      </c>
      <c r="L856">
        <v>554.1</v>
      </c>
      <c r="M856" s="3">
        <v>794</v>
      </c>
      <c r="N856" s="3" t="str">
        <f t="shared" si="52"/>
        <v>2011</v>
      </c>
      <c r="O856" s="2">
        <v>585</v>
      </c>
    </row>
    <row r="857" spans="1:27" x14ac:dyDescent="0.35">
      <c r="A857" s="3">
        <v>2024</v>
      </c>
      <c r="B857" s="3">
        <v>8</v>
      </c>
      <c r="C857" s="3">
        <v>9</v>
      </c>
      <c r="D857" s="2">
        <v>712</v>
      </c>
      <c r="E857" s="3">
        <v>3</v>
      </c>
      <c r="F857" s="3" t="s">
        <v>41</v>
      </c>
      <c r="G857" s="3" t="str">
        <f t="shared" si="53"/>
        <v>2013</v>
      </c>
      <c r="H857" s="3">
        <f t="shared" si="51"/>
        <v>11</v>
      </c>
      <c r="I857" s="69"/>
      <c r="J857" t="s">
        <v>42</v>
      </c>
      <c r="K857" t="s">
        <v>318</v>
      </c>
      <c r="L857">
        <v>537.70000000000005</v>
      </c>
      <c r="M857" s="3">
        <v>794</v>
      </c>
      <c r="N857" s="3" t="str">
        <f t="shared" si="52"/>
        <v>2011</v>
      </c>
      <c r="O857" s="2">
        <v>712</v>
      </c>
    </row>
    <row r="858" spans="1:27" x14ac:dyDescent="0.35">
      <c r="A858" s="3">
        <v>2024</v>
      </c>
      <c r="B858" s="3">
        <v>8</v>
      </c>
      <c r="C858" s="3">
        <v>15</v>
      </c>
      <c r="D858" s="2">
        <v>738</v>
      </c>
      <c r="E858" s="3">
        <v>3</v>
      </c>
      <c r="F858" s="3" t="s">
        <v>225</v>
      </c>
      <c r="G858" s="3" t="str">
        <f t="shared" si="53"/>
        <v>2021</v>
      </c>
      <c r="H858" s="3">
        <f t="shared" si="51"/>
        <v>3</v>
      </c>
      <c r="I858" s="69"/>
      <c r="J858">
        <v>3</v>
      </c>
      <c r="K858">
        <v>3</v>
      </c>
      <c r="L858">
        <v>723.2</v>
      </c>
      <c r="M858" s="3">
        <v>795</v>
      </c>
      <c r="N858" s="3" t="str">
        <f t="shared" si="52"/>
        <v>2021</v>
      </c>
      <c r="O858" s="2">
        <v>738</v>
      </c>
    </row>
    <row r="859" spans="1:27" x14ac:dyDescent="0.35">
      <c r="A859" s="3">
        <v>2016</v>
      </c>
      <c r="B859" s="3">
        <v>9</v>
      </c>
      <c r="C859" s="3">
        <v>1</v>
      </c>
      <c r="D859" s="2">
        <v>262</v>
      </c>
      <c r="E859" s="3">
        <v>3</v>
      </c>
      <c r="F859" s="3" t="s">
        <v>45</v>
      </c>
      <c r="G859" s="3" t="str">
        <f t="shared" si="53"/>
        <v>2011</v>
      </c>
      <c r="H859" s="3">
        <f t="shared" si="51"/>
        <v>5</v>
      </c>
      <c r="I859" s="69"/>
      <c r="J859" s="3" t="s">
        <v>718</v>
      </c>
      <c r="K859" s="3" t="s">
        <v>317</v>
      </c>
      <c r="L859" s="3">
        <v>569.79999999999995</v>
      </c>
      <c r="M859" s="3">
        <v>799</v>
      </c>
      <c r="N859" s="3" t="str">
        <f t="shared" si="52"/>
        <v>2007</v>
      </c>
      <c r="O859" s="2">
        <v>262</v>
      </c>
    </row>
    <row r="860" spans="1:27" x14ac:dyDescent="0.35">
      <c r="A860" s="3">
        <v>2023</v>
      </c>
      <c r="B860" s="3">
        <v>7</v>
      </c>
      <c r="C860" s="3">
        <v>17</v>
      </c>
      <c r="D860" s="2">
        <v>387</v>
      </c>
      <c r="E860" s="3">
        <v>3</v>
      </c>
      <c r="F860" s="3" t="s">
        <v>45</v>
      </c>
      <c r="G860" s="3" t="str">
        <f t="shared" si="53"/>
        <v>2011</v>
      </c>
      <c r="H860" s="3">
        <f t="shared" si="51"/>
        <v>12</v>
      </c>
      <c r="I860" s="69"/>
      <c r="J860" s="3" t="s">
        <v>632</v>
      </c>
      <c r="K860" s="3" t="s">
        <v>317</v>
      </c>
      <c r="L860" s="3">
        <v>48.5</v>
      </c>
      <c r="M860" s="3">
        <v>799</v>
      </c>
      <c r="N860" s="3" t="str">
        <f t="shared" si="52"/>
        <v>2007</v>
      </c>
      <c r="O860" s="2">
        <v>387</v>
      </c>
    </row>
    <row r="861" spans="1:27" x14ac:dyDescent="0.35">
      <c r="A861" s="3">
        <v>2018</v>
      </c>
      <c r="B861" s="3">
        <v>8</v>
      </c>
      <c r="C861" s="3">
        <v>16</v>
      </c>
      <c r="D861" s="2">
        <v>335</v>
      </c>
      <c r="E861" s="3">
        <v>3</v>
      </c>
      <c r="F861" s="3" t="s">
        <v>41</v>
      </c>
      <c r="G861" s="3" t="str">
        <f t="shared" si="53"/>
        <v>2013</v>
      </c>
      <c r="H861" s="3">
        <f t="shared" si="51"/>
        <v>5</v>
      </c>
      <c r="I861" s="69"/>
      <c r="J861" s="3" t="s">
        <v>583</v>
      </c>
      <c r="K861" s="3" t="s">
        <v>318</v>
      </c>
      <c r="L861" s="3">
        <v>613.4</v>
      </c>
      <c r="M861" s="3">
        <v>805</v>
      </c>
      <c r="N861" s="3" t="str">
        <f t="shared" si="52"/>
        <v>2011</v>
      </c>
      <c r="O861" s="2">
        <v>335</v>
      </c>
    </row>
    <row r="862" spans="1:27" x14ac:dyDescent="0.35">
      <c r="A862" s="3">
        <v>2024</v>
      </c>
      <c r="B862" s="3">
        <v>8</v>
      </c>
      <c r="C862" s="3">
        <v>5</v>
      </c>
      <c r="D862" s="2">
        <v>709</v>
      </c>
      <c r="E862" s="3">
        <v>3</v>
      </c>
      <c r="F862" s="3" t="s">
        <v>20</v>
      </c>
      <c r="G862" s="3" t="str">
        <f t="shared" si="53"/>
        <v>2020</v>
      </c>
      <c r="H862" s="3">
        <f t="shared" si="51"/>
        <v>4</v>
      </c>
      <c r="I862" s="69"/>
      <c r="J862" t="s">
        <v>64</v>
      </c>
      <c r="K862">
        <v>7</v>
      </c>
      <c r="L862">
        <v>596.70000000000005</v>
      </c>
      <c r="M862" s="3">
        <v>810</v>
      </c>
      <c r="N862" s="3" t="str">
        <f t="shared" si="52"/>
        <v>2018</v>
      </c>
      <c r="O862" s="2">
        <v>709</v>
      </c>
    </row>
    <row r="863" spans="1:27" x14ac:dyDescent="0.35">
      <c r="A863" s="3">
        <v>2023</v>
      </c>
      <c r="B863" s="3">
        <v>2</v>
      </c>
      <c r="C863" s="3">
        <v>13</v>
      </c>
      <c r="D863" s="2">
        <v>154</v>
      </c>
      <c r="E863" s="3">
        <v>1</v>
      </c>
      <c r="F863" s="3" t="s">
        <v>41</v>
      </c>
      <c r="G863" s="3" t="str">
        <f t="shared" si="53"/>
        <v>2012</v>
      </c>
      <c r="H863" s="3">
        <f t="shared" si="51"/>
        <v>11</v>
      </c>
      <c r="I863" s="69"/>
      <c r="J863" s="3" t="s">
        <v>461</v>
      </c>
      <c r="K863" s="3" t="s">
        <v>461</v>
      </c>
      <c r="L863" s="3">
        <v>567.79999999999995</v>
      </c>
      <c r="M863" s="3">
        <v>812</v>
      </c>
      <c r="N863" s="3" t="str">
        <f t="shared" si="52"/>
        <v>2011</v>
      </c>
      <c r="O863" s="2">
        <v>154</v>
      </c>
    </row>
    <row r="864" spans="1:27" x14ac:dyDescent="0.35">
      <c r="A864" s="3">
        <v>2023</v>
      </c>
      <c r="B864" s="3">
        <v>11</v>
      </c>
      <c r="C864" s="3">
        <v>7</v>
      </c>
      <c r="D864" s="2">
        <v>519</v>
      </c>
      <c r="E864" s="3">
        <v>4</v>
      </c>
      <c r="F864" s="3" t="s">
        <v>41</v>
      </c>
      <c r="G864" s="3" t="str">
        <f t="shared" si="53"/>
        <v>2013</v>
      </c>
      <c r="H864" s="3">
        <f t="shared" si="51"/>
        <v>10</v>
      </c>
      <c r="I864" s="69"/>
      <c r="J864" s="3" t="s">
        <v>583</v>
      </c>
      <c r="K864" s="3" t="s">
        <v>318</v>
      </c>
      <c r="L864" s="3">
        <v>530.20000000000005</v>
      </c>
      <c r="M864" s="3">
        <v>815</v>
      </c>
      <c r="N864" s="3" t="str">
        <f t="shared" si="52"/>
        <v>2011</v>
      </c>
      <c r="O864" s="2">
        <v>519</v>
      </c>
    </row>
    <row r="865" spans="1:17" x14ac:dyDescent="0.35">
      <c r="A865" s="3">
        <v>2024</v>
      </c>
      <c r="B865" s="3">
        <v>3</v>
      </c>
      <c r="C865" s="3">
        <v>14</v>
      </c>
      <c r="D865" s="2">
        <v>694</v>
      </c>
      <c r="E865" s="3">
        <v>2</v>
      </c>
      <c r="F865" s="3" t="s">
        <v>20</v>
      </c>
      <c r="G865" s="3" t="str">
        <f t="shared" si="53"/>
        <v>2019</v>
      </c>
      <c r="H865" s="3">
        <f t="shared" si="51"/>
        <v>5</v>
      </c>
      <c r="I865" s="69"/>
      <c r="J865" t="s">
        <v>232</v>
      </c>
      <c r="K865">
        <v>23</v>
      </c>
      <c r="L865">
        <v>725</v>
      </c>
      <c r="M865" s="3">
        <v>815</v>
      </c>
      <c r="N865" s="3" t="str">
        <f t="shared" si="52"/>
        <v>2018</v>
      </c>
      <c r="O865" s="2">
        <v>694</v>
      </c>
    </row>
    <row r="866" spans="1:17" x14ac:dyDescent="0.35">
      <c r="A866" s="3">
        <v>2016</v>
      </c>
      <c r="B866" s="3">
        <v>11</v>
      </c>
      <c r="C866" s="3">
        <v>7</v>
      </c>
      <c r="D866" s="2">
        <v>207</v>
      </c>
      <c r="E866" s="3">
        <v>4</v>
      </c>
      <c r="F866" s="3" t="s">
        <v>45</v>
      </c>
      <c r="G866" s="3" t="str">
        <f t="shared" si="53"/>
        <v>2009</v>
      </c>
      <c r="H866" s="3">
        <f t="shared" si="51"/>
        <v>7</v>
      </c>
      <c r="I866" s="69"/>
      <c r="J866" s="3" t="s">
        <v>662</v>
      </c>
      <c r="K866" s="3" t="s">
        <v>488</v>
      </c>
      <c r="L866" s="3">
        <v>568.4</v>
      </c>
      <c r="M866" s="3">
        <v>820</v>
      </c>
      <c r="N866" s="3" t="str">
        <f t="shared" si="52"/>
        <v>2007</v>
      </c>
      <c r="O866" s="2">
        <v>207</v>
      </c>
    </row>
    <row r="867" spans="1:17" x14ac:dyDescent="0.35">
      <c r="A867" s="3">
        <v>2018</v>
      </c>
      <c r="B867" s="3">
        <v>8</v>
      </c>
      <c r="C867" s="3">
        <v>16</v>
      </c>
      <c r="D867" s="2">
        <v>336</v>
      </c>
      <c r="E867" s="3">
        <v>3</v>
      </c>
      <c r="F867" s="3" t="s">
        <v>41</v>
      </c>
      <c r="G867" s="3" t="str">
        <f t="shared" si="53"/>
        <v>2013</v>
      </c>
      <c r="H867" s="3">
        <f t="shared" si="51"/>
        <v>5</v>
      </c>
      <c r="I867" s="69"/>
      <c r="J867" s="3" t="s">
        <v>583</v>
      </c>
      <c r="K867" s="3" t="s">
        <v>318</v>
      </c>
      <c r="L867" s="3">
        <v>550.29999999999995</v>
      </c>
      <c r="M867" s="3">
        <v>823</v>
      </c>
      <c r="N867" s="3" t="str">
        <f t="shared" si="52"/>
        <v>2011</v>
      </c>
      <c r="O867" s="2">
        <v>336</v>
      </c>
    </row>
    <row r="868" spans="1:17" x14ac:dyDescent="0.35">
      <c r="A868" s="3">
        <v>2019</v>
      </c>
      <c r="B868" s="3">
        <v>2</v>
      </c>
      <c r="C868" s="3">
        <v>18</v>
      </c>
      <c r="D868" s="2">
        <v>175</v>
      </c>
      <c r="E868" s="3">
        <v>1</v>
      </c>
      <c r="F868" s="3" t="s">
        <v>41</v>
      </c>
      <c r="G868" s="3" t="str">
        <f t="shared" si="53"/>
        <v>2013</v>
      </c>
      <c r="H868" s="3">
        <f t="shared" si="51"/>
        <v>6</v>
      </c>
      <c r="I868" s="69"/>
      <c r="J868" s="3" t="s">
        <v>42</v>
      </c>
      <c r="K868" s="3" t="s">
        <v>318</v>
      </c>
      <c r="L868" s="3">
        <v>654.70000000000005</v>
      </c>
      <c r="M868" s="3">
        <v>830</v>
      </c>
      <c r="N868" s="3" t="str">
        <f t="shared" si="52"/>
        <v>2011</v>
      </c>
      <c r="O868" s="2">
        <v>175</v>
      </c>
    </row>
    <row r="869" spans="1:17" x14ac:dyDescent="0.35">
      <c r="A869" s="3">
        <v>2017</v>
      </c>
      <c r="B869" s="3">
        <v>11</v>
      </c>
      <c r="C869" s="3">
        <v>9</v>
      </c>
      <c r="D869" s="2">
        <v>78</v>
      </c>
      <c r="E869" s="15">
        <v>4</v>
      </c>
      <c r="F869" s="3" t="s">
        <v>45</v>
      </c>
      <c r="G869" s="3" t="str">
        <f t="shared" si="53"/>
        <v>2011</v>
      </c>
      <c r="H869" s="3">
        <f t="shared" si="51"/>
        <v>6</v>
      </c>
      <c r="I869" s="69"/>
      <c r="J869" s="3" t="s">
        <v>317</v>
      </c>
      <c r="K869" s="3" t="s">
        <v>317</v>
      </c>
      <c r="L869" s="3">
        <v>581.9</v>
      </c>
      <c r="M869" s="3">
        <v>848</v>
      </c>
      <c r="N869" s="3" t="str">
        <f t="shared" si="52"/>
        <v>2007</v>
      </c>
      <c r="O869" s="2">
        <v>78</v>
      </c>
    </row>
    <row r="870" spans="1:17" x14ac:dyDescent="0.35">
      <c r="A870" s="3">
        <v>2011</v>
      </c>
      <c r="B870" s="3">
        <v>11</v>
      </c>
      <c r="C870" s="3">
        <v>14</v>
      </c>
      <c r="D870" s="2">
        <v>613</v>
      </c>
      <c r="E870" s="3">
        <v>4</v>
      </c>
      <c r="F870" s="3" t="s">
        <v>45</v>
      </c>
      <c r="G870" s="3" t="str">
        <f t="shared" si="53"/>
        <v>2009</v>
      </c>
      <c r="H870" s="3">
        <f t="shared" si="51"/>
        <v>2</v>
      </c>
      <c r="I870" s="69"/>
      <c r="J870" t="s">
        <v>711</v>
      </c>
      <c r="K870" s="3" t="s">
        <v>512</v>
      </c>
      <c r="L870">
        <v>616.4</v>
      </c>
      <c r="M870" s="3">
        <v>852</v>
      </c>
      <c r="N870" s="3" t="str">
        <f t="shared" si="52"/>
        <v>2007</v>
      </c>
      <c r="O870" s="2">
        <v>613</v>
      </c>
    </row>
    <row r="871" spans="1:17" x14ac:dyDescent="0.35">
      <c r="A871" s="3">
        <v>2022</v>
      </c>
      <c r="B871" s="3">
        <v>1</v>
      </c>
      <c r="C871" s="3" t="s">
        <v>28</v>
      </c>
      <c r="D871" s="2">
        <v>23</v>
      </c>
      <c r="E871" s="3">
        <v>1</v>
      </c>
      <c r="F871" s="3" t="s">
        <v>20</v>
      </c>
      <c r="G871" s="3" t="str">
        <f t="shared" si="53"/>
        <v>2020</v>
      </c>
      <c r="H871" s="3">
        <f t="shared" si="51"/>
        <v>2</v>
      </c>
      <c r="I871" s="69"/>
      <c r="J871" s="3">
        <v>37</v>
      </c>
      <c r="K871" s="3">
        <v>37</v>
      </c>
      <c r="L871" s="3">
        <v>264.7</v>
      </c>
      <c r="M871" s="3">
        <v>853</v>
      </c>
      <c r="N871" s="3" t="str">
        <f t="shared" si="52"/>
        <v>2018</v>
      </c>
      <c r="O871" s="2">
        <v>23</v>
      </c>
      <c r="Q871" s="2">
        <v>108.77</v>
      </c>
    </row>
    <row r="872" spans="1:17" x14ac:dyDescent="0.35">
      <c r="A872" s="3">
        <v>2011</v>
      </c>
      <c r="B872" s="3">
        <v>11</v>
      </c>
      <c r="C872" s="3">
        <v>14</v>
      </c>
      <c r="D872" s="2">
        <v>615</v>
      </c>
      <c r="E872" s="3">
        <v>4</v>
      </c>
      <c r="F872" s="3" t="s">
        <v>45</v>
      </c>
      <c r="G872" s="3" t="str">
        <f t="shared" si="53"/>
        <v>2009</v>
      </c>
      <c r="H872" s="3">
        <f t="shared" si="51"/>
        <v>2</v>
      </c>
      <c r="I872" s="69"/>
      <c r="J872" t="s">
        <v>711</v>
      </c>
      <c r="K872" s="3" t="s">
        <v>512</v>
      </c>
      <c r="L872">
        <v>564.20000000000005</v>
      </c>
      <c r="M872" s="3">
        <v>924</v>
      </c>
      <c r="N872" s="3" t="str">
        <f t="shared" si="52"/>
        <v>2007</v>
      </c>
      <c r="O872" s="2">
        <v>615</v>
      </c>
    </row>
  </sheetData>
  <autoFilter ref="AD1:AJ39" xr:uid="{2D39CB06-72A8-4AA2-A82C-DF75C1EA86A1}"/>
  <conditionalFormatting sqref="D1">
    <cfRule type="cellIs" dxfId="6" priority="3" operator="equal">
      <formula>559</formula>
    </cfRule>
  </conditionalFormatting>
  <conditionalFormatting sqref="D1:D872 O1:O872 Q21 Q53 Q209 Q216 Q300 Q319 Q363 Q574 Q647">
    <cfRule type="cellIs" dxfId="5" priority="2" operator="equal">
      <formula>"559, 692"</formula>
    </cfRule>
  </conditionalFormatting>
  <conditionalFormatting sqref="O1">
    <cfRule type="cellIs" dxfId="4" priority="1" operator="equal">
      <formula>559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9B09-208F-489E-9679-708E3C44386B}">
  <dimension ref="A1:BA846"/>
  <sheetViews>
    <sheetView tabSelected="1" topLeftCell="AH1" workbookViewId="0">
      <pane ySplit="1" topLeftCell="A2" activePane="bottomLeft" state="frozen"/>
      <selection activeCell="M1" sqref="M1"/>
      <selection pane="bottomLeft" activeCell="J1" sqref="J1:J1048576"/>
    </sheetView>
  </sheetViews>
  <sheetFormatPr defaultRowHeight="15.5" x14ac:dyDescent="0.35"/>
  <cols>
    <col min="1" max="1" width="6.4140625" customWidth="1"/>
    <col min="2" max="2" width="7.25" customWidth="1"/>
    <col min="3" max="3" width="5.5" customWidth="1"/>
    <col min="5" max="5" width="12.75" bestFit="1" customWidth="1"/>
    <col min="6" max="6" width="9.9140625" customWidth="1"/>
    <col min="7" max="7" width="13.25" bestFit="1" customWidth="1"/>
    <col min="8" max="9" width="13.25" customWidth="1"/>
    <col min="10" max="10" width="23.83203125" style="50" bestFit="1" customWidth="1"/>
    <col min="11" max="11" width="14.58203125" bestFit="1" customWidth="1"/>
    <col min="12" max="12" width="7" bestFit="1" customWidth="1"/>
    <col min="13" max="13" width="13.9140625" bestFit="1" customWidth="1"/>
    <col min="14" max="14" width="8.58203125" customWidth="1"/>
    <col min="15" max="15" width="11.33203125" bestFit="1" customWidth="1"/>
    <col min="27" max="27" width="8.6640625" style="35"/>
    <col min="43" max="43" width="29.1640625" bestFit="1" customWidth="1"/>
  </cols>
  <sheetData>
    <row r="1" spans="1:53" x14ac:dyDescent="0.35">
      <c r="A1" s="1" t="s">
        <v>3</v>
      </c>
      <c r="B1" s="1" t="s">
        <v>4</v>
      </c>
      <c r="C1" s="1" t="s">
        <v>5</v>
      </c>
      <c r="D1" s="17" t="s">
        <v>1189</v>
      </c>
      <c r="E1" s="1" t="s">
        <v>436</v>
      </c>
      <c r="F1" s="1" t="s">
        <v>437</v>
      </c>
      <c r="G1" s="1" t="s">
        <v>1</v>
      </c>
      <c r="H1" s="1" t="s">
        <v>438</v>
      </c>
      <c r="I1" s="1" t="s">
        <v>439</v>
      </c>
      <c r="J1" s="48"/>
      <c r="K1" s="1" t="s">
        <v>440</v>
      </c>
      <c r="L1" s="1" t="s">
        <v>2</v>
      </c>
      <c r="M1" s="1" t="s">
        <v>441</v>
      </c>
      <c r="N1" s="1" t="s">
        <v>442</v>
      </c>
      <c r="O1" s="1" t="s">
        <v>443</v>
      </c>
      <c r="P1" s="17" t="s">
        <v>1189</v>
      </c>
      <c r="Q1" s="1" t="s">
        <v>1199</v>
      </c>
      <c r="R1" s="1" t="s">
        <v>1200</v>
      </c>
      <c r="S1" s="1" t="s">
        <v>1201</v>
      </c>
      <c r="T1" s="1" t="s">
        <v>1202</v>
      </c>
      <c r="U1" s="1" t="s">
        <v>1203</v>
      </c>
      <c r="V1" s="1"/>
      <c r="W1" s="1"/>
      <c r="X1" s="1"/>
      <c r="AA1" s="35" t="s">
        <v>1271</v>
      </c>
      <c r="AC1" s="18" t="s">
        <v>1288</v>
      </c>
      <c r="AD1" s="18" t="s">
        <v>1236</v>
      </c>
      <c r="AE1" s="18" t="s">
        <v>1237</v>
      </c>
      <c r="AF1" s="18" t="s">
        <v>1238</v>
      </c>
      <c r="AG1" s="18" t="s">
        <v>1246</v>
      </c>
      <c r="AP1" s="30" t="s">
        <v>1236</v>
      </c>
      <c r="AQ1" s="7" t="s">
        <v>320</v>
      </c>
      <c r="AR1" s="7" t="s">
        <v>414</v>
      </c>
      <c r="AS1" s="7" t="s">
        <v>415</v>
      </c>
      <c r="AT1" s="7" t="s">
        <v>321</v>
      </c>
      <c r="AU1" s="7" t="s">
        <v>322</v>
      </c>
      <c r="AV1" s="7" t="s">
        <v>16</v>
      </c>
      <c r="AW1" s="7" t="s">
        <v>17</v>
      </c>
      <c r="AX1" s="8" t="s">
        <v>323</v>
      </c>
      <c r="AY1" s="8" t="s">
        <v>324</v>
      </c>
      <c r="AZ1" s="8" t="s">
        <v>416</v>
      </c>
      <c r="BA1" s="8" t="s">
        <v>417</v>
      </c>
    </row>
    <row r="2" spans="1:53" x14ac:dyDescent="0.35">
      <c r="A2" s="3">
        <v>2024</v>
      </c>
      <c r="B2" s="3">
        <v>8</v>
      </c>
      <c r="C2" s="3">
        <v>19</v>
      </c>
      <c r="D2" s="2">
        <v>785</v>
      </c>
      <c r="E2" s="3" t="s">
        <v>281</v>
      </c>
      <c r="F2" s="3">
        <v>3</v>
      </c>
      <c r="G2" s="3" t="s">
        <v>225</v>
      </c>
      <c r="H2" s="3" t="str">
        <f t="shared" ref="H2:H33" si="0">IF(L2="A55","2009",IF(L2="A59","2009",IF(L2="A60","2010",IF(L2="A62","2011",IF(L2="CP","2013",IF(L2="MD","2012",IF(L2="TS","2013",IF(L2="DL","2018",IF(L2="SCU","2018",IF(L2="NCU","2018",IF(L2="C1C","2018",IF(L2="C1E","2018",IF(L2="RS1S","2018",IF(L2="C2B","2018",IF(L2="DB3","2018",IF(AND(L2=6,G2="SRS"),"2018",IF(AND(L2=7,G2="SRS"),"2020",IF(AND(L2=8,G2="SRS"),"2020",IF(L2=23,"2019",IF(AND(L2=7,G2="WCA 3B"),"2017",IF(AND(L2=8,G2="WCA 3B"),"2019",IF(L2=1,"2021",IF(L2=2,"2022",IF(L2=3,"2021",IF(L2=4,"2021",IF(L2=5,"2022",IF(AND(L2=6,G2="WCA 3A"),"2022",IF(L2=9,"2023",IF(L2=10,"2023",IF(L2=37,"2020"))))))))))))))))))))))))))))))</f>
        <v>2021</v>
      </c>
      <c r="I2" s="3">
        <v>3</v>
      </c>
      <c r="J2" s="69"/>
      <c r="K2">
        <v>3</v>
      </c>
      <c r="L2">
        <v>3</v>
      </c>
      <c r="M2">
        <v>75.2</v>
      </c>
      <c r="N2" s="3">
        <v>42.8</v>
      </c>
      <c r="O2" s="3" t="str">
        <f t="shared" ref="O2:O65" si="1">IF(G2="PHD", "2007", IF(G2="TSL", "2011", IF(G2 = "SRS", "2018", IF(G2="WCA 3B", "2017", IF(G2="WCA 3A", "2021")))))</f>
        <v>2021</v>
      </c>
      <c r="P2" s="2">
        <v>785</v>
      </c>
      <c r="AB2" t="s">
        <v>1203</v>
      </c>
      <c r="AC2">
        <v>6.21</v>
      </c>
      <c r="AD2">
        <f>((2.207)*(LOG(AC2))+(-0.9084))</f>
        <v>0.84195316158971234</v>
      </c>
      <c r="AE2">
        <f>10^AD2</f>
        <v>6.9494936365751183</v>
      </c>
      <c r="AP2" s="35"/>
      <c r="AQ2" t="s">
        <v>1295</v>
      </c>
      <c r="AR2" t="s">
        <v>1296</v>
      </c>
      <c r="AS2" t="s">
        <v>1297</v>
      </c>
      <c r="AT2" t="s">
        <v>431</v>
      </c>
      <c r="AU2" t="s">
        <v>427</v>
      </c>
      <c r="AV2" s="10">
        <v>2.2538999999999998</v>
      </c>
      <c r="AW2" s="10">
        <v>-1.3694</v>
      </c>
      <c r="AX2" s="10">
        <v>0.81210000000000004</v>
      </c>
      <c r="AY2" s="10">
        <v>44</v>
      </c>
      <c r="AZ2" s="10">
        <v>4</v>
      </c>
      <c r="BA2" s="10">
        <v>38.1</v>
      </c>
    </row>
    <row r="3" spans="1:53" x14ac:dyDescent="0.35">
      <c r="A3" s="3">
        <v>2023</v>
      </c>
      <c r="B3" s="3">
        <v>8</v>
      </c>
      <c r="C3" s="3">
        <v>2</v>
      </c>
      <c r="D3" s="2">
        <v>429</v>
      </c>
      <c r="E3" s="3" t="s">
        <v>890</v>
      </c>
      <c r="F3" s="3">
        <v>3</v>
      </c>
      <c r="G3" s="3" t="s">
        <v>225</v>
      </c>
      <c r="H3" s="3" t="str">
        <f t="shared" si="0"/>
        <v>2022</v>
      </c>
      <c r="I3" s="3">
        <v>1</v>
      </c>
      <c r="J3" s="69"/>
      <c r="K3" s="3" t="s">
        <v>67</v>
      </c>
      <c r="L3" s="3">
        <v>2</v>
      </c>
      <c r="M3" s="3">
        <v>2.5</v>
      </c>
      <c r="N3" s="3">
        <v>139</v>
      </c>
      <c r="O3" s="3" t="str">
        <f t="shared" si="1"/>
        <v>2021</v>
      </c>
      <c r="P3" s="2">
        <v>429</v>
      </c>
      <c r="W3" s="70" t="s">
        <v>1290</v>
      </c>
      <c r="X3" s="27" t="s">
        <v>224</v>
      </c>
      <c r="Y3" s="28" t="s">
        <v>96</v>
      </c>
      <c r="AB3" t="s">
        <v>1202</v>
      </c>
      <c r="AC3">
        <v>8.1199999999999992</v>
      </c>
      <c r="AD3">
        <f t="shared" ref="AD3:AD25" si="2">((2.207)*(LOG(AC3))+(-0.9084))</f>
        <v>1.0989901565352738</v>
      </c>
      <c r="AE3">
        <f t="shared" ref="AE3:AE25" si="3">10^AD3</f>
        <v>12.560014955769393</v>
      </c>
      <c r="AF3">
        <f t="shared" ref="AF3:AF33" si="4">AE3/1000</f>
        <v>1.2560014955769394E-2</v>
      </c>
      <c r="AG3">
        <f t="shared" ref="AG3:AG26" si="5">5.44*AF3</f>
        <v>6.8326481359385502E-2</v>
      </c>
      <c r="AP3" s="35"/>
      <c r="AQ3" s="9" t="s">
        <v>428</v>
      </c>
      <c r="AR3" t="s">
        <v>429</v>
      </c>
      <c r="AS3" t="s">
        <v>430</v>
      </c>
      <c r="AT3" t="s">
        <v>431</v>
      </c>
      <c r="AU3" t="s">
        <v>427</v>
      </c>
      <c r="AV3" s="10">
        <v>2.2071000000000001</v>
      </c>
      <c r="AW3" s="10">
        <v>-0.90839999999999999</v>
      </c>
      <c r="AX3" s="10">
        <v>0.38109999999999999</v>
      </c>
      <c r="AY3" s="10">
        <v>35</v>
      </c>
      <c r="AZ3" s="10">
        <v>6.5</v>
      </c>
      <c r="BA3" s="10">
        <v>10</v>
      </c>
    </row>
    <row r="4" spans="1:53" x14ac:dyDescent="0.35">
      <c r="A4" s="3">
        <v>2023</v>
      </c>
      <c r="B4" s="3">
        <v>10</v>
      </c>
      <c r="C4" s="3">
        <v>31</v>
      </c>
      <c r="D4" s="2">
        <v>520</v>
      </c>
      <c r="E4" s="3" t="s">
        <v>972</v>
      </c>
      <c r="F4" s="3">
        <v>4</v>
      </c>
      <c r="G4" s="3" t="s">
        <v>225</v>
      </c>
      <c r="H4" s="3" t="str">
        <f t="shared" si="0"/>
        <v>2022</v>
      </c>
      <c r="I4" s="3">
        <v>1</v>
      </c>
      <c r="J4" s="69"/>
      <c r="K4" s="3" t="s">
        <v>67</v>
      </c>
      <c r="L4" s="3">
        <v>2</v>
      </c>
      <c r="M4" s="3">
        <v>1.5</v>
      </c>
      <c r="N4" s="3">
        <v>140</v>
      </c>
      <c r="O4" s="3" t="str">
        <f t="shared" si="1"/>
        <v>2021</v>
      </c>
      <c r="P4" s="2">
        <v>520</v>
      </c>
      <c r="W4" s="25" cm="1">
        <f t="array" ref="W4">[1]!MEAN(S2:U846)</f>
        <v>6.8387500000000001</v>
      </c>
      <c r="X4" s="29" cm="1">
        <f t="array" ref="X4">[1]!STDERR(S2:U846)</f>
        <v>0.16076730923104549</v>
      </c>
      <c r="Y4" s="26">
        <f>_xlfn.STDEV.S(S2:U846)</f>
        <v>0.7875957498725944</v>
      </c>
      <c r="AB4" t="s">
        <v>1202</v>
      </c>
      <c r="AC4">
        <v>7.89</v>
      </c>
      <c r="AD4">
        <f t="shared" si="2"/>
        <v>1.0714489460831906</v>
      </c>
      <c r="AE4">
        <f t="shared" si="3"/>
        <v>11.788239372857694</v>
      </c>
      <c r="AF4">
        <f t="shared" si="4"/>
        <v>1.1788239372857693E-2</v>
      </c>
      <c r="AG4">
        <f t="shared" si="5"/>
        <v>6.412802218834586E-2</v>
      </c>
      <c r="AH4" s="18"/>
    </row>
    <row r="5" spans="1:53" x14ac:dyDescent="0.35">
      <c r="A5" s="3">
        <v>2023</v>
      </c>
      <c r="B5" s="3">
        <v>11</v>
      </c>
      <c r="C5" s="3">
        <v>3</v>
      </c>
      <c r="D5" s="2">
        <v>534</v>
      </c>
      <c r="E5" s="3" t="s">
        <v>986</v>
      </c>
      <c r="F5" s="3">
        <v>4</v>
      </c>
      <c r="G5" s="3" t="s">
        <v>225</v>
      </c>
      <c r="H5" s="3" t="str">
        <f t="shared" si="0"/>
        <v>2022</v>
      </c>
      <c r="I5" s="3">
        <v>1</v>
      </c>
      <c r="J5" s="69"/>
      <c r="K5" s="3">
        <v>2</v>
      </c>
      <c r="L5" s="3">
        <v>2</v>
      </c>
      <c r="M5" s="3">
        <v>2.5</v>
      </c>
      <c r="N5" s="3">
        <v>145</v>
      </c>
      <c r="O5" s="3" t="str">
        <f t="shared" si="1"/>
        <v>2021</v>
      </c>
      <c r="P5" s="2">
        <v>534</v>
      </c>
      <c r="AB5" t="s">
        <v>1202</v>
      </c>
      <c r="AC5">
        <v>7.81</v>
      </c>
      <c r="AD5">
        <f t="shared" si="2"/>
        <v>1.0616808317672017</v>
      </c>
      <c r="AE5">
        <f t="shared" si="3"/>
        <v>11.526058825744441</v>
      </c>
      <c r="AF5">
        <f t="shared" si="4"/>
        <v>1.152605882574444E-2</v>
      </c>
      <c r="AG5">
        <f t="shared" si="5"/>
        <v>6.2701760012049759E-2</v>
      </c>
    </row>
    <row r="6" spans="1:53" x14ac:dyDescent="0.35">
      <c r="A6" s="3">
        <v>2023</v>
      </c>
      <c r="B6" s="3">
        <v>11</v>
      </c>
      <c r="C6" s="3">
        <v>14</v>
      </c>
      <c r="D6" s="2">
        <v>518</v>
      </c>
      <c r="E6" s="3" t="s">
        <v>970</v>
      </c>
      <c r="F6" s="3">
        <v>4</v>
      </c>
      <c r="G6" s="3" t="s">
        <v>225</v>
      </c>
      <c r="H6" s="3" t="str">
        <f t="shared" si="0"/>
        <v>2021</v>
      </c>
      <c r="I6" s="3">
        <v>2</v>
      </c>
      <c r="J6" s="69"/>
      <c r="K6" s="3" t="s">
        <v>227</v>
      </c>
      <c r="L6" s="3">
        <v>4</v>
      </c>
      <c r="M6" s="3">
        <v>2.1</v>
      </c>
      <c r="N6" s="3">
        <v>146</v>
      </c>
      <c r="O6" s="3" t="str">
        <f t="shared" si="1"/>
        <v>2021</v>
      </c>
      <c r="P6" s="2">
        <v>518</v>
      </c>
      <c r="AB6" t="s">
        <v>1202</v>
      </c>
      <c r="AC6">
        <v>7.67</v>
      </c>
      <c r="AD6">
        <f t="shared" si="2"/>
        <v>1.0443433682354009</v>
      </c>
      <c r="AE6">
        <f t="shared" si="3"/>
        <v>11.074990649767148</v>
      </c>
      <c r="AF6">
        <f t="shared" si="4"/>
        <v>1.1074990649767148E-2</v>
      </c>
      <c r="AG6">
        <f t="shared" si="5"/>
        <v>6.0247949134733289E-2</v>
      </c>
      <c r="AI6" s="66" t="s">
        <v>1289</v>
      </c>
      <c r="AJ6" s="67"/>
      <c r="AK6" s="67"/>
      <c r="AL6" s="67"/>
      <c r="AM6" s="67"/>
      <c r="AN6" s="68"/>
    </row>
    <row r="7" spans="1:53" x14ac:dyDescent="0.35">
      <c r="A7" s="3">
        <v>2024</v>
      </c>
      <c r="B7" s="3">
        <v>1</v>
      </c>
      <c r="C7" s="3">
        <v>19</v>
      </c>
      <c r="D7" s="2">
        <v>575</v>
      </c>
      <c r="E7" s="3" t="s">
        <v>1019</v>
      </c>
      <c r="F7" s="3">
        <v>1</v>
      </c>
      <c r="G7" s="3" t="s">
        <v>41</v>
      </c>
      <c r="H7" s="3" t="str">
        <f t="shared" si="0"/>
        <v>2013</v>
      </c>
      <c r="I7" s="3">
        <v>11</v>
      </c>
      <c r="J7" s="69"/>
      <c r="K7" t="s">
        <v>509</v>
      </c>
      <c r="L7" s="3" t="s">
        <v>458</v>
      </c>
      <c r="M7">
        <v>6.7</v>
      </c>
      <c r="N7" s="3">
        <v>150</v>
      </c>
      <c r="O7" s="3" t="str">
        <f t="shared" si="1"/>
        <v>2011</v>
      </c>
      <c r="P7" s="2">
        <v>575</v>
      </c>
      <c r="AB7" t="s">
        <v>1202</v>
      </c>
      <c r="AC7">
        <v>7.63</v>
      </c>
      <c r="AD7">
        <f t="shared" si="2"/>
        <v>1.0393316552664214</v>
      </c>
      <c r="AE7">
        <f t="shared" si="3"/>
        <v>10.947921009532802</v>
      </c>
      <c r="AF7">
        <f t="shared" si="4"/>
        <v>1.0947921009532803E-2</v>
      </c>
      <c r="AG7">
        <f t="shared" si="5"/>
        <v>5.955669029185845E-2</v>
      </c>
      <c r="AI7" s="23" t="s">
        <v>1233</v>
      </c>
      <c r="AJ7" s="65" t="s">
        <v>1232</v>
      </c>
      <c r="AK7" s="61"/>
      <c r="AL7" s="61" t="s">
        <v>1266</v>
      </c>
      <c r="AM7" s="61" t="s">
        <v>1277</v>
      </c>
      <c r="AN7" s="22" t="s">
        <v>1278</v>
      </c>
    </row>
    <row r="8" spans="1:53" x14ac:dyDescent="0.35">
      <c r="A8" s="3">
        <v>2016</v>
      </c>
      <c r="B8" s="3">
        <v>11</v>
      </c>
      <c r="C8" s="3">
        <v>7</v>
      </c>
      <c r="D8" s="2">
        <v>228</v>
      </c>
      <c r="E8" s="3" t="s">
        <v>686</v>
      </c>
      <c r="F8" s="3">
        <v>4</v>
      </c>
      <c r="G8" s="3" t="s">
        <v>45</v>
      </c>
      <c r="H8" s="3" t="str">
        <f t="shared" si="0"/>
        <v>2009</v>
      </c>
      <c r="I8" s="3">
        <v>7</v>
      </c>
      <c r="J8" s="69"/>
      <c r="K8" s="3" t="s">
        <v>671</v>
      </c>
      <c r="L8" s="3" t="s">
        <v>512</v>
      </c>
      <c r="M8" s="3">
        <v>0.2</v>
      </c>
      <c r="N8" s="3">
        <v>153</v>
      </c>
      <c r="O8" s="3" t="str">
        <f t="shared" si="1"/>
        <v>2007</v>
      </c>
      <c r="P8" s="2">
        <v>228</v>
      </c>
      <c r="AB8" t="s">
        <v>1202</v>
      </c>
      <c r="AC8">
        <v>7.59</v>
      </c>
      <c r="AD8">
        <f t="shared" si="2"/>
        <v>1.0342935994013249</v>
      </c>
      <c r="AE8">
        <f t="shared" si="3"/>
        <v>10.821652884939956</v>
      </c>
      <c r="AF8">
        <f t="shared" si="4"/>
        <v>1.0821652884939956E-2</v>
      </c>
      <c r="AG8">
        <f t="shared" si="5"/>
        <v>5.8869791694073366E-2</v>
      </c>
      <c r="AI8" s="21" cm="1">
        <f t="array" ref="AI8">[2]!MEAN(AF2:AF33)</f>
        <v>1.3110277134135375E-2</v>
      </c>
      <c r="AJ8" s="61" cm="1">
        <f t="array" ref="AJ8">[1]!MEAN(AG2:AG33)</f>
        <v>6.9804239740851898E-2</v>
      </c>
      <c r="AK8" s="61" cm="1">
        <f t="array" ref="AK8">[1]!STDERR(AE2:AE33)</f>
        <v>1.6541432884444094</v>
      </c>
      <c r="AL8" s="61" cm="1">
        <f t="array" ref="AL8">[1]!STDERR(AG2:AG33)</f>
        <v>9.4518310653267934E-3</v>
      </c>
      <c r="AM8" s="61">
        <f>STDEV(AG2:AG33)</f>
        <v>5.0014388866098783E-2</v>
      </c>
      <c r="AN8" s="22">
        <f>_xlfn.STDEV.P(AE2:AE33)</f>
        <v>9.2098800524152455</v>
      </c>
    </row>
    <row r="9" spans="1:53" x14ac:dyDescent="0.35">
      <c r="A9" s="3">
        <v>2016</v>
      </c>
      <c r="B9" s="3">
        <v>11</v>
      </c>
      <c r="C9" s="3">
        <v>7</v>
      </c>
      <c r="D9" s="2">
        <v>230</v>
      </c>
      <c r="E9" s="3" t="s">
        <v>688</v>
      </c>
      <c r="F9" s="3">
        <v>4</v>
      </c>
      <c r="G9" s="3" t="s">
        <v>45</v>
      </c>
      <c r="H9" s="3" t="str">
        <f t="shared" si="0"/>
        <v>2009</v>
      </c>
      <c r="I9" s="3">
        <v>7</v>
      </c>
      <c r="J9" s="69"/>
      <c r="K9" s="3" t="s">
        <v>671</v>
      </c>
      <c r="L9" s="3" t="s">
        <v>512</v>
      </c>
      <c r="M9" s="3">
        <v>2.2999999999999998</v>
      </c>
      <c r="N9" s="3">
        <v>155</v>
      </c>
      <c r="O9" s="3" t="str">
        <f t="shared" si="1"/>
        <v>2007</v>
      </c>
      <c r="P9" s="2">
        <v>230</v>
      </c>
      <c r="AB9" t="s">
        <v>1202</v>
      </c>
      <c r="AC9">
        <v>7.24</v>
      </c>
      <c r="AD9">
        <f t="shared" si="2"/>
        <v>0.98904301559710317</v>
      </c>
      <c r="AE9">
        <f t="shared" si="3"/>
        <v>9.7508621236951232</v>
      </c>
      <c r="AF9">
        <f t="shared" si="4"/>
        <v>9.7508621236951226E-3</v>
      </c>
      <c r="AG9">
        <f t="shared" si="5"/>
        <v>5.3044689952901472E-2</v>
      </c>
      <c r="AI9" s="23" t="s">
        <v>1234</v>
      </c>
      <c r="AJ9" s="65" t="s">
        <v>1235</v>
      </c>
      <c r="AK9" s="61"/>
      <c r="AL9" s="61"/>
      <c r="AM9" s="61"/>
      <c r="AN9" s="22"/>
    </row>
    <row r="10" spans="1:53" x14ac:dyDescent="0.35">
      <c r="A10" s="3">
        <v>2023</v>
      </c>
      <c r="B10" s="3">
        <v>8</v>
      </c>
      <c r="C10" s="3">
        <v>1</v>
      </c>
      <c r="D10" s="2">
        <v>428</v>
      </c>
      <c r="E10" s="3" t="s">
        <v>889</v>
      </c>
      <c r="F10" s="3">
        <v>3</v>
      </c>
      <c r="G10" s="3" t="s">
        <v>225</v>
      </c>
      <c r="H10" s="3" t="str">
        <f t="shared" si="0"/>
        <v>2022</v>
      </c>
      <c r="I10" s="3">
        <v>1</v>
      </c>
      <c r="J10" s="69"/>
      <c r="K10" s="3" t="s">
        <v>235</v>
      </c>
      <c r="L10" s="3">
        <v>5</v>
      </c>
      <c r="M10" s="3">
        <v>3.5</v>
      </c>
      <c r="N10" s="3">
        <v>170</v>
      </c>
      <c r="O10" s="3" t="str">
        <f t="shared" si="1"/>
        <v>2021</v>
      </c>
      <c r="P10" s="2">
        <v>428</v>
      </c>
      <c r="AB10" t="s">
        <v>1202</v>
      </c>
      <c r="AC10">
        <v>7.21</v>
      </c>
      <c r="AD10">
        <f t="shared" si="2"/>
        <v>0.98506312923577977</v>
      </c>
      <c r="AE10">
        <f t="shared" si="3"/>
        <v>9.6619131477463469</v>
      </c>
      <c r="AF10">
        <f t="shared" si="4"/>
        <v>9.6619131477463475E-3</v>
      </c>
      <c r="AG10">
        <f t="shared" si="5"/>
        <v>5.2560807523740136E-2</v>
      </c>
      <c r="AI10" s="25">
        <f>MEDIAN(AF2:AF33)</f>
        <v>9.5882840166854784E-3</v>
      </c>
      <c r="AJ10" s="29">
        <f>5.3*AI10</f>
        <v>5.0817905288433031E-2</v>
      </c>
      <c r="AK10" s="29"/>
      <c r="AL10" s="29"/>
      <c r="AM10" s="29"/>
      <c r="AN10" s="26"/>
    </row>
    <row r="11" spans="1:53" x14ac:dyDescent="0.35">
      <c r="A11" s="3">
        <v>2016</v>
      </c>
      <c r="B11" s="3">
        <v>11</v>
      </c>
      <c r="C11" s="3">
        <v>8</v>
      </c>
      <c r="D11" s="2">
        <v>190</v>
      </c>
      <c r="E11" s="3" t="s">
        <v>641</v>
      </c>
      <c r="F11" s="3">
        <v>4</v>
      </c>
      <c r="G11" s="3" t="s">
        <v>45</v>
      </c>
      <c r="H11" s="3" t="str">
        <f t="shared" si="0"/>
        <v>2011</v>
      </c>
      <c r="I11" s="3">
        <v>5</v>
      </c>
      <c r="J11" s="69"/>
      <c r="K11" s="3" t="s">
        <v>46</v>
      </c>
      <c r="L11" s="3" t="s">
        <v>317</v>
      </c>
      <c r="M11" s="3">
        <v>3.2</v>
      </c>
      <c r="N11" s="3">
        <v>174</v>
      </c>
      <c r="O11" s="3" t="str">
        <f t="shared" si="1"/>
        <v>2007</v>
      </c>
      <c r="P11" s="2">
        <v>190</v>
      </c>
      <c r="AB11" t="s">
        <v>1202</v>
      </c>
      <c r="AC11">
        <v>7.16</v>
      </c>
      <c r="AD11">
        <f t="shared" si="2"/>
        <v>0.97839304023343721</v>
      </c>
      <c r="AE11">
        <f t="shared" si="3"/>
        <v>9.5146548856246067</v>
      </c>
      <c r="AF11">
        <f t="shared" si="4"/>
        <v>9.5146548856246075E-3</v>
      </c>
      <c r="AG11">
        <f t="shared" si="5"/>
        <v>5.1759722577797866E-2</v>
      </c>
    </row>
    <row r="12" spans="1:53" x14ac:dyDescent="0.35">
      <c r="A12" s="3">
        <v>2023</v>
      </c>
      <c r="B12" s="3">
        <v>11</v>
      </c>
      <c r="C12" s="3">
        <v>17</v>
      </c>
      <c r="D12" s="2">
        <v>499</v>
      </c>
      <c r="E12" s="3" t="s">
        <v>953</v>
      </c>
      <c r="F12" s="3">
        <v>4</v>
      </c>
      <c r="G12" s="3" t="s">
        <v>225</v>
      </c>
      <c r="H12" s="3" t="str">
        <f t="shared" si="0"/>
        <v>2022</v>
      </c>
      <c r="I12" s="3">
        <v>1</v>
      </c>
      <c r="J12" s="69"/>
      <c r="K12" s="3" t="s">
        <v>235</v>
      </c>
      <c r="L12" s="3">
        <v>5</v>
      </c>
      <c r="M12" s="3">
        <v>4.5999999999999996</v>
      </c>
      <c r="N12" s="3">
        <v>181</v>
      </c>
      <c r="O12" s="3" t="str">
        <f t="shared" si="1"/>
        <v>2021</v>
      </c>
      <c r="P12" s="2">
        <v>499</v>
      </c>
      <c r="AB12" t="s">
        <v>1202</v>
      </c>
      <c r="AC12">
        <v>7.02</v>
      </c>
      <c r="AD12">
        <f t="shared" si="2"/>
        <v>0.95946600647047997</v>
      </c>
      <c r="AE12">
        <f t="shared" si="3"/>
        <v>9.1089015137582852</v>
      </c>
      <c r="AF12">
        <f t="shared" si="4"/>
        <v>9.108901513758285E-3</v>
      </c>
      <c r="AG12">
        <f t="shared" si="5"/>
        <v>4.9552424234845072E-2</v>
      </c>
    </row>
    <row r="13" spans="1:53" x14ac:dyDescent="0.35">
      <c r="A13" s="3">
        <v>2019</v>
      </c>
      <c r="B13" s="3">
        <v>11</v>
      </c>
      <c r="C13" s="3">
        <v>27</v>
      </c>
      <c r="D13" s="2">
        <v>42</v>
      </c>
      <c r="E13" s="3" t="s">
        <v>484</v>
      </c>
      <c r="F13" s="3">
        <v>4</v>
      </c>
      <c r="G13" s="3" t="s">
        <v>45</v>
      </c>
      <c r="H13" s="3" t="str">
        <f t="shared" si="0"/>
        <v>2011</v>
      </c>
      <c r="I13" s="3">
        <v>8</v>
      </c>
      <c r="J13" s="69"/>
      <c r="K13" s="3" t="s">
        <v>317</v>
      </c>
      <c r="L13" s="3" t="s">
        <v>317</v>
      </c>
      <c r="M13" s="3">
        <v>16.899999999999999</v>
      </c>
      <c r="N13" s="3">
        <v>188</v>
      </c>
      <c r="O13" s="3" t="str">
        <f t="shared" si="1"/>
        <v>2007</v>
      </c>
      <c r="P13" s="2">
        <v>42</v>
      </c>
      <c r="AB13" t="s">
        <v>1202</v>
      </c>
      <c r="AC13">
        <v>6.94</v>
      </c>
      <c r="AD13">
        <f t="shared" si="2"/>
        <v>0.94848035129386477</v>
      </c>
      <c r="AE13">
        <f t="shared" si="3"/>
        <v>8.8813779355385023</v>
      </c>
      <c r="AF13">
        <f t="shared" si="4"/>
        <v>8.8813779355385019E-3</v>
      </c>
      <c r="AG13">
        <f t="shared" si="5"/>
        <v>4.8314695969329455E-2</v>
      </c>
    </row>
    <row r="14" spans="1:53" x14ac:dyDescent="0.35">
      <c r="A14" s="3">
        <v>2019</v>
      </c>
      <c r="B14" s="3">
        <v>8</v>
      </c>
      <c r="C14" s="3">
        <v>9</v>
      </c>
      <c r="D14" s="2">
        <v>312</v>
      </c>
      <c r="E14" s="3" t="s">
        <v>779</v>
      </c>
      <c r="F14" s="3">
        <v>3</v>
      </c>
      <c r="G14" s="3" t="s">
        <v>45</v>
      </c>
      <c r="H14" s="3" t="str">
        <f t="shared" si="0"/>
        <v>2011</v>
      </c>
      <c r="I14" s="3">
        <v>8</v>
      </c>
      <c r="J14" s="69"/>
      <c r="K14" s="3" t="s">
        <v>647</v>
      </c>
      <c r="L14" s="3" t="s">
        <v>317</v>
      </c>
      <c r="M14" s="3">
        <v>0.3</v>
      </c>
      <c r="N14" s="3">
        <v>190</v>
      </c>
      <c r="O14" s="3" t="str">
        <f t="shared" si="1"/>
        <v>2007</v>
      </c>
      <c r="P14" s="2">
        <v>312</v>
      </c>
      <c r="AB14" t="s">
        <v>1202</v>
      </c>
      <c r="AC14">
        <v>6.91</v>
      </c>
      <c r="AD14">
        <f t="shared" si="2"/>
        <v>0.9443280505548558</v>
      </c>
      <c r="AE14">
        <f t="shared" si="3"/>
        <v>8.7968674991165496</v>
      </c>
      <c r="AF14">
        <f t="shared" si="4"/>
        <v>8.7968674991165501E-3</v>
      </c>
      <c r="AG14">
        <f t="shared" si="5"/>
        <v>4.7854959195194037E-2</v>
      </c>
    </row>
    <row r="15" spans="1:53" x14ac:dyDescent="0.35">
      <c r="A15" s="3">
        <v>2018</v>
      </c>
      <c r="B15" s="3">
        <v>8</v>
      </c>
      <c r="C15" s="3">
        <v>16</v>
      </c>
      <c r="D15" s="2">
        <v>337</v>
      </c>
      <c r="E15" s="3" t="s">
        <v>803</v>
      </c>
      <c r="F15" s="3">
        <v>3</v>
      </c>
      <c r="G15" s="3" t="s">
        <v>41</v>
      </c>
      <c r="H15" s="3" t="str">
        <f t="shared" si="0"/>
        <v>2013</v>
      </c>
      <c r="I15" s="3">
        <v>5</v>
      </c>
      <c r="J15" s="69"/>
      <c r="K15" s="3" t="s">
        <v>583</v>
      </c>
      <c r="L15" s="3" t="s">
        <v>318</v>
      </c>
      <c r="M15" s="3">
        <v>3.9</v>
      </c>
      <c r="N15" s="3">
        <v>191</v>
      </c>
      <c r="O15" s="3" t="str">
        <f t="shared" si="1"/>
        <v>2011</v>
      </c>
      <c r="P15" s="2">
        <v>337</v>
      </c>
      <c r="AB15" t="s">
        <v>1202</v>
      </c>
      <c r="AC15">
        <v>6.87</v>
      </c>
      <c r="AD15">
        <f t="shared" si="2"/>
        <v>0.93876351869042762</v>
      </c>
      <c r="AE15">
        <f t="shared" si="3"/>
        <v>8.68487393197492</v>
      </c>
      <c r="AF15">
        <f t="shared" si="4"/>
        <v>8.6848739319749201E-3</v>
      </c>
      <c r="AG15">
        <f t="shared" si="5"/>
        <v>4.7245714189943569E-2</v>
      </c>
    </row>
    <row r="16" spans="1:53" x14ac:dyDescent="0.35">
      <c r="A16" s="3">
        <v>2016</v>
      </c>
      <c r="B16" s="3">
        <v>9</v>
      </c>
      <c r="C16" s="3">
        <v>2</v>
      </c>
      <c r="D16" s="2">
        <v>220</v>
      </c>
      <c r="E16" s="3" t="s">
        <v>678</v>
      </c>
      <c r="F16" s="3">
        <v>3</v>
      </c>
      <c r="G16" s="3" t="s">
        <v>41</v>
      </c>
      <c r="H16" s="3" t="str">
        <f t="shared" si="0"/>
        <v>2013</v>
      </c>
      <c r="I16" s="3">
        <v>3</v>
      </c>
      <c r="J16" s="69"/>
      <c r="K16" s="3" t="s">
        <v>49</v>
      </c>
      <c r="L16" s="3" t="s">
        <v>318</v>
      </c>
      <c r="M16" s="3">
        <v>4.7</v>
      </c>
      <c r="N16" s="3">
        <v>192</v>
      </c>
      <c r="O16" s="3" t="str">
        <f t="shared" si="1"/>
        <v>2011</v>
      </c>
      <c r="P16" s="2">
        <v>220</v>
      </c>
      <c r="AB16" t="s">
        <v>1202</v>
      </c>
      <c r="AC16">
        <v>6.79</v>
      </c>
      <c r="AD16">
        <f t="shared" si="2"/>
        <v>0.92753659183706716</v>
      </c>
      <c r="AE16">
        <f t="shared" si="3"/>
        <v>8.4632387351403562</v>
      </c>
      <c r="AF16">
        <f t="shared" si="4"/>
        <v>8.4632387351403562E-3</v>
      </c>
      <c r="AG16">
        <f t="shared" si="5"/>
        <v>4.6040018719163543E-2</v>
      </c>
    </row>
    <row r="17" spans="1:33" x14ac:dyDescent="0.35">
      <c r="A17" s="3">
        <v>2023</v>
      </c>
      <c r="B17" s="3">
        <v>10</v>
      </c>
      <c r="C17" s="3">
        <v>30</v>
      </c>
      <c r="D17" s="2">
        <v>522</v>
      </c>
      <c r="E17" s="3" t="s">
        <v>974</v>
      </c>
      <c r="F17" s="3">
        <v>4</v>
      </c>
      <c r="G17" s="3" t="s">
        <v>225</v>
      </c>
      <c r="H17" s="3" t="str">
        <f t="shared" si="0"/>
        <v>2021</v>
      </c>
      <c r="I17" s="3">
        <v>2</v>
      </c>
      <c r="J17" s="69"/>
      <c r="K17" s="3" t="s">
        <v>237</v>
      </c>
      <c r="L17" s="3">
        <v>3</v>
      </c>
      <c r="M17" s="3">
        <v>5.6</v>
      </c>
      <c r="N17" s="3">
        <v>194</v>
      </c>
      <c r="O17" s="3" t="str">
        <f t="shared" si="1"/>
        <v>2021</v>
      </c>
      <c r="P17" s="2">
        <v>522</v>
      </c>
      <c r="AB17" t="s">
        <v>1202</v>
      </c>
      <c r="AC17">
        <v>6.73</v>
      </c>
      <c r="AD17">
        <f t="shared" si="2"/>
        <v>0.91902924674231679</v>
      </c>
      <c r="AE17">
        <f t="shared" si="3"/>
        <v>8.2990665413009896</v>
      </c>
      <c r="AF17">
        <f t="shared" si="4"/>
        <v>8.2990665413009892E-3</v>
      </c>
      <c r="AG17">
        <f t="shared" si="5"/>
        <v>4.5146921984677388E-2</v>
      </c>
    </row>
    <row r="18" spans="1:33" x14ac:dyDescent="0.35">
      <c r="A18" s="3">
        <v>2024</v>
      </c>
      <c r="B18" s="3">
        <v>2</v>
      </c>
      <c r="C18" s="3">
        <v>23</v>
      </c>
      <c r="D18" s="2">
        <v>644</v>
      </c>
      <c r="E18" s="3" t="s">
        <v>1078</v>
      </c>
      <c r="F18" s="3">
        <v>1</v>
      </c>
      <c r="G18" s="3" t="s">
        <v>225</v>
      </c>
      <c r="H18" s="3" t="str">
        <f t="shared" si="0"/>
        <v>2022</v>
      </c>
      <c r="I18" s="3">
        <v>2</v>
      </c>
      <c r="J18" s="69"/>
      <c r="K18" t="s">
        <v>21</v>
      </c>
      <c r="L18" s="3">
        <v>2</v>
      </c>
      <c r="M18">
        <v>5.9</v>
      </c>
      <c r="N18" s="3">
        <v>197</v>
      </c>
      <c r="O18" s="3" t="str">
        <f t="shared" si="1"/>
        <v>2021</v>
      </c>
      <c r="P18" s="2">
        <v>644</v>
      </c>
      <c r="AB18" t="s">
        <v>1202</v>
      </c>
      <c r="AC18">
        <v>6.67</v>
      </c>
      <c r="AD18">
        <f t="shared" si="2"/>
        <v>0.91044571545382336</v>
      </c>
      <c r="AE18">
        <f t="shared" si="3"/>
        <v>8.1366515052027264</v>
      </c>
      <c r="AF18">
        <f t="shared" si="4"/>
        <v>8.1366515052027268E-3</v>
      </c>
      <c r="AG18">
        <f t="shared" si="5"/>
        <v>4.4263384188302834E-2</v>
      </c>
    </row>
    <row r="19" spans="1:33" x14ac:dyDescent="0.35">
      <c r="A19" s="3" t="s">
        <v>28</v>
      </c>
      <c r="B19" s="3" t="s">
        <v>28</v>
      </c>
      <c r="C19" s="3" t="s">
        <v>28</v>
      </c>
      <c r="D19" s="2">
        <v>449</v>
      </c>
      <c r="E19" s="3" t="s">
        <v>908</v>
      </c>
      <c r="F19" s="3" t="s">
        <v>28</v>
      </c>
      <c r="G19" s="3" t="s">
        <v>28</v>
      </c>
      <c r="H19" s="3" t="b">
        <f t="shared" si="0"/>
        <v>0</v>
      </c>
      <c r="I19" s="3" t="e">
        <v>#VALUE!</v>
      </c>
      <c r="J19" s="69"/>
      <c r="K19" s="3" t="s">
        <v>28</v>
      </c>
      <c r="L19" s="3" t="s">
        <v>28</v>
      </c>
      <c r="M19" s="3">
        <v>6.9</v>
      </c>
      <c r="N19" s="3">
        <v>199</v>
      </c>
      <c r="O19" s="3" t="b">
        <f t="shared" si="1"/>
        <v>0</v>
      </c>
      <c r="P19" s="2">
        <v>449</v>
      </c>
      <c r="AB19" t="s">
        <v>1202</v>
      </c>
      <c r="AC19">
        <v>6.52</v>
      </c>
      <c r="AD19">
        <f t="shared" si="2"/>
        <v>0.88864444378034768</v>
      </c>
      <c r="AE19">
        <f t="shared" si="3"/>
        <v>7.7382800660556379</v>
      </c>
      <c r="AF19">
        <f t="shared" si="4"/>
        <v>7.7382800660556377E-3</v>
      </c>
      <c r="AG19">
        <f t="shared" si="5"/>
        <v>4.2096243559342675E-2</v>
      </c>
    </row>
    <row r="20" spans="1:33" x14ac:dyDescent="0.35">
      <c r="A20" s="3">
        <v>2019</v>
      </c>
      <c r="B20" s="3">
        <v>11</v>
      </c>
      <c r="C20" s="3">
        <v>27</v>
      </c>
      <c r="D20" s="2">
        <v>57</v>
      </c>
      <c r="E20" s="3" t="s">
        <v>500</v>
      </c>
      <c r="F20" s="3">
        <v>4</v>
      </c>
      <c r="G20" s="3" t="s">
        <v>45</v>
      </c>
      <c r="H20" s="3" t="str">
        <f t="shared" si="0"/>
        <v>2009</v>
      </c>
      <c r="I20" s="3">
        <v>10</v>
      </c>
      <c r="J20" s="69"/>
      <c r="K20" s="3" t="s">
        <v>488</v>
      </c>
      <c r="L20" s="3" t="s">
        <v>488</v>
      </c>
      <c r="M20" s="3">
        <v>5.0999999999999996</v>
      </c>
      <c r="N20" s="3">
        <v>200</v>
      </c>
      <c r="O20" s="3" t="str">
        <f t="shared" si="1"/>
        <v>2007</v>
      </c>
      <c r="P20" s="2">
        <v>57</v>
      </c>
      <c r="AB20" t="s">
        <v>1202</v>
      </c>
      <c r="AC20">
        <v>6.42</v>
      </c>
      <c r="AD20">
        <f t="shared" si="2"/>
        <v>0.87382980694795898</v>
      </c>
      <c r="AE20">
        <f t="shared" si="3"/>
        <v>7.4787636230800247</v>
      </c>
    </row>
    <row r="21" spans="1:33" x14ac:dyDescent="0.35">
      <c r="A21" s="3">
        <v>2024</v>
      </c>
      <c r="B21" s="3">
        <v>8</v>
      </c>
      <c r="C21" s="3">
        <v>5</v>
      </c>
      <c r="D21" s="2">
        <v>760</v>
      </c>
      <c r="E21" s="3" t="s">
        <v>1153</v>
      </c>
      <c r="F21" s="3">
        <v>3</v>
      </c>
      <c r="G21" s="3" t="s">
        <v>20</v>
      </c>
      <c r="H21" s="3" t="str">
        <f t="shared" si="0"/>
        <v>2020</v>
      </c>
      <c r="I21" s="3">
        <v>4</v>
      </c>
      <c r="J21" s="69"/>
      <c r="K21" s="6" t="s">
        <v>783</v>
      </c>
      <c r="L21">
        <v>7</v>
      </c>
      <c r="M21">
        <v>4.9000000000000004</v>
      </c>
      <c r="N21" s="3">
        <v>200</v>
      </c>
      <c r="O21" s="3" t="str">
        <f t="shared" si="1"/>
        <v>2018</v>
      </c>
      <c r="P21" s="2">
        <v>760</v>
      </c>
      <c r="AB21" t="s">
        <v>1202</v>
      </c>
      <c r="AC21">
        <v>6.38</v>
      </c>
      <c r="AD21">
        <f t="shared" si="2"/>
        <v>0.86783923793760531</v>
      </c>
      <c r="AE21">
        <f t="shared" si="3"/>
        <v>7.3763113190299849</v>
      </c>
      <c r="AF21">
        <f t="shared" si="4"/>
        <v>7.3763113190299847E-3</v>
      </c>
      <c r="AG21">
        <f t="shared" si="5"/>
        <v>4.0127133575523118E-2</v>
      </c>
    </row>
    <row r="22" spans="1:33" x14ac:dyDescent="0.35">
      <c r="A22" s="3">
        <v>2024</v>
      </c>
      <c r="B22" s="3">
        <v>1</v>
      </c>
      <c r="C22" s="3">
        <v>19</v>
      </c>
      <c r="D22" s="2">
        <v>577</v>
      </c>
      <c r="E22" s="3" t="s">
        <v>1021</v>
      </c>
      <c r="F22" s="3">
        <v>1</v>
      </c>
      <c r="G22" s="3" t="s">
        <v>41</v>
      </c>
      <c r="H22" s="3" t="str">
        <f t="shared" si="0"/>
        <v>2013</v>
      </c>
      <c r="I22" s="3">
        <v>11</v>
      </c>
      <c r="J22" s="69"/>
      <c r="K22" t="s">
        <v>509</v>
      </c>
      <c r="L22" s="3" t="s">
        <v>458</v>
      </c>
      <c r="M22">
        <v>19.7</v>
      </c>
      <c r="N22" s="3">
        <v>202</v>
      </c>
      <c r="O22" s="3" t="str">
        <f t="shared" si="1"/>
        <v>2011</v>
      </c>
      <c r="P22" s="2">
        <v>577</v>
      </c>
      <c r="AB22" t="s">
        <v>1202</v>
      </c>
      <c r="AC22">
        <v>6.23</v>
      </c>
      <c r="AD22">
        <f t="shared" si="2"/>
        <v>0.84503511897678718</v>
      </c>
      <c r="AE22">
        <f t="shared" si="3"/>
        <v>6.9989859061628685</v>
      </c>
    </row>
    <row r="23" spans="1:33" x14ac:dyDescent="0.35">
      <c r="A23" s="3">
        <v>2016</v>
      </c>
      <c r="B23" s="3">
        <v>9</v>
      </c>
      <c r="C23" s="3">
        <v>2</v>
      </c>
      <c r="D23" s="2">
        <v>297</v>
      </c>
      <c r="E23" s="3" t="s">
        <v>763</v>
      </c>
      <c r="F23" s="3">
        <v>3</v>
      </c>
      <c r="G23" s="3" t="s">
        <v>41</v>
      </c>
      <c r="H23" s="3" t="str">
        <f t="shared" si="0"/>
        <v>2013</v>
      </c>
      <c r="I23" s="3">
        <v>3</v>
      </c>
      <c r="J23" s="69"/>
      <c r="K23" s="3" t="s">
        <v>583</v>
      </c>
      <c r="L23" s="3" t="s">
        <v>318</v>
      </c>
      <c r="M23" s="3">
        <v>5.8</v>
      </c>
      <c r="N23" s="3">
        <v>204</v>
      </c>
      <c r="O23" s="3" t="str">
        <f t="shared" si="1"/>
        <v>2011</v>
      </c>
      <c r="P23" s="2">
        <v>297</v>
      </c>
      <c r="AB23" t="s">
        <v>1202</v>
      </c>
      <c r="AC23">
        <v>5.92</v>
      </c>
      <c r="AD23">
        <f t="shared" si="2"/>
        <v>0.79611400673748378</v>
      </c>
      <c r="AE23">
        <f t="shared" si="3"/>
        <v>6.2533682853591213</v>
      </c>
      <c r="AF23">
        <f t="shared" si="4"/>
        <v>6.2533682853591213E-3</v>
      </c>
      <c r="AG23">
        <f t="shared" si="5"/>
        <v>3.4018323472353625E-2</v>
      </c>
    </row>
    <row r="24" spans="1:33" x14ac:dyDescent="0.35">
      <c r="A24" s="3">
        <v>2018</v>
      </c>
      <c r="B24" s="3">
        <v>8</v>
      </c>
      <c r="C24" s="3">
        <v>15</v>
      </c>
      <c r="D24" s="2">
        <v>310</v>
      </c>
      <c r="E24" s="3" t="s">
        <v>776</v>
      </c>
      <c r="F24" s="3">
        <v>3</v>
      </c>
      <c r="G24" s="3" t="s">
        <v>41</v>
      </c>
      <c r="H24" s="3" t="str">
        <f t="shared" si="0"/>
        <v>2013</v>
      </c>
      <c r="I24" s="3">
        <v>5</v>
      </c>
      <c r="J24" s="69"/>
      <c r="K24" s="3" t="s">
        <v>49</v>
      </c>
      <c r="L24" s="3" t="s">
        <v>318</v>
      </c>
      <c r="M24" s="3">
        <v>6.6</v>
      </c>
      <c r="N24" s="3">
        <v>204</v>
      </c>
      <c r="O24" s="3" t="str">
        <f t="shared" si="1"/>
        <v>2011</v>
      </c>
      <c r="P24" s="2">
        <v>310</v>
      </c>
      <c r="AB24" t="s">
        <v>1202</v>
      </c>
      <c r="AC24">
        <v>5.27</v>
      </c>
      <c r="AD24">
        <f t="shared" si="2"/>
        <v>0.68463602777409005</v>
      </c>
      <c r="AE24">
        <f t="shared" si="3"/>
        <v>4.8376676383564332</v>
      </c>
    </row>
    <row r="25" spans="1:33" x14ac:dyDescent="0.35">
      <c r="A25" s="3">
        <v>2023</v>
      </c>
      <c r="B25" s="3">
        <v>7</v>
      </c>
      <c r="C25" s="3">
        <v>25</v>
      </c>
      <c r="D25" s="2">
        <v>458</v>
      </c>
      <c r="E25" s="3" t="s">
        <v>913</v>
      </c>
      <c r="F25" s="3">
        <v>3</v>
      </c>
      <c r="G25" s="3" t="s">
        <v>20</v>
      </c>
      <c r="H25" s="3" t="str">
        <f t="shared" si="0"/>
        <v>2019</v>
      </c>
      <c r="I25" s="3">
        <v>4</v>
      </c>
      <c r="J25" s="69"/>
      <c r="K25" s="3" t="s">
        <v>914</v>
      </c>
      <c r="L25" s="3">
        <v>23</v>
      </c>
      <c r="M25" s="3">
        <v>5.4</v>
      </c>
      <c r="N25" s="3">
        <v>204</v>
      </c>
      <c r="O25" s="3" t="str">
        <f t="shared" si="1"/>
        <v>2018</v>
      </c>
      <c r="P25" s="2">
        <v>458</v>
      </c>
      <c r="AB25" t="s">
        <v>1202</v>
      </c>
      <c r="AC25">
        <v>4.93</v>
      </c>
      <c r="AD25">
        <f t="shared" si="2"/>
        <v>0.62071315084484635</v>
      </c>
      <c r="AE25">
        <f t="shared" si="3"/>
        <v>4.1755448307033545</v>
      </c>
      <c r="AF25">
        <f t="shared" si="4"/>
        <v>4.1755448307033548E-3</v>
      </c>
      <c r="AG25">
        <f t="shared" si="5"/>
        <v>2.2714963879026252E-2</v>
      </c>
    </row>
    <row r="26" spans="1:33" x14ac:dyDescent="0.35">
      <c r="A26" s="3">
        <v>2016</v>
      </c>
      <c r="B26" s="3">
        <v>8</v>
      </c>
      <c r="C26" s="3">
        <v>31</v>
      </c>
      <c r="D26" s="2">
        <v>251</v>
      </c>
      <c r="E26" s="3" t="s">
        <v>709</v>
      </c>
      <c r="F26" s="3">
        <v>3</v>
      </c>
      <c r="G26" s="3" t="s">
        <v>45</v>
      </c>
      <c r="H26" s="3" t="str">
        <f t="shared" si="0"/>
        <v>2009</v>
      </c>
      <c r="I26" s="3">
        <v>7</v>
      </c>
      <c r="J26" s="69"/>
      <c r="K26" s="3" t="s">
        <v>657</v>
      </c>
      <c r="L26" s="3" t="s">
        <v>488</v>
      </c>
      <c r="M26" s="3">
        <v>5.6</v>
      </c>
      <c r="N26" s="3">
        <v>205</v>
      </c>
      <c r="O26" s="3" t="str">
        <f t="shared" si="1"/>
        <v>2007</v>
      </c>
      <c r="P26" s="2">
        <v>251</v>
      </c>
      <c r="AB26" s="2" t="s">
        <v>1200</v>
      </c>
      <c r="AC26" s="2">
        <v>9.42</v>
      </c>
      <c r="AD26">
        <f>((2.2539)*(LOG(AC26))+(-1.3694))</f>
        <v>0.82601332980486597</v>
      </c>
      <c r="AE26">
        <f>10^(AD26)</f>
        <v>6.6990517050706604</v>
      </c>
      <c r="AF26">
        <f t="shared" si="4"/>
        <v>6.69905170507066E-3</v>
      </c>
      <c r="AG26">
        <f t="shared" si="5"/>
        <v>3.6442841275584392E-2</v>
      </c>
    </row>
    <row r="27" spans="1:33" x14ac:dyDescent="0.35">
      <c r="A27" s="3">
        <v>2024</v>
      </c>
      <c r="B27" s="3">
        <v>1</v>
      </c>
      <c r="C27" s="3">
        <v>17</v>
      </c>
      <c r="D27" s="2">
        <v>596</v>
      </c>
      <c r="E27" s="3" t="s">
        <v>1040</v>
      </c>
      <c r="F27" s="3">
        <v>1</v>
      </c>
      <c r="G27" s="3" t="s">
        <v>41</v>
      </c>
      <c r="H27" s="3" t="str">
        <f t="shared" si="0"/>
        <v>2013</v>
      </c>
      <c r="I27" s="3">
        <v>11</v>
      </c>
      <c r="J27" s="69"/>
      <c r="K27" t="s">
        <v>509</v>
      </c>
      <c r="L27" s="3" t="s">
        <v>458</v>
      </c>
      <c r="M27">
        <v>17.899999999999999</v>
      </c>
      <c r="N27" s="3">
        <v>205</v>
      </c>
      <c r="O27" s="3" t="str">
        <f t="shared" si="1"/>
        <v>2011</v>
      </c>
      <c r="P27" s="2">
        <v>596</v>
      </c>
      <c r="AB27" s="2" t="s">
        <v>1200</v>
      </c>
      <c r="AC27" s="2">
        <v>10.92</v>
      </c>
      <c r="AD27">
        <f t="shared" ref="AD27:AD33" si="6">((2.2539)*(LOG(AC27))+(-1.3694))</f>
        <v>0.97065000461925455</v>
      </c>
      <c r="AE27">
        <f t="shared" ref="AE27:AE33" si="7">10^(AD27)</f>
        <v>9.3465213986553746</v>
      </c>
      <c r="AF27">
        <f t="shared" si="4"/>
        <v>9.3465213986553743E-3</v>
      </c>
      <c r="AG27">
        <f>5.2*AF27</f>
        <v>4.8601911273007947E-2</v>
      </c>
    </row>
    <row r="28" spans="1:33" x14ac:dyDescent="0.35">
      <c r="A28" s="3">
        <v>2023</v>
      </c>
      <c r="B28" s="3">
        <v>1</v>
      </c>
      <c r="C28" s="3">
        <v>30</v>
      </c>
      <c r="D28" s="2">
        <v>102</v>
      </c>
      <c r="E28" s="14" t="s">
        <v>549</v>
      </c>
      <c r="F28" s="15">
        <v>1</v>
      </c>
      <c r="G28" s="3" t="s">
        <v>225</v>
      </c>
      <c r="H28" s="3" t="str">
        <f t="shared" si="0"/>
        <v>2021</v>
      </c>
      <c r="I28" s="3">
        <v>2</v>
      </c>
      <c r="J28" s="69"/>
      <c r="K28" s="3">
        <v>4</v>
      </c>
      <c r="L28" s="3">
        <v>4</v>
      </c>
      <c r="M28" s="3">
        <v>19.7</v>
      </c>
      <c r="N28" s="3">
        <v>208</v>
      </c>
      <c r="O28" s="3" t="str">
        <f t="shared" si="1"/>
        <v>2021</v>
      </c>
      <c r="P28" s="2">
        <v>102</v>
      </c>
      <c r="AB28" s="2" t="s">
        <v>1200</v>
      </c>
      <c r="AC28" s="2">
        <v>18.53</v>
      </c>
      <c r="AD28">
        <f t="shared" si="6"/>
        <v>1.4882644076028633</v>
      </c>
      <c r="AE28">
        <f t="shared" si="7"/>
        <v>30.779701773077807</v>
      </c>
      <c r="AF28">
        <f t="shared" si="4"/>
        <v>3.0779701773077806E-2</v>
      </c>
      <c r="AG28">
        <f t="shared" ref="AG28:AG33" si="8">5.2*AF28</f>
        <v>0.16005444922000459</v>
      </c>
    </row>
    <row r="29" spans="1:33" x14ac:dyDescent="0.35">
      <c r="A29" s="3">
        <v>2023</v>
      </c>
      <c r="B29" s="3">
        <v>10</v>
      </c>
      <c r="C29" s="3">
        <v>31</v>
      </c>
      <c r="D29" s="2">
        <v>521</v>
      </c>
      <c r="E29" s="3" t="s">
        <v>973</v>
      </c>
      <c r="F29" s="3">
        <v>4</v>
      </c>
      <c r="G29" s="3" t="s">
        <v>225</v>
      </c>
      <c r="H29" s="3" t="str">
        <f t="shared" si="0"/>
        <v>2022</v>
      </c>
      <c r="I29" s="3">
        <v>1</v>
      </c>
      <c r="J29" s="69"/>
      <c r="K29" s="3" t="s">
        <v>83</v>
      </c>
      <c r="L29" s="3">
        <v>2</v>
      </c>
      <c r="M29" s="3">
        <v>6.5</v>
      </c>
      <c r="N29" s="3">
        <v>209</v>
      </c>
      <c r="O29" s="3" t="str">
        <f t="shared" si="1"/>
        <v>2021</v>
      </c>
      <c r="P29" s="2">
        <v>521</v>
      </c>
      <c r="AB29" s="2" t="s">
        <v>1200</v>
      </c>
      <c r="AC29" s="2">
        <v>19.52</v>
      </c>
      <c r="AD29">
        <f t="shared" si="6"/>
        <v>1.5392124512660035</v>
      </c>
      <c r="AE29">
        <f t="shared" si="7"/>
        <v>34.61086483124889</v>
      </c>
      <c r="AF29">
        <f t="shared" si="4"/>
        <v>3.4610864831248887E-2</v>
      </c>
      <c r="AG29">
        <f t="shared" si="8"/>
        <v>0.17997649712249422</v>
      </c>
    </row>
    <row r="30" spans="1:33" x14ac:dyDescent="0.35">
      <c r="A30" s="3">
        <v>2019</v>
      </c>
      <c r="B30" s="3">
        <v>11</v>
      </c>
      <c r="C30" s="3">
        <v>27</v>
      </c>
      <c r="D30" s="2">
        <v>56</v>
      </c>
      <c r="E30" s="3" t="s">
        <v>499</v>
      </c>
      <c r="F30" s="3">
        <v>4</v>
      </c>
      <c r="G30" s="3" t="s">
        <v>45</v>
      </c>
      <c r="H30" s="3" t="str">
        <f t="shared" si="0"/>
        <v>2009</v>
      </c>
      <c r="I30" s="3">
        <v>10</v>
      </c>
      <c r="J30" s="69"/>
      <c r="K30" s="3" t="s">
        <v>488</v>
      </c>
      <c r="L30" s="3" t="s">
        <v>488</v>
      </c>
      <c r="M30" s="3">
        <v>5.9</v>
      </c>
      <c r="N30" s="3">
        <v>211</v>
      </c>
      <c r="O30" s="3" t="str">
        <f t="shared" si="1"/>
        <v>2007</v>
      </c>
      <c r="P30" s="2">
        <v>56</v>
      </c>
      <c r="AB30" s="2" t="s">
        <v>1199</v>
      </c>
      <c r="AC30" s="2">
        <v>12.31</v>
      </c>
      <c r="AD30">
        <f t="shared" si="6"/>
        <v>1.087932625501894</v>
      </c>
      <c r="AE30">
        <f t="shared" si="7"/>
        <v>12.244262325359891</v>
      </c>
      <c r="AF30">
        <f t="shared" si="4"/>
        <v>1.2244262325359891E-2</v>
      </c>
      <c r="AG30">
        <f t="shared" si="8"/>
        <v>6.3670164091871428E-2</v>
      </c>
    </row>
    <row r="31" spans="1:33" x14ac:dyDescent="0.35">
      <c r="A31" s="3">
        <v>2016</v>
      </c>
      <c r="B31" s="3">
        <v>11</v>
      </c>
      <c r="C31" s="3">
        <v>16</v>
      </c>
      <c r="D31" s="2">
        <v>178</v>
      </c>
      <c r="E31" s="3" t="s">
        <v>628</v>
      </c>
      <c r="F31" s="3">
        <v>4</v>
      </c>
      <c r="G31" s="3" t="s">
        <v>41</v>
      </c>
      <c r="H31" s="3" t="str">
        <f t="shared" si="0"/>
        <v>2013</v>
      </c>
      <c r="I31" s="3">
        <v>3</v>
      </c>
      <c r="J31" s="69"/>
      <c r="K31" s="3" t="s">
        <v>583</v>
      </c>
      <c r="L31" s="3" t="s">
        <v>318</v>
      </c>
      <c r="M31" s="3">
        <v>6.2</v>
      </c>
      <c r="N31" s="3">
        <v>212</v>
      </c>
      <c r="O31" s="3" t="str">
        <f t="shared" si="1"/>
        <v>2011</v>
      </c>
      <c r="P31" s="2">
        <v>178</v>
      </c>
      <c r="AB31" s="2" t="s">
        <v>1199</v>
      </c>
      <c r="AC31" s="2">
        <v>13.66</v>
      </c>
      <c r="AD31">
        <f t="shared" si="6"/>
        <v>1.1897923312548533</v>
      </c>
      <c r="AE31">
        <f t="shared" si="7"/>
        <v>15.480761906337946</v>
      </c>
      <c r="AF31">
        <f t="shared" si="4"/>
        <v>1.5480761906337947E-2</v>
      </c>
      <c r="AG31">
        <f t="shared" si="8"/>
        <v>8.049996191295733E-2</v>
      </c>
    </row>
    <row r="32" spans="1:33" x14ac:dyDescent="0.35">
      <c r="A32" s="3">
        <v>2022</v>
      </c>
      <c r="B32" s="3">
        <v>11</v>
      </c>
      <c r="C32" s="3">
        <v>18</v>
      </c>
      <c r="D32" s="2">
        <v>110</v>
      </c>
      <c r="E32" s="14" t="s">
        <v>558</v>
      </c>
      <c r="F32" s="15">
        <v>4</v>
      </c>
      <c r="G32" s="3" t="s">
        <v>225</v>
      </c>
      <c r="H32" s="3" t="str">
        <f t="shared" si="0"/>
        <v>2021</v>
      </c>
      <c r="I32" s="3">
        <v>1</v>
      </c>
      <c r="J32" s="69"/>
      <c r="K32" s="3">
        <v>4</v>
      </c>
      <c r="L32" s="3">
        <v>4</v>
      </c>
      <c r="M32" s="3">
        <v>6.6</v>
      </c>
      <c r="N32" s="3">
        <v>213</v>
      </c>
      <c r="O32" s="3" t="str">
        <f t="shared" si="1"/>
        <v>2021</v>
      </c>
      <c r="P32" s="2">
        <v>110</v>
      </c>
      <c r="AB32" s="2" t="s">
        <v>1199</v>
      </c>
      <c r="AC32" s="2">
        <v>17.68</v>
      </c>
      <c r="AD32">
        <f t="shared" si="6"/>
        <v>1.4423002673400125</v>
      </c>
      <c r="AE32">
        <f t="shared" si="7"/>
        <v>27.68855345723658</v>
      </c>
      <c r="AF32">
        <f t="shared" si="4"/>
        <v>2.768855345723658E-2</v>
      </c>
      <c r="AG32">
        <f t="shared" si="8"/>
        <v>0.14398047797763022</v>
      </c>
    </row>
    <row r="33" spans="1:33" x14ac:dyDescent="0.35">
      <c r="A33" s="3">
        <v>2019</v>
      </c>
      <c r="B33" s="3">
        <v>8</v>
      </c>
      <c r="C33" s="3">
        <v>9</v>
      </c>
      <c r="D33" s="2">
        <v>320</v>
      </c>
      <c r="E33" s="3" t="s">
        <v>787</v>
      </c>
      <c r="F33" s="3">
        <v>3</v>
      </c>
      <c r="G33" s="3" t="s">
        <v>45</v>
      </c>
      <c r="H33" s="3" t="str">
        <f t="shared" si="0"/>
        <v>2011</v>
      </c>
      <c r="I33" s="3">
        <v>8</v>
      </c>
      <c r="J33" s="69"/>
      <c r="K33" s="3" t="s">
        <v>632</v>
      </c>
      <c r="L33" s="3" t="s">
        <v>317</v>
      </c>
      <c r="M33" s="3">
        <v>5.0999999999999996</v>
      </c>
      <c r="N33" s="3">
        <v>213</v>
      </c>
      <c r="O33" s="3" t="str">
        <f t="shared" si="1"/>
        <v>2007</v>
      </c>
      <c r="P33" s="2">
        <v>320</v>
      </c>
      <c r="AB33" s="2" t="s">
        <v>1199</v>
      </c>
      <c r="AC33" s="2">
        <v>22.29</v>
      </c>
      <c r="AD33">
        <f t="shared" si="6"/>
        <v>1.6691052833476074</v>
      </c>
      <c r="AE33">
        <f t="shared" si="7"/>
        <v>46.677252339945362</v>
      </c>
      <c r="AF33">
        <f t="shared" si="4"/>
        <v>4.6677252339945359E-2</v>
      </c>
      <c r="AG33">
        <f t="shared" si="8"/>
        <v>0.24272171216771588</v>
      </c>
    </row>
    <row r="34" spans="1:33" x14ac:dyDescent="0.35">
      <c r="A34" s="3">
        <v>2023</v>
      </c>
      <c r="B34" s="3">
        <v>11</v>
      </c>
      <c r="C34" s="3">
        <v>3</v>
      </c>
      <c r="D34" s="2">
        <v>528</v>
      </c>
      <c r="E34" s="3" t="s">
        <v>982</v>
      </c>
      <c r="F34" s="3">
        <v>4</v>
      </c>
      <c r="G34" s="3" t="s">
        <v>226</v>
      </c>
      <c r="H34" s="3" t="str">
        <f t="shared" ref="H34:H65" si="9">IF(L34="A55","2009",IF(L34="A59","2009",IF(L34="A60","2010",IF(L34="A62","2011",IF(L34="CP","2013",IF(L34="MD","2012",IF(L34="TS","2013",IF(L34="DL","2018",IF(L34="SCU","2018",IF(L34="NCU","2018",IF(L34="C1C","2018",IF(L34="C1E","2018",IF(L34="RS1S","2018",IF(L34="C2B","2018",IF(L34="DB3","2018",IF(AND(L34=6,G34="SRS"),"2018",IF(AND(L34=7,G34="SRS"),"2020",IF(AND(L34=8,G34="SRS"),"2020",IF(L34=23,"2019",IF(AND(L34=7,G34="WCA 3B"),"2017",IF(AND(L34=8,G34="WCA 3B"),"2019",IF(L34=1,"2021",IF(L34=2,"2022",IF(L34=3,"2021",IF(L34=4,"2021",IF(L34=5,"2022",IF(AND(L34=6,G34="WCA 3A"),"2022",IF(L34=9,"2023",IF(L34=10,"2023",IF(L34=37,"2020"))))))))))))))))))))))))))))))</f>
        <v>2017</v>
      </c>
      <c r="I34" s="3">
        <v>6</v>
      </c>
      <c r="J34" s="69"/>
      <c r="K34" s="3" t="s">
        <v>228</v>
      </c>
      <c r="L34" s="3">
        <v>7</v>
      </c>
      <c r="M34" s="3">
        <v>7.9</v>
      </c>
      <c r="N34" s="3">
        <v>213</v>
      </c>
      <c r="O34" s="3" t="str">
        <f t="shared" si="1"/>
        <v>2017</v>
      </c>
      <c r="P34" s="2">
        <v>528</v>
      </c>
    </row>
    <row r="35" spans="1:33" x14ac:dyDescent="0.35">
      <c r="A35" s="3">
        <v>2023</v>
      </c>
      <c r="B35" s="3">
        <v>8</v>
      </c>
      <c r="C35" s="3">
        <v>2</v>
      </c>
      <c r="D35" s="2">
        <v>430</v>
      </c>
      <c r="E35" s="3" t="s">
        <v>891</v>
      </c>
      <c r="F35" s="3">
        <v>3</v>
      </c>
      <c r="G35" s="3" t="s">
        <v>225</v>
      </c>
      <c r="H35" s="3" t="str">
        <f t="shared" si="9"/>
        <v>2022</v>
      </c>
      <c r="I35" s="3">
        <v>1</v>
      </c>
      <c r="J35" s="69"/>
      <c r="K35" s="3" t="s">
        <v>67</v>
      </c>
      <c r="L35" s="3">
        <v>2</v>
      </c>
      <c r="M35" s="3">
        <v>7.3</v>
      </c>
      <c r="N35" s="3">
        <v>216</v>
      </c>
      <c r="O35" s="3" t="str">
        <f t="shared" si="1"/>
        <v>2021</v>
      </c>
      <c r="P35" s="2">
        <v>430</v>
      </c>
    </row>
    <row r="36" spans="1:33" x14ac:dyDescent="0.35">
      <c r="A36" s="3">
        <v>2023</v>
      </c>
      <c r="B36" s="3">
        <v>11</v>
      </c>
      <c r="C36" s="3">
        <v>20</v>
      </c>
      <c r="D36" s="2">
        <v>525</v>
      </c>
      <c r="E36" s="3" t="s">
        <v>978</v>
      </c>
      <c r="F36" s="3">
        <v>4</v>
      </c>
      <c r="G36" s="3" t="s">
        <v>225</v>
      </c>
      <c r="H36" s="3" t="str">
        <f t="shared" si="9"/>
        <v>2023</v>
      </c>
      <c r="I36" s="3">
        <v>0</v>
      </c>
      <c r="J36" s="69"/>
      <c r="K36" s="3" t="s">
        <v>979</v>
      </c>
      <c r="L36" s="3">
        <v>9</v>
      </c>
      <c r="M36" s="3">
        <v>8</v>
      </c>
      <c r="N36" s="3">
        <v>216</v>
      </c>
      <c r="O36" s="3" t="str">
        <f t="shared" si="1"/>
        <v>2021</v>
      </c>
      <c r="P36" s="2">
        <v>525</v>
      </c>
    </row>
    <row r="37" spans="1:33" x14ac:dyDescent="0.35">
      <c r="A37" s="3">
        <v>2019</v>
      </c>
      <c r="B37" s="3">
        <v>8</v>
      </c>
      <c r="C37" s="3">
        <v>9</v>
      </c>
      <c r="D37" s="2">
        <v>313</v>
      </c>
      <c r="E37" s="3" t="s">
        <v>780</v>
      </c>
      <c r="F37" s="3">
        <v>3</v>
      </c>
      <c r="G37" s="3" t="s">
        <v>45</v>
      </c>
      <c r="H37" s="3" t="str">
        <f t="shared" si="9"/>
        <v>2011</v>
      </c>
      <c r="I37" s="3">
        <v>8</v>
      </c>
      <c r="J37" s="69"/>
      <c r="K37" s="3" t="s">
        <v>317</v>
      </c>
      <c r="L37" s="3" t="s">
        <v>317</v>
      </c>
      <c r="M37" s="3">
        <v>3.5</v>
      </c>
      <c r="N37" s="3">
        <v>217</v>
      </c>
      <c r="O37" s="3" t="str">
        <f t="shared" si="1"/>
        <v>2007</v>
      </c>
      <c r="P37" s="2">
        <v>313</v>
      </c>
    </row>
    <row r="38" spans="1:33" x14ac:dyDescent="0.35">
      <c r="A38" s="3">
        <v>2018</v>
      </c>
      <c r="B38" s="3">
        <v>8</v>
      </c>
      <c r="C38" s="3">
        <v>16</v>
      </c>
      <c r="D38" s="2">
        <v>325</v>
      </c>
      <c r="E38" s="3" t="s">
        <v>792</v>
      </c>
      <c r="F38" s="3">
        <v>3</v>
      </c>
      <c r="G38" s="3" t="s">
        <v>45</v>
      </c>
      <c r="H38" s="3" t="str">
        <f t="shared" si="9"/>
        <v>2011</v>
      </c>
      <c r="I38" s="3">
        <v>7</v>
      </c>
      <c r="J38" s="69"/>
      <c r="K38" s="3" t="s">
        <v>647</v>
      </c>
      <c r="L38" s="3" t="s">
        <v>317</v>
      </c>
      <c r="M38" s="3">
        <v>7.2</v>
      </c>
      <c r="N38" s="3">
        <v>220</v>
      </c>
      <c r="O38" s="3" t="str">
        <f t="shared" si="1"/>
        <v>2007</v>
      </c>
      <c r="P38" s="2">
        <v>325</v>
      </c>
    </row>
    <row r="39" spans="1:33" x14ac:dyDescent="0.35">
      <c r="A39" s="3">
        <v>2024</v>
      </c>
      <c r="B39" s="3">
        <v>8</v>
      </c>
      <c r="C39" s="3">
        <v>15</v>
      </c>
      <c r="D39" s="2">
        <v>730</v>
      </c>
      <c r="E39" s="3" t="s">
        <v>246</v>
      </c>
      <c r="F39" s="3">
        <v>3</v>
      </c>
      <c r="G39" s="3" t="s">
        <v>225</v>
      </c>
      <c r="H39" s="3" t="str">
        <f t="shared" si="9"/>
        <v>2021</v>
      </c>
      <c r="I39" s="3">
        <v>3</v>
      </c>
      <c r="J39" s="69"/>
      <c r="K39">
        <v>3</v>
      </c>
      <c r="L39">
        <v>3</v>
      </c>
      <c r="M39">
        <v>8.9</v>
      </c>
      <c r="N39" s="3">
        <v>220</v>
      </c>
      <c r="O39" s="3" t="str">
        <f t="shared" si="1"/>
        <v>2021</v>
      </c>
      <c r="P39" s="2">
        <v>730</v>
      </c>
    </row>
    <row r="40" spans="1:33" x14ac:dyDescent="0.35">
      <c r="A40" s="3">
        <v>2021</v>
      </c>
      <c r="B40" s="3" t="s">
        <v>28</v>
      </c>
      <c r="C40" s="3" t="s">
        <v>28</v>
      </c>
      <c r="D40" s="2">
        <v>13</v>
      </c>
      <c r="E40" s="3" t="s">
        <v>455</v>
      </c>
      <c r="F40" s="3" t="s">
        <v>28</v>
      </c>
      <c r="G40" s="3" t="s">
        <v>45</v>
      </c>
      <c r="H40" s="3" t="str">
        <f t="shared" si="9"/>
        <v>2011</v>
      </c>
      <c r="I40" s="3">
        <v>10</v>
      </c>
      <c r="J40" s="69"/>
      <c r="K40" s="3" t="s">
        <v>317</v>
      </c>
      <c r="L40" s="3" t="s">
        <v>317</v>
      </c>
      <c r="M40" s="3">
        <v>7.4</v>
      </c>
      <c r="N40" s="3">
        <v>221</v>
      </c>
      <c r="O40" s="3" t="str">
        <f t="shared" si="1"/>
        <v>2007</v>
      </c>
      <c r="P40" s="2">
        <v>13</v>
      </c>
    </row>
    <row r="41" spans="1:33" x14ac:dyDescent="0.35">
      <c r="A41" s="3">
        <v>2024</v>
      </c>
      <c r="B41" s="3">
        <v>1</v>
      </c>
      <c r="C41" s="3">
        <v>25</v>
      </c>
      <c r="D41" s="2">
        <v>605</v>
      </c>
      <c r="E41" s="3" t="s">
        <v>1047</v>
      </c>
      <c r="F41" s="3">
        <v>1</v>
      </c>
      <c r="G41" s="3" t="s">
        <v>20</v>
      </c>
      <c r="H41" s="3" t="str">
        <f t="shared" si="9"/>
        <v>2019</v>
      </c>
      <c r="I41" s="3">
        <v>5</v>
      </c>
      <c r="J41" s="69"/>
      <c r="K41" t="s">
        <v>1048</v>
      </c>
      <c r="L41">
        <v>23</v>
      </c>
      <c r="M41">
        <v>8.1999999999999993</v>
      </c>
      <c r="N41" s="3">
        <v>222</v>
      </c>
      <c r="O41" s="3" t="str">
        <f t="shared" si="1"/>
        <v>2018</v>
      </c>
      <c r="P41" s="2">
        <v>605</v>
      </c>
    </row>
    <row r="42" spans="1:33" x14ac:dyDescent="0.35">
      <c r="A42" s="3">
        <v>2024</v>
      </c>
      <c r="B42" s="3">
        <v>4</v>
      </c>
      <c r="C42" s="3">
        <v>9</v>
      </c>
      <c r="D42" s="2">
        <v>650</v>
      </c>
      <c r="E42" s="3" t="s">
        <v>145</v>
      </c>
      <c r="F42" s="3">
        <v>2</v>
      </c>
      <c r="G42" s="3" t="s">
        <v>225</v>
      </c>
      <c r="H42" s="3" t="str">
        <f t="shared" si="9"/>
        <v>2022</v>
      </c>
      <c r="I42" s="3">
        <v>2</v>
      </c>
      <c r="J42" s="69"/>
      <c r="K42" t="s">
        <v>235</v>
      </c>
      <c r="L42" s="3">
        <v>5</v>
      </c>
      <c r="M42">
        <v>8.6</v>
      </c>
      <c r="N42" s="3">
        <v>223</v>
      </c>
      <c r="O42" s="3" t="str">
        <f t="shared" si="1"/>
        <v>2021</v>
      </c>
      <c r="P42" s="2">
        <v>650</v>
      </c>
    </row>
    <row r="43" spans="1:33" x14ac:dyDescent="0.35">
      <c r="A43" s="3">
        <v>2016</v>
      </c>
      <c r="B43" s="3">
        <v>9</v>
      </c>
      <c r="C43" s="3">
        <v>1</v>
      </c>
      <c r="D43" s="2">
        <v>240</v>
      </c>
      <c r="E43" s="3" t="s">
        <v>698</v>
      </c>
      <c r="F43" s="3">
        <v>3</v>
      </c>
      <c r="G43" s="3" t="s">
        <v>45</v>
      </c>
      <c r="H43" s="3" t="str">
        <f t="shared" si="9"/>
        <v>2011</v>
      </c>
      <c r="I43" s="3">
        <v>5</v>
      </c>
      <c r="J43" s="69"/>
      <c r="K43" s="3" t="s">
        <v>647</v>
      </c>
      <c r="L43" s="3" t="s">
        <v>317</v>
      </c>
      <c r="M43" s="3">
        <v>0.7</v>
      </c>
      <c r="N43" s="3">
        <v>224</v>
      </c>
      <c r="O43" s="3" t="str">
        <f t="shared" si="1"/>
        <v>2007</v>
      </c>
      <c r="P43" s="2">
        <v>240</v>
      </c>
    </row>
    <row r="44" spans="1:33" x14ac:dyDescent="0.35">
      <c r="A44" s="3">
        <v>2016</v>
      </c>
      <c r="B44" s="3">
        <v>8</v>
      </c>
      <c r="C44" s="3">
        <v>31</v>
      </c>
      <c r="D44" s="2">
        <v>285</v>
      </c>
      <c r="E44" s="3" t="s">
        <v>750</v>
      </c>
      <c r="F44" s="3">
        <v>3</v>
      </c>
      <c r="G44" s="3" t="s">
        <v>45</v>
      </c>
      <c r="H44" s="3" t="str">
        <f t="shared" si="9"/>
        <v>2011</v>
      </c>
      <c r="I44" s="3">
        <v>5</v>
      </c>
      <c r="J44" s="69"/>
      <c r="K44" s="3" t="s">
        <v>749</v>
      </c>
      <c r="L44" s="3" t="s">
        <v>317</v>
      </c>
      <c r="M44" s="3">
        <v>10.3</v>
      </c>
      <c r="N44" s="3">
        <v>224</v>
      </c>
      <c r="O44" s="3" t="str">
        <f t="shared" si="1"/>
        <v>2007</v>
      </c>
      <c r="P44" s="2">
        <v>285</v>
      </c>
    </row>
    <row r="45" spans="1:33" x14ac:dyDescent="0.35">
      <c r="A45" s="3">
        <v>2017</v>
      </c>
      <c r="B45" s="3">
        <v>8</v>
      </c>
      <c r="C45" s="3">
        <v>8</v>
      </c>
      <c r="D45" s="2">
        <v>86</v>
      </c>
      <c r="E45" s="14" t="s">
        <v>531</v>
      </c>
      <c r="F45" s="15">
        <v>3</v>
      </c>
      <c r="G45" s="3" t="s">
        <v>45</v>
      </c>
      <c r="H45" s="3" t="str">
        <f t="shared" si="9"/>
        <v>2009</v>
      </c>
      <c r="I45" s="3">
        <v>8</v>
      </c>
      <c r="J45" s="69"/>
      <c r="K45" s="3" t="s">
        <v>512</v>
      </c>
      <c r="L45" s="3" t="s">
        <v>512</v>
      </c>
      <c r="M45" s="3">
        <v>7.3</v>
      </c>
      <c r="N45" s="3">
        <v>225</v>
      </c>
      <c r="O45" s="3" t="str">
        <f t="shared" si="1"/>
        <v>2007</v>
      </c>
      <c r="P45" s="2">
        <v>86</v>
      </c>
    </row>
    <row r="46" spans="1:33" x14ac:dyDescent="0.35">
      <c r="A46" s="3">
        <v>2016</v>
      </c>
      <c r="B46" s="3">
        <v>9</v>
      </c>
      <c r="C46" s="3">
        <v>1</v>
      </c>
      <c r="D46" s="2">
        <v>239</v>
      </c>
      <c r="E46" s="3" t="s">
        <v>697</v>
      </c>
      <c r="F46" s="3">
        <v>3</v>
      </c>
      <c r="G46" s="3" t="s">
        <v>45</v>
      </c>
      <c r="H46" s="3" t="str">
        <f t="shared" si="9"/>
        <v>2011</v>
      </c>
      <c r="I46" s="3">
        <v>5</v>
      </c>
      <c r="J46" s="69"/>
      <c r="K46" s="3" t="s">
        <v>647</v>
      </c>
      <c r="L46" s="3" t="s">
        <v>317</v>
      </c>
      <c r="M46" s="3">
        <v>8.6</v>
      </c>
      <c r="N46" s="3">
        <v>225</v>
      </c>
      <c r="O46" s="3" t="str">
        <f t="shared" si="1"/>
        <v>2007</v>
      </c>
      <c r="P46" s="2">
        <v>239</v>
      </c>
    </row>
    <row r="47" spans="1:33" x14ac:dyDescent="0.35">
      <c r="A47" s="3">
        <v>2016</v>
      </c>
      <c r="B47" s="3">
        <v>11</v>
      </c>
      <c r="C47" s="3">
        <v>7</v>
      </c>
      <c r="D47" s="2">
        <v>206</v>
      </c>
      <c r="E47" s="3" t="s">
        <v>660</v>
      </c>
      <c r="F47" s="3">
        <v>4</v>
      </c>
      <c r="G47" s="3" t="s">
        <v>45</v>
      </c>
      <c r="H47" s="3" t="str">
        <f t="shared" si="9"/>
        <v>2009</v>
      </c>
      <c r="I47" s="3">
        <v>7</v>
      </c>
      <c r="J47" s="69"/>
      <c r="K47" s="3" t="s">
        <v>657</v>
      </c>
      <c r="L47" s="3" t="s">
        <v>488</v>
      </c>
      <c r="M47" s="3">
        <v>7.2</v>
      </c>
      <c r="N47" s="3">
        <v>226</v>
      </c>
      <c r="O47" s="3" t="str">
        <f t="shared" si="1"/>
        <v>2007</v>
      </c>
      <c r="P47" s="2">
        <v>206</v>
      </c>
    </row>
    <row r="48" spans="1:33" x14ac:dyDescent="0.35">
      <c r="A48" s="3">
        <v>2016</v>
      </c>
      <c r="B48" s="3">
        <v>8</v>
      </c>
      <c r="C48" s="3">
        <v>31</v>
      </c>
      <c r="D48" s="2">
        <v>279</v>
      </c>
      <c r="E48" s="3" t="s">
        <v>743</v>
      </c>
      <c r="F48" s="3">
        <v>3</v>
      </c>
      <c r="G48" s="3" t="s">
        <v>45</v>
      </c>
      <c r="H48" s="3" t="str">
        <f t="shared" si="9"/>
        <v>2009</v>
      </c>
      <c r="I48" s="3">
        <v>7</v>
      </c>
      <c r="J48" s="69"/>
      <c r="K48" s="3" t="s">
        <v>742</v>
      </c>
      <c r="L48" s="3" t="s">
        <v>488</v>
      </c>
      <c r="M48" s="3">
        <v>8.5</v>
      </c>
      <c r="N48" s="3">
        <v>226</v>
      </c>
      <c r="O48" s="3" t="str">
        <f t="shared" si="1"/>
        <v>2007</v>
      </c>
      <c r="P48" s="2">
        <v>279</v>
      </c>
    </row>
    <row r="49" spans="1:21" x14ac:dyDescent="0.35">
      <c r="A49" s="3">
        <v>2016</v>
      </c>
      <c r="B49" s="3">
        <v>11</v>
      </c>
      <c r="C49" s="3">
        <v>16</v>
      </c>
      <c r="D49" s="2">
        <v>177</v>
      </c>
      <c r="E49" s="3" t="s">
        <v>627</v>
      </c>
      <c r="F49" s="3">
        <v>4</v>
      </c>
      <c r="G49" s="3" t="s">
        <v>41</v>
      </c>
      <c r="H49" s="3" t="str">
        <f t="shared" si="9"/>
        <v>2013</v>
      </c>
      <c r="I49" s="3">
        <v>3</v>
      </c>
      <c r="J49" s="69"/>
      <c r="K49" s="3" t="s">
        <v>583</v>
      </c>
      <c r="L49" s="3" t="s">
        <v>318</v>
      </c>
      <c r="M49" s="3">
        <v>0.9</v>
      </c>
      <c r="N49" s="3">
        <v>227</v>
      </c>
      <c r="O49" s="3" t="str">
        <f t="shared" si="1"/>
        <v>2011</v>
      </c>
      <c r="P49" s="2">
        <v>177</v>
      </c>
    </row>
    <row r="50" spans="1:21" x14ac:dyDescent="0.35">
      <c r="A50" s="3">
        <v>2022</v>
      </c>
      <c r="B50" s="3">
        <v>11</v>
      </c>
      <c r="C50" s="3">
        <v>14</v>
      </c>
      <c r="D50" s="2">
        <v>99</v>
      </c>
      <c r="E50" s="14" t="s">
        <v>547</v>
      </c>
      <c r="F50" s="15">
        <v>4</v>
      </c>
      <c r="G50" s="3" t="s">
        <v>20</v>
      </c>
      <c r="H50" s="3" t="str">
        <f t="shared" si="9"/>
        <v>2020</v>
      </c>
      <c r="I50" s="3">
        <v>2</v>
      </c>
      <c r="J50" s="69"/>
      <c r="K50" s="3">
        <v>37</v>
      </c>
      <c r="L50" s="3">
        <v>37</v>
      </c>
      <c r="M50" s="3">
        <v>8.4</v>
      </c>
      <c r="N50" s="3">
        <v>228</v>
      </c>
      <c r="O50" s="3" t="str">
        <f t="shared" si="1"/>
        <v>2018</v>
      </c>
      <c r="P50" s="2">
        <v>99</v>
      </c>
    </row>
    <row r="51" spans="1:21" x14ac:dyDescent="0.35">
      <c r="A51" s="3">
        <v>2023</v>
      </c>
      <c r="B51" s="3">
        <v>8</v>
      </c>
      <c r="C51" s="3">
        <v>2</v>
      </c>
      <c r="D51" s="2">
        <v>432</v>
      </c>
      <c r="E51" s="3" t="s">
        <v>893</v>
      </c>
      <c r="F51" s="3">
        <v>3</v>
      </c>
      <c r="G51" s="3" t="s">
        <v>225</v>
      </c>
      <c r="H51" s="3" t="str">
        <f t="shared" si="9"/>
        <v>2022</v>
      </c>
      <c r="I51" s="3">
        <v>1</v>
      </c>
      <c r="J51" s="69"/>
      <c r="K51" s="3" t="s">
        <v>67</v>
      </c>
      <c r="L51" s="3">
        <v>2</v>
      </c>
      <c r="M51" s="3">
        <v>33.6</v>
      </c>
      <c r="N51" s="3">
        <v>230</v>
      </c>
      <c r="O51" s="3" t="str">
        <f t="shared" si="1"/>
        <v>2021</v>
      </c>
      <c r="P51" s="2">
        <v>432</v>
      </c>
      <c r="T51">
        <v>5.27</v>
      </c>
      <c r="U51">
        <v>6.21</v>
      </c>
    </row>
    <row r="52" spans="1:21" x14ac:dyDescent="0.35">
      <c r="A52" s="3">
        <v>2016</v>
      </c>
      <c r="B52" s="3">
        <v>8</v>
      </c>
      <c r="C52" s="3">
        <v>31</v>
      </c>
      <c r="D52" s="2">
        <v>286</v>
      </c>
      <c r="E52" s="3" t="s">
        <v>751</v>
      </c>
      <c r="F52" s="3">
        <v>3</v>
      </c>
      <c r="G52" s="3" t="s">
        <v>45</v>
      </c>
      <c r="H52" s="3" t="str">
        <f t="shared" si="9"/>
        <v>2011</v>
      </c>
      <c r="I52" s="3">
        <v>5</v>
      </c>
      <c r="J52" s="69"/>
      <c r="K52" s="3" t="s">
        <v>749</v>
      </c>
      <c r="L52" s="3" t="s">
        <v>317</v>
      </c>
      <c r="M52" s="3">
        <v>6.8</v>
      </c>
      <c r="N52" s="3">
        <v>230</v>
      </c>
      <c r="O52" s="3" t="str">
        <f t="shared" si="1"/>
        <v>2007</v>
      </c>
      <c r="P52" s="2">
        <v>286</v>
      </c>
    </row>
    <row r="53" spans="1:21" x14ac:dyDescent="0.35">
      <c r="A53" s="3">
        <v>2019</v>
      </c>
      <c r="B53" s="3">
        <v>11</v>
      </c>
      <c r="C53" s="3">
        <v>27</v>
      </c>
      <c r="D53" s="2">
        <v>55</v>
      </c>
      <c r="E53" s="3" t="s">
        <v>498</v>
      </c>
      <c r="F53" s="3">
        <v>4</v>
      </c>
      <c r="G53" s="3" t="s">
        <v>45</v>
      </c>
      <c r="H53" s="3" t="str">
        <f t="shared" si="9"/>
        <v>2009</v>
      </c>
      <c r="I53" s="3">
        <v>10</v>
      </c>
      <c r="J53" s="69"/>
      <c r="K53" s="3" t="s">
        <v>488</v>
      </c>
      <c r="L53" s="3" t="s">
        <v>488</v>
      </c>
      <c r="M53" s="3">
        <v>8.9</v>
      </c>
      <c r="N53" s="3">
        <v>231</v>
      </c>
      <c r="O53" s="3" t="str">
        <f t="shared" si="1"/>
        <v>2007</v>
      </c>
      <c r="P53" s="2">
        <v>55</v>
      </c>
    </row>
    <row r="54" spans="1:21" x14ac:dyDescent="0.35">
      <c r="A54" s="3">
        <v>2016</v>
      </c>
      <c r="B54" s="3">
        <v>8</v>
      </c>
      <c r="C54" s="3">
        <v>31</v>
      </c>
      <c r="D54" s="2">
        <v>250</v>
      </c>
      <c r="E54" s="3" t="s">
        <v>708</v>
      </c>
      <c r="F54" s="3">
        <v>3</v>
      </c>
      <c r="G54" s="3" t="s">
        <v>45</v>
      </c>
      <c r="H54" s="3" t="str">
        <f t="shared" si="9"/>
        <v>2009</v>
      </c>
      <c r="I54" s="3">
        <v>7</v>
      </c>
      <c r="J54" s="69"/>
      <c r="K54" s="3" t="s">
        <v>657</v>
      </c>
      <c r="L54" s="3" t="s">
        <v>488</v>
      </c>
      <c r="M54" s="3">
        <v>7.6</v>
      </c>
      <c r="N54" s="3">
        <v>232</v>
      </c>
      <c r="O54" s="3" t="str">
        <f t="shared" si="1"/>
        <v>2007</v>
      </c>
      <c r="P54" s="2">
        <v>250</v>
      </c>
    </row>
    <row r="55" spans="1:21" x14ac:dyDescent="0.35">
      <c r="A55" s="3" t="s">
        <v>28</v>
      </c>
      <c r="B55" s="3" t="s">
        <v>28</v>
      </c>
      <c r="C55" s="3" t="s">
        <v>28</v>
      </c>
      <c r="D55" s="2">
        <v>302</v>
      </c>
      <c r="E55" s="3" t="s">
        <v>768</v>
      </c>
      <c r="F55" s="3" t="s">
        <v>28</v>
      </c>
      <c r="G55" s="3" t="s">
        <v>28</v>
      </c>
      <c r="H55" s="3" t="b">
        <f t="shared" si="9"/>
        <v>0</v>
      </c>
      <c r="I55" s="3" t="e">
        <v>#VALUE!</v>
      </c>
      <c r="J55" s="69"/>
      <c r="K55" s="3" t="s">
        <v>28</v>
      </c>
      <c r="L55" s="3" t="s">
        <v>28</v>
      </c>
      <c r="M55" s="3">
        <v>9.1</v>
      </c>
      <c r="N55" s="3">
        <v>233</v>
      </c>
      <c r="O55" s="3" t="b">
        <f t="shared" si="1"/>
        <v>0</v>
      </c>
      <c r="P55" s="2">
        <v>302</v>
      </c>
    </row>
    <row r="56" spans="1:21" x14ac:dyDescent="0.35">
      <c r="A56" s="3">
        <v>2024</v>
      </c>
      <c r="B56" s="3">
        <v>1</v>
      </c>
      <c r="C56" s="3">
        <v>23</v>
      </c>
      <c r="D56" s="2">
        <v>609</v>
      </c>
      <c r="E56" s="3" t="s">
        <v>1051</v>
      </c>
      <c r="F56" s="3">
        <v>1</v>
      </c>
      <c r="G56" s="3" t="s">
        <v>20</v>
      </c>
      <c r="H56" s="3" t="str">
        <f t="shared" si="9"/>
        <v>2020</v>
      </c>
      <c r="I56" s="3">
        <v>4</v>
      </c>
      <c r="J56" s="69"/>
      <c r="K56" t="s">
        <v>64</v>
      </c>
      <c r="L56">
        <v>7</v>
      </c>
      <c r="M56">
        <v>29.8</v>
      </c>
      <c r="N56" s="3">
        <v>233</v>
      </c>
      <c r="O56" s="3" t="str">
        <f t="shared" si="1"/>
        <v>2018</v>
      </c>
      <c r="P56" s="2">
        <v>609</v>
      </c>
    </row>
    <row r="57" spans="1:21" x14ac:dyDescent="0.35">
      <c r="A57" s="3">
        <v>2016</v>
      </c>
      <c r="B57" s="3">
        <v>9</v>
      </c>
      <c r="C57" s="3">
        <v>2</v>
      </c>
      <c r="D57" s="2">
        <v>295</v>
      </c>
      <c r="E57" s="3" t="s">
        <v>761</v>
      </c>
      <c r="F57" s="3">
        <v>3</v>
      </c>
      <c r="G57" s="3" t="s">
        <v>41</v>
      </c>
      <c r="H57" s="3" t="str">
        <f t="shared" si="9"/>
        <v>2013</v>
      </c>
      <c r="I57" s="3">
        <v>3</v>
      </c>
      <c r="J57" s="69"/>
      <c r="K57" s="3" t="s">
        <v>583</v>
      </c>
      <c r="L57" s="3" t="s">
        <v>318</v>
      </c>
      <c r="M57" s="3">
        <v>11.6</v>
      </c>
      <c r="N57" s="3">
        <v>235</v>
      </c>
      <c r="O57" s="3" t="str">
        <f t="shared" si="1"/>
        <v>2011</v>
      </c>
      <c r="P57" s="2">
        <v>295</v>
      </c>
    </row>
    <row r="58" spans="1:21" x14ac:dyDescent="0.35">
      <c r="A58" s="3">
        <v>2023</v>
      </c>
      <c r="B58" s="3">
        <v>11</v>
      </c>
      <c r="C58" s="3">
        <v>3</v>
      </c>
      <c r="D58" s="2">
        <v>506</v>
      </c>
      <c r="E58" s="3" t="s">
        <v>960</v>
      </c>
      <c r="F58" s="3">
        <v>4</v>
      </c>
      <c r="G58" s="3" t="s">
        <v>226</v>
      </c>
      <c r="H58" s="3" t="str">
        <f t="shared" si="9"/>
        <v>2017</v>
      </c>
      <c r="I58" s="3">
        <v>6</v>
      </c>
      <c r="J58" s="69"/>
      <c r="K58" s="3" t="s">
        <v>783</v>
      </c>
      <c r="L58" s="3">
        <v>7</v>
      </c>
      <c r="M58" s="3">
        <v>10.199999999999999</v>
      </c>
      <c r="N58" s="3">
        <v>235</v>
      </c>
      <c r="O58" s="3" t="str">
        <f t="shared" si="1"/>
        <v>2017</v>
      </c>
      <c r="P58" s="2">
        <v>506</v>
      </c>
    </row>
    <row r="59" spans="1:21" x14ac:dyDescent="0.35">
      <c r="A59" s="3">
        <v>2024</v>
      </c>
      <c r="B59" s="3">
        <v>2</v>
      </c>
      <c r="C59" s="3">
        <v>23</v>
      </c>
      <c r="D59" s="2">
        <v>643</v>
      </c>
      <c r="E59" s="3" t="s">
        <v>1077</v>
      </c>
      <c r="F59" s="3">
        <v>1</v>
      </c>
      <c r="G59" s="3" t="s">
        <v>225</v>
      </c>
      <c r="H59" s="3" t="str">
        <f t="shared" si="9"/>
        <v>2022</v>
      </c>
      <c r="I59" s="3">
        <v>2</v>
      </c>
      <c r="J59" s="69"/>
      <c r="K59" t="s">
        <v>21</v>
      </c>
      <c r="L59" s="3">
        <v>2</v>
      </c>
      <c r="M59">
        <v>10.6</v>
      </c>
      <c r="N59" s="3">
        <v>235</v>
      </c>
      <c r="O59" s="3" t="str">
        <f t="shared" si="1"/>
        <v>2021</v>
      </c>
      <c r="P59" s="2">
        <v>643</v>
      </c>
    </row>
    <row r="60" spans="1:21" x14ac:dyDescent="0.35">
      <c r="A60" s="3">
        <v>2023</v>
      </c>
      <c r="B60" s="3">
        <v>7</v>
      </c>
      <c r="C60" s="3">
        <v>18</v>
      </c>
      <c r="D60" s="2">
        <v>342</v>
      </c>
      <c r="E60" s="3" t="s">
        <v>808</v>
      </c>
      <c r="F60" s="3">
        <v>3</v>
      </c>
      <c r="G60" s="3" t="s">
        <v>41</v>
      </c>
      <c r="H60" s="3" t="str">
        <f t="shared" si="9"/>
        <v>2012</v>
      </c>
      <c r="I60" s="3">
        <v>11</v>
      </c>
      <c r="J60" s="69"/>
      <c r="K60" s="3" t="s">
        <v>551</v>
      </c>
      <c r="L60" s="3" t="s">
        <v>461</v>
      </c>
      <c r="M60" s="3">
        <v>9.4</v>
      </c>
      <c r="N60" s="3">
        <v>237</v>
      </c>
      <c r="O60" s="3" t="str">
        <f t="shared" si="1"/>
        <v>2011</v>
      </c>
      <c r="P60" s="2">
        <v>342</v>
      </c>
    </row>
    <row r="61" spans="1:21" x14ac:dyDescent="0.35">
      <c r="A61" s="3">
        <v>2016</v>
      </c>
      <c r="B61" s="3">
        <v>9</v>
      </c>
      <c r="C61" s="3">
        <v>8</v>
      </c>
      <c r="D61" s="2">
        <v>223</v>
      </c>
      <c r="E61" s="3" t="s">
        <v>681</v>
      </c>
      <c r="F61" s="3">
        <v>3</v>
      </c>
      <c r="G61" s="3" t="s">
        <v>41</v>
      </c>
      <c r="H61" s="3" t="str">
        <f t="shared" si="9"/>
        <v>2013</v>
      </c>
      <c r="I61" s="3">
        <v>3</v>
      </c>
      <c r="J61" s="69"/>
      <c r="K61" s="3" t="s">
        <v>669</v>
      </c>
      <c r="L61" s="3" t="s">
        <v>458</v>
      </c>
      <c r="M61" s="3">
        <v>0.9</v>
      </c>
      <c r="N61" s="3">
        <v>238</v>
      </c>
      <c r="O61" s="3" t="str">
        <f t="shared" si="1"/>
        <v>2011</v>
      </c>
      <c r="P61" s="2">
        <v>223</v>
      </c>
    </row>
    <row r="62" spans="1:21" x14ac:dyDescent="0.35">
      <c r="A62" s="3">
        <v>2024</v>
      </c>
      <c r="B62" s="3">
        <v>2</v>
      </c>
      <c r="C62" s="3">
        <v>23</v>
      </c>
      <c r="D62" s="2">
        <v>634</v>
      </c>
      <c r="E62" s="3" t="s">
        <v>1070</v>
      </c>
      <c r="F62" s="3">
        <v>1</v>
      </c>
      <c r="G62" s="3" t="s">
        <v>225</v>
      </c>
      <c r="H62" s="3" t="str">
        <f t="shared" si="9"/>
        <v>2022</v>
      </c>
      <c r="I62" s="3">
        <v>2</v>
      </c>
      <c r="J62" s="69"/>
      <c r="K62" t="s">
        <v>21</v>
      </c>
      <c r="L62" s="3">
        <v>2</v>
      </c>
      <c r="M62">
        <v>13.9</v>
      </c>
      <c r="N62" s="3">
        <v>238</v>
      </c>
      <c r="O62" s="3" t="str">
        <f t="shared" si="1"/>
        <v>2021</v>
      </c>
      <c r="P62" s="2">
        <v>634</v>
      </c>
    </row>
    <row r="63" spans="1:21" x14ac:dyDescent="0.35">
      <c r="A63" s="3">
        <v>2016</v>
      </c>
      <c r="B63" s="3">
        <v>9</v>
      </c>
      <c r="C63" s="3">
        <v>2</v>
      </c>
      <c r="D63" s="2">
        <v>289</v>
      </c>
      <c r="E63" s="3" t="s">
        <v>754</v>
      </c>
      <c r="F63" s="3">
        <v>3</v>
      </c>
      <c r="G63" s="3" t="s">
        <v>41</v>
      </c>
      <c r="H63" s="3" t="str">
        <f t="shared" si="9"/>
        <v>2013</v>
      </c>
      <c r="I63" s="3">
        <v>3</v>
      </c>
      <c r="J63" s="69"/>
      <c r="K63" s="3" t="s">
        <v>755</v>
      </c>
      <c r="L63" s="3" t="s">
        <v>458</v>
      </c>
      <c r="M63" s="3">
        <v>1</v>
      </c>
      <c r="N63" s="3">
        <v>239</v>
      </c>
      <c r="O63" s="3" t="str">
        <f t="shared" si="1"/>
        <v>2011</v>
      </c>
      <c r="P63" s="2">
        <v>289</v>
      </c>
    </row>
    <row r="64" spans="1:21" x14ac:dyDescent="0.35">
      <c r="A64" s="3">
        <v>2016</v>
      </c>
      <c r="B64" s="3">
        <v>11</v>
      </c>
      <c r="C64" s="3">
        <v>7</v>
      </c>
      <c r="D64" s="2">
        <v>210</v>
      </c>
      <c r="E64" s="3" t="s">
        <v>665</v>
      </c>
      <c r="F64" s="3">
        <v>4</v>
      </c>
      <c r="G64" s="3" t="s">
        <v>45</v>
      </c>
      <c r="H64" s="3" t="str">
        <f t="shared" si="9"/>
        <v>2009</v>
      </c>
      <c r="I64" s="3">
        <v>7</v>
      </c>
      <c r="J64" s="69"/>
      <c r="K64" s="3" t="s">
        <v>662</v>
      </c>
      <c r="L64" s="3" t="s">
        <v>488</v>
      </c>
      <c r="M64" s="3">
        <v>9.6999999999999993</v>
      </c>
      <c r="N64" s="3">
        <v>240</v>
      </c>
      <c r="O64" s="3" t="str">
        <f t="shared" si="1"/>
        <v>2007</v>
      </c>
      <c r="P64" s="2">
        <v>210</v>
      </c>
      <c r="T64">
        <v>6.42</v>
      </c>
    </row>
    <row r="65" spans="1:20" x14ac:dyDescent="0.35">
      <c r="A65" s="3">
        <v>2022</v>
      </c>
      <c r="B65" s="3">
        <v>11</v>
      </c>
      <c r="C65" s="3">
        <v>14</v>
      </c>
      <c r="D65" s="2">
        <v>121</v>
      </c>
      <c r="E65" s="14" t="s">
        <v>566</v>
      </c>
      <c r="F65" s="15">
        <v>4</v>
      </c>
      <c r="G65" s="3" t="s">
        <v>20</v>
      </c>
      <c r="H65" s="3" t="str">
        <f t="shared" si="9"/>
        <v>2020</v>
      </c>
      <c r="I65" s="3">
        <v>2</v>
      </c>
      <c r="J65" s="69"/>
      <c r="K65" s="3">
        <v>8</v>
      </c>
      <c r="L65" s="3">
        <v>8</v>
      </c>
      <c r="M65" s="3">
        <v>9.8000000000000007</v>
      </c>
      <c r="N65" s="3">
        <v>240</v>
      </c>
      <c r="O65" s="3" t="str">
        <f t="shared" si="1"/>
        <v>2018</v>
      </c>
      <c r="P65" s="2">
        <v>121</v>
      </c>
    </row>
    <row r="66" spans="1:20" x14ac:dyDescent="0.35">
      <c r="A66" s="3">
        <v>2016</v>
      </c>
      <c r="B66" s="3">
        <v>11</v>
      </c>
      <c r="C66" s="3">
        <v>7</v>
      </c>
      <c r="D66" s="2">
        <v>255</v>
      </c>
      <c r="E66" s="3" t="s">
        <v>714</v>
      </c>
      <c r="F66" s="3">
        <v>4</v>
      </c>
      <c r="G66" s="3" t="s">
        <v>45</v>
      </c>
      <c r="H66" s="3" t="str">
        <f t="shared" ref="H66:H69" si="10">IF(L66="A55","2009",IF(L66="A59","2009",IF(L66="A60","2010",IF(L66="A62","2011",IF(L66="CP","2013",IF(L66="MD","2012",IF(L66="TS","2013",IF(L66="DL","2018",IF(L66="SCU","2018",IF(L66="NCU","2018",IF(L66="C1C","2018",IF(L66="C1E","2018",IF(L66="RS1S","2018",IF(L66="C2B","2018",IF(L66="DB3","2018",IF(AND(L66=6,G66="SRS"),"2018",IF(AND(L66=7,G66="SRS"),"2020",IF(AND(L66=8,G66="SRS"),"2020",IF(L66=23,"2019",IF(AND(L66=7,G66="WCA 3B"),"2017",IF(AND(L66=8,G66="WCA 3B"),"2019",IF(L66=1,"2021",IF(L66=2,"2022",IF(L66=3,"2021",IF(L66=4,"2021",IF(L66=5,"2022",IF(AND(L66=6,G66="WCA 3A"),"2022",IF(L66=9,"2023",IF(L66=10,"2023",IF(L66=37,"2020"))))))))))))))))))))))))))))))</f>
        <v>2009</v>
      </c>
      <c r="I66" s="3">
        <v>7</v>
      </c>
      <c r="J66" s="69"/>
      <c r="K66" s="3" t="s">
        <v>711</v>
      </c>
      <c r="L66" s="3" t="s">
        <v>512</v>
      </c>
      <c r="M66" s="3">
        <v>11.5</v>
      </c>
      <c r="N66" s="3">
        <v>240</v>
      </c>
      <c r="O66" s="3" t="str">
        <f t="shared" ref="O66:O129" si="11">IF(G66="PHD", "2007", IF(G66="TSL", "2011", IF(G66 = "SRS", "2018", IF(G66="WCA 3B", "2017", IF(G66="WCA 3A", "2021")))))</f>
        <v>2007</v>
      </c>
      <c r="P66" s="2">
        <v>255</v>
      </c>
    </row>
    <row r="67" spans="1:20" x14ac:dyDescent="0.35">
      <c r="A67" s="3">
        <v>2016</v>
      </c>
      <c r="B67" s="3">
        <v>8</v>
      </c>
      <c r="C67" s="3">
        <v>31</v>
      </c>
      <c r="D67" s="2">
        <v>282</v>
      </c>
      <c r="E67" s="3" t="s">
        <v>746</v>
      </c>
      <c r="F67" s="3">
        <v>3</v>
      </c>
      <c r="G67" s="3" t="s">
        <v>45</v>
      </c>
      <c r="H67" s="3" t="str">
        <f t="shared" si="10"/>
        <v>2009</v>
      </c>
      <c r="I67" s="3">
        <v>7</v>
      </c>
      <c r="J67" s="69"/>
      <c r="K67" s="3" t="s">
        <v>742</v>
      </c>
      <c r="L67" s="3" t="s">
        <v>488</v>
      </c>
      <c r="M67" s="3">
        <v>8.9</v>
      </c>
      <c r="N67" s="3">
        <v>240</v>
      </c>
      <c r="O67" s="3" t="str">
        <f t="shared" si="11"/>
        <v>2007</v>
      </c>
      <c r="P67" s="2">
        <v>282</v>
      </c>
    </row>
    <row r="68" spans="1:20" x14ac:dyDescent="0.35">
      <c r="A68" s="3">
        <v>2024</v>
      </c>
      <c r="B68" s="3">
        <v>1</v>
      </c>
      <c r="C68" s="3">
        <v>26</v>
      </c>
      <c r="D68" s="2">
        <v>574</v>
      </c>
      <c r="E68" s="3" t="s">
        <v>1017</v>
      </c>
      <c r="F68" s="3">
        <v>1</v>
      </c>
      <c r="G68" s="3" t="s">
        <v>225</v>
      </c>
      <c r="H68" s="3" t="str">
        <f t="shared" si="10"/>
        <v>2021</v>
      </c>
      <c r="I68" s="3">
        <v>3</v>
      </c>
      <c r="J68" s="69"/>
      <c r="K68" t="s">
        <v>1018</v>
      </c>
      <c r="L68">
        <v>1</v>
      </c>
      <c r="M68">
        <v>11.1</v>
      </c>
      <c r="N68" s="3">
        <v>240</v>
      </c>
      <c r="O68" s="3" t="str">
        <f t="shared" si="11"/>
        <v>2021</v>
      </c>
      <c r="P68" s="2">
        <v>574</v>
      </c>
    </row>
    <row r="69" spans="1:20" x14ac:dyDescent="0.35">
      <c r="A69" s="3">
        <v>2019</v>
      </c>
      <c r="B69" s="3">
        <v>11</v>
      </c>
      <c r="C69" s="3">
        <v>27</v>
      </c>
      <c r="D69" s="2">
        <v>53</v>
      </c>
      <c r="E69" s="3" t="s">
        <v>496</v>
      </c>
      <c r="F69" s="3">
        <v>4</v>
      </c>
      <c r="G69" s="3" t="s">
        <v>45</v>
      </c>
      <c r="H69" s="3" t="str">
        <f t="shared" si="10"/>
        <v>2009</v>
      </c>
      <c r="I69" s="3">
        <v>10</v>
      </c>
      <c r="J69" s="69"/>
      <c r="K69" s="3" t="s">
        <v>488</v>
      </c>
      <c r="L69" s="3" t="s">
        <v>488</v>
      </c>
      <c r="M69" s="3">
        <v>8.4</v>
      </c>
      <c r="N69" s="3">
        <v>243</v>
      </c>
      <c r="O69" s="3" t="str">
        <f t="shared" si="11"/>
        <v>2007</v>
      </c>
      <c r="P69" s="2">
        <v>53</v>
      </c>
    </row>
    <row r="70" spans="1:20" x14ac:dyDescent="0.35">
      <c r="A70" s="3">
        <v>2017</v>
      </c>
      <c r="B70" s="3">
        <v>11</v>
      </c>
      <c r="C70" s="3">
        <v>14</v>
      </c>
      <c r="D70" s="2">
        <v>68</v>
      </c>
      <c r="E70" s="14" t="s">
        <v>513</v>
      </c>
      <c r="F70" s="15">
        <v>4</v>
      </c>
      <c r="G70" s="3" t="s">
        <v>41</v>
      </c>
      <c r="H70" s="3" t="s">
        <v>28</v>
      </c>
      <c r="I70" s="3" t="e">
        <v>#VALUE!</v>
      </c>
      <c r="J70" s="69"/>
      <c r="K70" s="3" t="s">
        <v>28</v>
      </c>
      <c r="L70" s="3" t="s">
        <v>28</v>
      </c>
      <c r="M70" s="3">
        <v>7.3</v>
      </c>
      <c r="N70" s="3">
        <v>245</v>
      </c>
      <c r="O70" s="3" t="str">
        <f t="shared" si="11"/>
        <v>2011</v>
      </c>
      <c r="P70" s="2">
        <v>68</v>
      </c>
    </row>
    <row r="71" spans="1:20" x14ac:dyDescent="0.35">
      <c r="A71" s="3">
        <v>2016</v>
      </c>
      <c r="B71" s="3">
        <v>8</v>
      </c>
      <c r="C71" s="3">
        <v>31</v>
      </c>
      <c r="D71" s="2">
        <v>249</v>
      </c>
      <c r="E71" s="3" t="s">
        <v>707</v>
      </c>
      <c r="F71" s="3">
        <v>3</v>
      </c>
      <c r="G71" s="3" t="s">
        <v>45</v>
      </c>
      <c r="H71" s="3" t="str">
        <f t="shared" ref="H71:H134" si="12">IF(L71="A55","2009",IF(L71="A59","2009",IF(L71="A60","2010",IF(L71="A62","2011",IF(L71="CP","2013",IF(L71="MD","2012",IF(L71="TS","2013",IF(L71="DL","2018",IF(L71="SCU","2018",IF(L71="NCU","2018",IF(L71="C1C","2018",IF(L71="C1E","2018",IF(L71="RS1S","2018",IF(L71="C2B","2018",IF(L71="DB3","2018",IF(AND(L71=6,G71="SRS"),"2018",IF(AND(L71=7,G71="SRS"),"2020",IF(AND(L71=8,G71="SRS"),"2020",IF(L71=23,"2019",IF(AND(L71=7,G71="WCA 3B"),"2017",IF(AND(L71=8,G71="WCA 3B"),"2019",IF(L71=1,"2021",IF(L71=2,"2022",IF(L71=3,"2021",IF(L71=4,"2021",IF(L71=5,"2022",IF(AND(L71=6,G71="WCA 3A"),"2022",IF(L71=9,"2023",IF(L71=10,"2023",IF(L71=37,"2020"))))))))))))))))))))))))))))))</f>
        <v>2009</v>
      </c>
      <c r="I71" s="3">
        <v>7</v>
      </c>
      <c r="J71" s="69"/>
      <c r="K71" s="3" t="s">
        <v>657</v>
      </c>
      <c r="L71" s="3" t="s">
        <v>488</v>
      </c>
      <c r="M71" s="3">
        <v>8.8000000000000007</v>
      </c>
      <c r="N71" s="3">
        <v>249</v>
      </c>
      <c r="O71" s="3" t="str">
        <f t="shared" si="11"/>
        <v>2007</v>
      </c>
      <c r="P71" s="2">
        <v>249</v>
      </c>
    </row>
    <row r="72" spans="1:20" x14ac:dyDescent="0.35">
      <c r="A72" s="3">
        <v>2024</v>
      </c>
      <c r="B72" s="3">
        <v>1</v>
      </c>
      <c r="C72" s="3">
        <v>19</v>
      </c>
      <c r="D72" s="2">
        <v>576</v>
      </c>
      <c r="E72" s="3" t="s">
        <v>1020</v>
      </c>
      <c r="F72" s="3">
        <v>1</v>
      </c>
      <c r="G72" s="3" t="s">
        <v>41</v>
      </c>
      <c r="H72" s="3" t="str">
        <f t="shared" si="12"/>
        <v>2013</v>
      </c>
      <c r="I72" s="3">
        <v>11</v>
      </c>
      <c r="J72" s="69"/>
      <c r="K72" t="s">
        <v>509</v>
      </c>
      <c r="L72" s="3" t="s">
        <v>458</v>
      </c>
      <c r="M72">
        <v>35.299999999999997</v>
      </c>
      <c r="N72" s="3">
        <v>250</v>
      </c>
      <c r="O72" s="3" t="str">
        <f t="shared" si="11"/>
        <v>2011</v>
      </c>
      <c r="P72" s="2">
        <v>576</v>
      </c>
      <c r="T72">
        <v>6.23</v>
      </c>
    </row>
    <row r="73" spans="1:20" x14ac:dyDescent="0.35">
      <c r="A73" s="3">
        <v>2016</v>
      </c>
      <c r="B73" s="3">
        <v>9</v>
      </c>
      <c r="C73" s="3">
        <v>2</v>
      </c>
      <c r="D73" s="2">
        <v>294</v>
      </c>
      <c r="E73" s="3" t="s">
        <v>760</v>
      </c>
      <c r="F73" s="3">
        <v>3</v>
      </c>
      <c r="G73" s="3" t="s">
        <v>41</v>
      </c>
      <c r="H73" s="3" t="str">
        <f t="shared" si="12"/>
        <v>2013</v>
      </c>
      <c r="I73" s="3">
        <v>3</v>
      </c>
      <c r="J73" s="69"/>
      <c r="K73" s="3" t="s">
        <v>583</v>
      </c>
      <c r="L73" s="3" t="s">
        <v>318</v>
      </c>
      <c r="M73" s="3">
        <v>15.6</v>
      </c>
      <c r="N73" s="3">
        <v>250</v>
      </c>
      <c r="O73" s="3" t="str">
        <f t="shared" si="11"/>
        <v>2011</v>
      </c>
      <c r="P73" s="2">
        <v>294</v>
      </c>
    </row>
    <row r="74" spans="1:20" x14ac:dyDescent="0.35">
      <c r="A74" s="3">
        <v>2016</v>
      </c>
      <c r="B74" s="3">
        <v>9</v>
      </c>
      <c r="C74" s="3">
        <v>1</v>
      </c>
      <c r="D74" s="2">
        <v>241</v>
      </c>
      <c r="E74" s="3" t="s">
        <v>699</v>
      </c>
      <c r="F74" s="3">
        <v>3</v>
      </c>
      <c r="G74" s="3" t="s">
        <v>45</v>
      </c>
      <c r="H74" s="3" t="str">
        <f t="shared" si="12"/>
        <v>2011</v>
      </c>
      <c r="I74" s="3">
        <v>5</v>
      </c>
      <c r="J74" s="69"/>
      <c r="K74" s="3" t="s">
        <v>647</v>
      </c>
      <c r="L74" s="3" t="s">
        <v>317</v>
      </c>
      <c r="M74" s="3">
        <v>10.7</v>
      </c>
      <c r="N74" s="3">
        <v>251</v>
      </c>
      <c r="O74" s="3" t="str">
        <f t="shared" si="11"/>
        <v>2007</v>
      </c>
      <c r="P74" s="2">
        <v>241</v>
      </c>
    </row>
    <row r="75" spans="1:20" x14ac:dyDescent="0.35">
      <c r="A75" s="3">
        <v>2018</v>
      </c>
      <c r="B75" s="3">
        <v>8</v>
      </c>
      <c r="C75" s="3">
        <v>17</v>
      </c>
      <c r="D75" s="2">
        <v>277</v>
      </c>
      <c r="E75" s="3" t="s">
        <v>739</v>
      </c>
      <c r="F75" s="3">
        <v>3</v>
      </c>
      <c r="G75" s="3" t="s">
        <v>45</v>
      </c>
      <c r="H75" s="3" t="str">
        <f t="shared" si="12"/>
        <v>2009</v>
      </c>
      <c r="I75" s="3">
        <v>9</v>
      </c>
      <c r="J75" s="69"/>
      <c r="K75" s="3" t="s">
        <v>740</v>
      </c>
      <c r="L75" s="3" t="s">
        <v>488</v>
      </c>
      <c r="M75" s="3">
        <v>8.1</v>
      </c>
      <c r="N75" s="3">
        <v>251</v>
      </c>
      <c r="O75" s="3" t="str">
        <f t="shared" si="11"/>
        <v>2007</v>
      </c>
      <c r="P75" s="2">
        <v>277</v>
      </c>
    </row>
    <row r="76" spans="1:20" x14ac:dyDescent="0.35">
      <c r="A76" s="3">
        <v>2022</v>
      </c>
      <c r="B76" s="3">
        <v>11</v>
      </c>
      <c r="C76" s="3">
        <v>15</v>
      </c>
      <c r="D76" s="2">
        <v>107</v>
      </c>
      <c r="E76" s="14" t="s">
        <v>555</v>
      </c>
      <c r="F76" s="15">
        <v>4</v>
      </c>
      <c r="G76" s="3" t="s">
        <v>20</v>
      </c>
      <c r="H76" s="3" t="str">
        <f t="shared" si="12"/>
        <v>2020</v>
      </c>
      <c r="I76" s="3">
        <v>2</v>
      </c>
      <c r="J76" s="69"/>
      <c r="K76" s="3">
        <v>7</v>
      </c>
      <c r="L76" s="3">
        <v>7</v>
      </c>
      <c r="M76" s="3">
        <v>14.8</v>
      </c>
      <c r="N76" s="3">
        <v>252</v>
      </c>
      <c r="O76" s="3" t="str">
        <f t="shared" si="11"/>
        <v>2018</v>
      </c>
      <c r="P76" s="2">
        <v>107</v>
      </c>
    </row>
    <row r="77" spans="1:20" x14ac:dyDescent="0.35">
      <c r="A77" s="3">
        <v>2016</v>
      </c>
      <c r="B77" s="3">
        <v>8</v>
      </c>
      <c r="C77" s="3">
        <v>31</v>
      </c>
      <c r="D77" s="2">
        <v>281</v>
      </c>
      <c r="E77" s="3" t="s">
        <v>745</v>
      </c>
      <c r="F77" s="3">
        <v>3</v>
      </c>
      <c r="G77" s="3" t="s">
        <v>45</v>
      </c>
      <c r="H77" s="3" t="str">
        <f t="shared" si="12"/>
        <v>2009</v>
      </c>
      <c r="I77" s="3">
        <v>7</v>
      </c>
      <c r="J77" s="69"/>
      <c r="K77" s="3" t="s">
        <v>742</v>
      </c>
      <c r="L77" s="3" t="s">
        <v>488</v>
      </c>
      <c r="M77" s="3">
        <v>12.6</v>
      </c>
      <c r="N77" s="3">
        <v>252</v>
      </c>
      <c r="O77" s="3" t="str">
        <f t="shared" si="11"/>
        <v>2007</v>
      </c>
      <c r="P77" s="2">
        <v>281</v>
      </c>
    </row>
    <row r="78" spans="1:20" x14ac:dyDescent="0.35">
      <c r="A78" s="3">
        <v>2016</v>
      </c>
      <c r="B78" s="3">
        <v>8</v>
      </c>
      <c r="C78" s="3">
        <v>31</v>
      </c>
      <c r="D78" s="2">
        <v>280</v>
      </c>
      <c r="E78" s="3" t="s">
        <v>744</v>
      </c>
      <c r="F78" s="3">
        <v>3</v>
      </c>
      <c r="G78" s="3" t="s">
        <v>45</v>
      </c>
      <c r="H78" s="3" t="str">
        <f t="shared" si="12"/>
        <v>2009</v>
      </c>
      <c r="I78" s="3">
        <v>7</v>
      </c>
      <c r="J78" s="69"/>
      <c r="K78" s="3" t="s">
        <v>742</v>
      </c>
      <c r="L78" s="3" t="s">
        <v>488</v>
      </c>
      <c r="M78" s="3">
        <v>9.8000000000000007</v>
      </c>
      <c r="N78" s="3">
        <v>253</v>
      </c>
      <c r="O78" s="3" t="str">
        <f t="shared" si="11"/>
        <v>2007</v>
      </c>
      <c r="P78" s="2">
        <v>280</v>
      </c>
    </row>
    <row r="79" spans="1:20" x14ac:dyDescent="0.35">
      <c r="A79" s="3">
        <v>2016</v>
      </c>
      <c r="B79" s="3">
        <v>11</v>
      </c>
      <c r="C79" s="3">
        <v>7</v>
      </c>
      <c r="D79" s="2">
        <v>231</v>
      </c>
      <c r="E79" s="3" t="s">
        <v>689</v>
      </c>
      <c r="F79" s="3">
        <v>4</v>
      </c>
      <c r="G79" s="3" t="s">
        <v>45</v>
      </c>
      <c r="H79" s="3" t="str">
        <f t="shared" si="12"/>
        <v>2009</v>
      </c>
      <c r="I79" s="3">
        <v>7</v>
      </c>
      <c r="J79" s="69"/>
      <c r="K79" s="3" t="s">
        <v>671</v>
      </c>
      <c r="L79" s="3" t="s">
        <v>512</v>
      </c>
      <c r="M79" s="3">
        <v>12.7</v>
      </c>
      <c r="N79" s="3">
        <v>254</v>
      </c>
      <c r="O79" s="3" t="str">
        <f t="shared" si="11"/>
        <v>2007</v>
      </c>
      <c r="P79" s="2">
        <v>231</v>
      </c>
    </row>
    <row r="80" spans="1:20" x14ac:dyDescent="0.35">
      <c r="A80" s="3">
        <v>2023</v>
      </c>
      <c r="B80" s="3">
        <v>7</v>
      </c>
      <c r="C80" s="3">
        <v>31</v>
      </c>
      <c r="D80" s="2">
        <v>453</v>
      </c>
      <c r="E80" s="3" t="s">
        <v>911</v>
      </c>
      <c r="F80" s="3">
        <v>3</v>
      </c>
      <c r="G80" s="3" t="s">
        <v>225</v>
      </c>
      <c r="H80" s="3" t="str">
        <f t="shared" si="12"/>
        <v>2022</v>
      </c>
      <c r="I80" s="3">
        <v>1</v>
      </c>
      <c r="J80" s="69"/>
      <c r="K80" s="3" t="s">
        <v>67</v>
      </c>
      <c r="L80" s="3">
        <v>2</v>
      </c>
      <c r="M80" s="3">
        <v>13.8</v>
      </c>
      <c r="N80" s="3">
        <v>254</v>
      </c>
      <c r="O80" s="3" t="str">
        <f t="shared" si="11"/>
        <v>2021</v>
      </c>
      <c r="P80" s="2">
        <v>453</v>
      </c>
    </row>
    <row r="81" spans="1:16" x14ac:dyDescent="0.35">
      <c r="A81" s="3">
        <v>2024</v>
      </c>
      <c r="B81" s="3">
        <v>4</v>
      </c>
      <c r="C81" s="3">
        <v>8</v>
      </c>
      <c r="D81" s="2">
        <v>671</v>
      </c>
      <c r="E81" s="3" t="s">
        <v>1092</v>
      </c>
      <c r="F81" s="3">
        <v>2</v>
      </c>
      <c r="G81" s="3" t="s">
        <v>225</v>
      </c>
      <c r="H81" s="3" t="str">
        <f t="shared" si="12"/>
        <v>2022</v>
      </c>
      <c r="I81" s="3">
        <v>2</v>
      </c>
      <c r="J81" s="69"/>
      <c r="K81" t="s">
        <v>1093</v>
      </c>
      <c r="L81">
        <v>2</v>
      </c>
      <c r="M81">
        <v>12.5</v>
      </c>
      <c r="N81" s="3">
        <v>254</v>
      </c>
      <c r="O81" s="3" t="str">
        <f t="shared" si="11"/>
        <v>2021</v>
      </c>
      <c r="P81" s="2">
        <v>671</v>
      </c>
    </row>
    <row r="82" spans="1:16" x14ac:dyDescent="0.35">
      <c r="A82" s="3">
        <v>2016</v>
      </c>
      <c r="B82" s="3">
        <v>9</v>
      </c>
      <c r="C82" s="3">
        <v>8</v>
      </c>
      <c r="D82" s="2">
        <v>224</v>
      </c>
      <c r="E82" s="3" t="s">
        <v>682</v>
      </c>
      <c r="F82" s="3">
        <v>3</v>
      </c>
      <c r="G82" s="3" t="s">
        <v>41</v>
      </c>
      <c r="H82" s="3" t="str">
        <f t="shared" si="12"/>
        <v>2013</v>
      </c>
      <c r="I82" s="3">
        <v>3</v>
      </c>
      <c r="J82" s="69"/>
      <c r="K82" s="3" t="s">
        <v>669</v>
      </c>
      <c r="L82" s="3" t="s">
        <v>458</v>
      </c>
      <c r="M82" s="3">
        <v>12.8</v>
      </c>
      <c r="N82" s="3">
        <v>255</v>
      </c>
      <c r="O82" s="3" t="str">
        <f t="shared" si="11"/>
        <v>2011</v>
      </c>
      <c r="P82" s="2">
        <v>224</v>
      </c>
    </row>
    <row r="83" spans="1:16" x14ac:dyDescent="0.35">
      <c r="A83" s="3">
        <v>2022</v>
      </c>
      <c r="B83" s="3">
        <v>11</v>
      </c>
      <c r="C83" s="3">
        <v>15</v>
      </c>
      <c r="D83" s="2">
        <v>108</v>
      </c>
      <c r="E83" s="14" t="s">
        <v>556</v>
      </c>
      <c r="F83" s="15">
        <v>4</v>
      </c>
      <c r="G83" s="3" t="s">
        <v>20</v>
      </c>
      <c r="H83" s="3" t="str">
        <f t="shared" si="12"/>
        <v>2020</v>
      </c>
      <c r="I83" s="3">
        <v>2</v>
      </c>
      <c r="J83" s="69"/>
      <c r="K83" s="3">
        <v>7</v>
      </c>
      <c r="L83" s="3">
        <v>7</v>
      </c>
      <c r="M83" s="3">
        <v>11.2</v>
      </c>
      <c r="N83" s="3">
        <v>257</v>
      </c>
      <c r="O83" s="3" t="str">
        <f t="shared" si="11"/>
        <v>2018</v>
      </c>
      <c r="P83" s="2">
        <v>108</v>
      </c>
    </row>
    <row r="84" spans="1:16" x14ac:dyDescent="0.35">
      <c r="A84" s="3">
        <v>2017</v>
      </c>
      <c r="B84" s="3">
        <v>8</v>
      </c>
      <c r="C84" s="3">
        <v>3</v>
      </c>
      <c r="D84" s="2">
        <v>137</v>
      </c>
      <c r="E84" s="14" t="s">
        <v>582</v>
      </c>
      <c r="F84" s="15">
        <v>3</v>
      </c>
      <c r="G84" s="3" t="s">
        <v>41</v>
      </c>
      <c r="H84" s="3" t="str">
        <f t="shared" si="12"/>
        <v>2013</v>
      </c>
      <c r="I84" s="3">
        <v>4</v>
      </c>
      <c r="J84" s="69"/>
      <c r="K84" s="3" t="s">
        <v>583</v>
      </c>
      <c r="L84" s="3" t="s">
        <v>318</v>
      </c>
      <c r="M84" s="3">
        <v>9.9</v>
      </c>
      <c r="N84" s="3">
        <v>257</v>
      </c>
      <c r="O84" s="3" t="str">
        <f t="shared" si="11"/>
        <v>2011</v>
      </c>
      <c r="P84" s="2">
        <v>137</v>
      </c>
    </row>
    <row r="85" spans="1:16" x14ac:dyDescent="0.35">
      <c r="A85" s="3">
        <v>2016</v>
      </c>
      <c r="B85" s="3">
        <v>8</v>
      </c>
      <c r="C85" s="3">
        <v>31</v>
      </c>
      <c r="D85" s="2">
        <v>276</v>
      </c>
      <c r="E85" s="3" t="s">
        <v>738</v>
      </c>
      <c r="F85" s="3">
        <v>3</v>
      </c>
      <c r="G85" s="3" t="s">
        <v>45</v>
      </c>
      <c r="H85" s="3" t="str">
        <f t="shared" si="12"/>
        <v>2009</v>
      </c>
      <c r="I85" s="3">
        <v>7</v>
      </c>
      <c r="J85" s="69"/>
      <c r="K85" s="3" t="s">
        <v>644</v>
      </c>
      <c r="L85" s="3" t="s">
        <v>488</v>
      </c>
      <c r="M85" s="3">
        <v>1.3</v>
      </c>
      <c r="N85" s="3">
        <v>257</v>
      </c>
      <c r="O85" s="3" t="str">
        <f t="shared" si="11"/>
        <v>2007</v>
      </c>
      <c r="P85" s="2">
        <v>276</v>
      </c>
    </row>
    <row r="86" spans="1:16" x14ac:dyDescent="0.35">
      <c r="A86" s="3">
        <v>2017</v>
      </c>
      <c r="B86" s="3">
        <v>8</v>
      </c>
      <c r="C86" s="3">
        <v>8</v>
      </c>
      <c r="D86" s="2">
        <v>85</v>
      </c>
      <c r="E86" s="14" t="s">
        <v>530</v>
      </c>
      <c r="F86" s="15">
        <v>3</v>
      </c>
      <c r="G86" s="3" t="s">
        <v>45</v>
      </c>
      <c r="H86" s="3" t="str">
        <f t="shared" si="12"/>
        <v>2009</v>
      </c>
      <c r="I86" s="3">
        <v>8</v>
      </c>
      <c r="J86" s="69"/>
      <c r="K86" s="3" t="s">
        <v>512</v>
      </c>
      <c r="L86" s="3" t="s">
        <v>512</v>
      </c>
      <c r="M86" s="3">
        <v>1.1000000000000001</v>
      </c>
      <c r="N86" s="3">
        <v>258</v>
      </c>
      <c r="O86" s="3" t="str">
        <f t="shared" si="11"/>
        <v>2007</v>
      </c>
      <c r="P86" s="2">
        <v>85</v>
      </c>
    </row>
    <row r="87" spans="1:16" x14ac:dyDescent="0.35">
      <c r="A87" s="3">
        <v>2018</v>
      </c>
      <c r="B87" s="3">
        <v>8</v>
      </c>
      <c r="C87" s="3">
        <v>16</v>
      </c>
      <c r="D87" s="2">
        <v>329</v>
      </c>
      <c r="E87" s="3" t="s">
        <v>796</v>
      </c>
      <c r="F87" s="3">
        <v>3</v>
      </c>
      <c r="G87" s="3" t="s">
        <v>45</v>
      </c>
      <c r="H87" s="3" t="str">
        <f t="shared" si="12"/>
        <v>2011</v>
      </c>
      <c r="I87" s="3">
        <v>7</v>
      </c>
      <c r="J87" s="69"/>
      <c r="K87" s="3" t="s">
        <v>632</v>
      </c>
      <c r="L87" s="3" t="s">
        <v>317</v>
      </c>
      <c r="M87" s="3">
        <v>11.6</v>
      </c>
      <c r="N87" s="3">
        <v>258</v>
      </c>
      <c r="O87" s="3" t="str">
        <f t="shared" si="11"/>
        <v>2007</v>
      </c>
      <c r="P87" s="2">
        <v>329</v>
      </c>
    </row>
    <row r="88" spans="1:16" x14ac:dyDescent="0.35">
      <c r="A88" s="3">
        <v>2024</v>
      </c>
      <c r="B88" s="3">
        <v>8</v>
      </c>
      <c r="C88" s="3">
        <v>13</v>
      </c>
      <c r="D88" s="2">
        <v>717</v>
      </c>
      <c r="E88" s="3" t="s">
        <v>1133</v>
      </c>
      <c r="F88" s="3">
        <v>3</v>
      </c>
      <c r="G88" s="3" t="s">
        <v>225</v>
      </c>
      <c r="H88" s="3" t="str">
        <f t="shared" si="12"/>
        <v>2022</v>
      </c>
      <c r="I88" s="3">
        <v>2</v>
      </c>
      <c r="J88" s="69"/>
      <c r="K88" t="s">
        <v>67</v>
      </c>
      <c r="L88">
        <v>2</v>
      </c>
      <c r="M88">
        <v>12</v>
      </c>
      <c r="N88" s="3">
        <v>258</v>
      </c>
      <c r="O88" s="3" t="str">
        <f t="shared" si="11"/>
        <v>2021</v>
      </c>
      <c r="P88" s="2">
        <v>717</v>
      </c>
    </row>
    <row r="89" spans="1:16" x14ac:dyDescent="0.35">
      <c r="A89" s="3">
        <v>2016</v>
      </c>
      <c r="B89" s="3">
        <v>9</v>
      </c>
      <c r="C89" s="3">
        <v>2</v>
      </c>
      <c r="D89" s="2">
        <v>222</v>
      </c>
      <c r="E89" s="3" t="s">
        <v>680</v>
      </c>
      <c r="F89" s="3">
        <v>3</v>
      </c>
      <c r="G89" s="3" t="s">
        <v>41</v>
      </c>
      <c r="H89" s="3" t="str">
        <f t="shared" si="12"/>
        <v>2013</v>
      </c>
      <c r="I89" s="3">
        <v>3</v>
      </c>
      <c r="J89" s="69"/>
      <c r="K89" s="3" t="s">
        <v>42</v>
      </c>
      <c r="L89" s="3" t="s">
        <v>318</v>
      </c>
      <c r="M89" s="3">
        <v>13.7</v>
      </c>
      <c r="N89" s="3">
        <v>259</v>
      </c>
      <c r="O89" s="3" t="str">
        <f t="shared" si="11"/>
        <v>2011</v>
      </c>
      <c r="P89" s="2">
        <v>222</v>
      </c>
    </row>
    <row r="90" spans="1:16" x14ac:dyDescent="0.35">
      <c r="A90" s="3">
        <v>2019</v>
      </c>
      <c r="B90" s="3">
        <v>8</v>
      </c>
      <c r="C90" s="3">
        <v>9</v>
      </c>
      <c r="D90" s="2">
        <v>321</v>
      </c>
      <c r="E90" s="3" t="s">
        <v>788</v>
      </c>
      <c r="F90" s="3">
        <v>3</v>
      </c>
      <c r="G90" s="3" t="s">
        <v>45</v>
      </c>
      <c r="H90" s="3" t="str">
        <f t="shared" si="12"/>
        <v>2011</v>
      </c>
      <c r="I90" s="3">
        <v>8</v>
      </c>
      <c r="J90" s="69"/>
      <c r="K90" s="3" t="s">
        <v>46</v>
      </c>
      <c r="L90" s="3" t="s">
        <v>317</v>
      </c>
      <c r="M90" s="3">
        <v>9.8000000000000007</v>
      </c>
      <c r="N90" s="3">
        <v>259</v>
      </c>
      <c r="O90" s="3" t="str">
        <f t="shared" si="11"/>
        <v>2007</v>
      </c>
      <c r="P90" s="2">
        <v>321</v>
      </c>
    </row>
    <row r="91" spans="1:16" x14ac:dyDescent="0.35">
      <c r="A91" s="3">
        <v>2021</v>
      </c>
      <c r="B91" s="3">
        <v>10</v>
      </c>
      <c r="C91" s="3" t="s">
        <v>28</v>
      </c>
      <c r="D91" s="2">
        <v>30</v>
      </c>
      <c r="E91" s="3" t="s">
        <v>472</v>
      </c>
      <c r="F91" s="3">
        <v>4</v>
      </c>
      <c r="G91" s="3" t="s">
        <v>41</v>
      </c>
      <c r="H91" s="3" t="str">
        <f t="shared" si="12"/>
        <v>2013</v>
      </c>
      <c r="I91" s="3">
        <v>8</v>
      </c>
      <c r="J91" s="69"/>
      <c r="K91" s="3" t="s">
        <v>318</v>
      </c>
      <c r="L91" s="3" t="s">
        <v>318</v>
      </c>
      <c r="M91" s="3">
        <v>12.4</v>
      </c>
      <c r="N91" s="3">
        <v>260</v>
      </c>
      <c r="O91" s="3" t="str">
        <f t="shared" si="11"/>
        <v>2011</v>
      </c>
      <c r="P91" s="2">
        <v>30</v>
      </c>
    </row>
    <row r="92" spans="1:16" x14ac:dyDescent="0.35">
      <c r="A92" s="3">
        <v>2024</v>
      </c>
      <c r="B92" s="3">
        <v>1</v>
      </c>
      <c r="C92" s="3">
        <v>19</v>
      </c>
      <c r="D92" s="2">
        <v>578</v>
      </c>
      <c r="E92" s="3" t="s">
        <v>1022</v>
      </c>
      <c r="F92" s="3">
        <v>1</v>
      </c>
      <c r="G92" s="3" t="s">
        <v>41</v>
      </c>
      <c r="H92" s="3" t="str">
        <f t="shared" si="12"/>
        <v>2013</v>
      </c>
      <c r="I92" s="3">
        <v>11</v>
      </c>
      <c r="J92" s="69"/>
      <c r="K92" t="s">
        <v>509</v>
      </c>
      <c r="L92" s="3" t="s">
        <v>458</v>
      </c>
      <c r="M92">
        <v>41.3</v>
      </c>
      <c r="N92" s="3">
        <v>260</v>
      </c>
      <c r="O92" s="3" t="str">
        <f t="shared" si="11"/>
        <v>2011</v>
      </c>
      <c r="P92" s="2">
        <v>578</v>
      </c>
    </row>
    <row r="93" spans="1:16" x14ac:dyDescent="0.35">
      <c r="A93" s="3">
        <v>2024</v>
      </c>
      <c r="B93" s="3">
        <v>2</v>
      </c>
      <c r="C93" s="3">
        <v>23</v>
      </c>
      <c r="D93" s="2">
        <v>635</v>
      </c>
      <c r="E93" s="3" t="s">
        <v>1071</v>
      </c>
      <c r="F93" s="3">
        <v>1</v>
      </c>
      <c r="G93" s="3" t="s">
        <v>225</v>
      </c>
      <c r="H93" s="3" t="str">
        <f t="shared" si="12"/>
        <v>2022</v>
      </c>
      <c r="I93" s="3">
        <v>2</v>
      </c>
      <c r="J93" s="69"/>
      <c r="K93" t="s">
        <v>21</v>
      </c>
      <c r="L93" s="3">
        <v>2</v>
      </c>
      <c r="M93">
        <v>13.2</v>
      </c>
      <c r="N93" s="3">
        <v>260</v>
      </c>
      <c r="O93" s="3" t="str">
        <f t="shared" si="11"/>
        <v>2021</v>
      </c>
      <c r="P93" s="2">
        <v>635</v>
      </c>
    </row>
    <row r="94" spans="1:16" x14ac:dyDescent="0.35">
      <c r="A94" s="3">
        <v>2023</v>
      </c>
      <c r="B94" s="3">
        <v>7</v>
      </c>
      <c r="C94" s="3">
        <v>31</v>
      </c>
      <c r="D94" s="2">
        <v>419</v>
      </c>
      <c r="E94" s="3" t="s">
        <v>882</v>
      </c>
      <c r="F94" s="3">
        <v>3</v>
      </c>
      <c r="G94" s="3" t="s">
        <v>225</v>
      </c>
      <c r="H94" s="3" t="str">
        <f t="shared" si="12"/>
        <v>2022</v>
      </c>
      <c r="I94" s="3">
        <v>1</v>
      </c>
      <c r="J94" s="69"/>
      <c r="K94" s="3" t="s">
        <v>58</v>
      </c>
      <c r="L94" s="3">
        <v>2</v>
      </c>
      <c r="M94" s="3">
        <v>18.600000000000001</v>
      </c>
      <c r="N94" s="3">
        <v>260.39999999999998</v>
      </c>
      <c r="O94" s="3" t="str">
        <f t="shared" si="11"/>
        <v>2021</v>
      </c>
      <c r="P94" s="2">
        <v>419</v>
      </c>
    </row>
    <row r="95" spans="1:16" x14ac:dyDescent="0.35">
      <c r="A95" s="3">
        <v>2016</v>
      </c>
      <c r="B95" s="3">
        <v>11</v>
      </c>
      <c r="C95" s="3">
        <v>7</v>
      </c>
      <c r="D95" s="2">
        <v>253</v>
      </c>
      <c r="E95" s="3" t="s">
        <v>712</v>
      </c>
      <c r="F95" s="3">
        <v>4</v>
      </c>
      <c r="G95" s="3" t="s">
        <v>45</v>
      </c>
      <c r="H95" s="3" t="str">
        <f t="shared" si="12"/>
        <v>2009</v>
      </c>
      <c r="I95" s="3">
        <v>7</v>
      </c>
      <c r="J95" s="69"/>
      <c r="K95" s="3" t="s">
        <v>711</v>
      </c>
      <c r="L95" s="3" t="s">
        <v>512</v>
      </c>
      <c r="M95" s="3">
        <v>12.9</v>
      </c>
      <c r="N95" s="3">
        <v>261</v>
      </c>
      <c r="O95" s="3" t="str">
        <f t="shared" si="11"/>
        <v>2007</v>
      </c>
      <c r="P95" s="2">
        <v>253</v>
      </c>
    </row>
    <row r="96" spans="1:16" x14ac:dyDescent="0.35">
      <c r="A96" s="3">
        <v>2023</v>
      </c>
      <c r="B96" s="3">
        <v>11</v>
      </c>
      <c r="C96" s="3">
        <v>14</v>
      </c>
      <c r="D96" s="2">
        <v>517</v>
      </c>
      <c r="E96" s="3" t="s">
        <v>969</v>
      </c>
      <c r="F96" s="3">
        <v>4</v>
      </c>
      <c r="G96" s="3" t="s">
        <v>225</v>
      </c>
      <c r="H96" s="3" t="str">
        <f t="shared" si="12"/>
        <v>2021</v>
      </c>
      <c r="I96" s="3">
        <v>2</v>
      </c>
      <c r="J96" s="69"/>
      <c r="K96" s="3" t="s">
        <v>227</v>
      </c>
      <c r="L96" s="3">
        <v>4</v>
      </c>
      <c r="M96" s="3">
        <v>15.7</v>
      </c>
      <c r="N96" s="3">
        <v>261</v>
      </c>
      <c r="O96" s="3" t="str">
        <f t="shared" si="11"/>
        <v>2021</v>
      </c>
      <c r="P96" s="2">
        <v>517</v>
      </c>
    </row>
    <row r="97" spans="1:16" x14ac:dyDescent="0.35">
      <c r="A97" s="3">
        <v>2023</v>
      </c>
      <c r="B97" s="3">
        <v>11</v>
      </c>
      <c r="C97" s="3">
        <v>3</v>
      </c>
      <c r="D97" s="2">
        <v>535</v>
      </c>
      <c r="E97" s="3" t="s">
        <v>987</v>
      </c>
      <c r="F97" s="3">
        <v>4</v>
      </c>
      <c r="G97" s="3" t="s">
        <v>226</v>
      </c>
      <c r="H97" s="3" t="str">
        <f t="shared" si="12"/>
        <v>2017</v>
      </c>
      <c r="I97" s="3">
        <v>6</v>
      </c>
      <c r="J97" s="69"/>
      <c r="K97" t="s">
        <v>988</v>
      </c>
      <c r="L97" s="3">
        <v>7</v>
      </c>
      <c r="M97" s="3">
        <v>11.5</v>
      </c>
      <c r="N97" s="3">
        <v>261</v>
      </c>
      <c r="O97" s="3" t="str">
        <f t="shared" si="11"/>
        <v>2017</v>
      </c>
      <c r="P97" s="2">
        <v>535</v>
      </c>
    </row>
    <row r="98" spans="1:16" x14ac:dyDescent="0.35">
      <c r="A98" s="3">
        <v>2023</v>
      </c>
      <c r="B98" s="3">
        <v>11</v>
      </c>
      <c r="C98" s="3">
        <v>9</v>
      </c>
      <c r="D98" s="2">
        <v>548</v>
      </c>
      <c r="E98" s="3" t="s">
        <v>123</v>
      </c>
      <c r="F98" s="3">
        <v>4</v>
      </c>
      <c r="G98" s="3" t="s">
        <v>20</v>
      </c>
      <c r="H98" s="3" t="str">
        <f t="shared" si="12"/>
        <v>2020</v>
      </c>
      <c r="I98" s="3">
        <v>3</v>
      </c>
      <c r="J98" s="69"/>
      <c r="K98" t="s">
        <v>64</v>
      </c>
      <c r="L98">
        <v>7</v>
      </c>
      <c r="M98">
        <v>12.8</v>
      </c>
      <c r="N98" s="3">
        <v>261</v>
      </c>
      <c r="O98" s="3" t="str">
        <f t="shared" si="11"/>
        <v>2018</v>
      </c>
      <c r="P98" s="2">
        <v>548</v>
      </c>
    </row>
    <row r="99" spans="1:16" x14ac:dyDescent="0.35">
      <c r="A99" s="3">
        <v>2023</v>
      </c>
      <c r="B99" s="3">
        <v>7</v>
      </c>
      <c r="C99" s="3">
        <v>28</v>
      </c>
      <c r="D99" s="2">
        <v>437</v>
      </c>
      <c r="E99" s="3" t="s">
        <v>899</v>
      </c>
      <c r="F99" s="3">
        <v>3</v>
      </c>
      <c r="G99" s="3" t="s">
        <v>225</v>
      </c>
      <c r="H99" s="3" t="str">
        <f t="shared" si="12"/>
        <v>2021</v>
      </c>
      <c r="I99" s="3">
        <v>2</v>
      </c>
      <c r="J99" s="69"/>
      <c r="K99" s="3" t="s">
        <v>898</v>
      </c>
      <c r="L99" s="3">
        <v>4</v>
      </c>
      <c r="M99" s="3">
        <v>35.5</v>
      </c>
      <c r="N99" s="3">
        <v>262</v>
      </c>
      <c r="O99" s="3" t="str">
        <f t="shared" si="11"/>
        <v>2021</v>
      </c>
      <c r="P99" s="2">
        <v>437</v>
      </c>
    </row>
    <row r="100" spans="1:16" x14ac:dyDescent="0.35">
      <c r="A100" s="3">
        <v>2016</v>
      </c>
      <c r="B100" s="3">
        <v>8</v>
      </c>
      <c r="C100" s="3">
        <v>31</v>
      </c>
      <c r="D100" s="2">
        <v>248</v>
      </c>
      <c r="E100" s="3" t="s">
        <v>706</v>
      </c>
      <c r="F100" s="3">
        <v>3</v>
      </c>
      <c r="G100" s="3" t="s">
        <v>45</v>
      </c>
      <c r="H100" s="3" t="str">
        <f t="shared" si="12"/>
        <v>2009</v>
      </c>
      <c r="I100" s="3">
        <v>7</v>
      </c>
      <c r="J100" s="69"/>
      <c r="K100" s="3" t="s">
        <v>657</v>
      </c>
      <c r="L100" s="3" t="s">
        <v>488</v>
      </c>
      <c r="M100" s="3">
        <v>1.4</v>
      </c>
      <c r="N100" s="3">
        <v>264</v>
      </c>
      <c r="O100" s="3" t="str">
        <f t="shared" si="11"/>
        <v>2007</v>
      </c>
      <c r="P100" s="2">
        <v>248</v>
      </c>
    </row>
    <row r="101" spans="1:16" x14ac:dyDescent="0.35">
      <c r="A101" s="3">
        <v>2016</v>
      </c>
      <c r="B101" s="3">
        <v>8</v>
      </c>
      <c r="C101" s="3">
        <v>31</v>
      </c>
      <c r="D101" s="2">
        <v>274</v>
      </c>
      <c r="E101" s="3" t="s">
        <v>736</v>
      </c>
      <c r="F101" s="3">
        <v>3</v>
      </c>
      <c r="G101" s="3" t="s">
        <v>45</v>
      </c>
      <c r="H101" s="3" t="str">
        <f t="shared" si="12"/>
        <v>2009</v>
      </c>
      <c r="I101" s="3">
        <v>7</v>
      </c>
      <c r="J101" s="69"/>
      <c r="K101" s="3" t="s">
        <v>644</v>
      </c>
      <c r="L101" s="3" t="s">
        <v>488</v>
      </c>
      <c r="M101" s="3">
        <v>1.4</v>
      </c>
      <c r="N101" s="3">
        <v>264</v>
      </c>
      <c r="O101" s="3" t="str">
        <f t="shared" si="11"/>
        <v>2007</v>
      </c>
      <c r="P101" s="2">
        <v>274</v>
      </c>
    </row>
    <row r="102" spans="1:16" x14ac:dyDescent="0.35">
      <c r="A102" s="3">
        <v>2017</v>
      </c>
      <c r="B102" s="3">
        <v>8</v>
      </c>
      <c r="C102" s="3">
        <v>3</v>
      </c>
      <c r="D102" s="2">
        <v>138</v>
      </c>
      <c r="E102" s="14" t="s">
        <v>584</v>
      </c>
      <c r="F102" s="15">
        <v>3</v>
      </c>
      <c r="G102" s="3" t="s">
        <v>41</v>
      </c>
      <c r="H102" s="3" t="str">
        <f t="shared" si="12"/>
        <v>2013</v>
      </c>
      <c r="I102" s="3">
        <v>4</v>
      </c>
      <c r="J102" s="69"/>
      <c r="K102" s="3" t="s">
        <v>583</v>
      </c>
      <c r="L102" s="3" t="s">
        <v>318</v>
      </c>
      <c r="M102" s="3">
        <v>11.1</v>
      </c>
      <c r="N102" s="3">
        <v>266</v>
      </c>
      <c r="O102" s="3" t="str">
        <f t="shared" si="11"/>
        <v>2011</v>
      </c>
      <c r="P102" s="2">
        <v>138</v>
      </c>
    </row>
    <row r="103" spans="1:16" x14ac:dyDescent="0.35">
      <c r="A103" s="3">
        <v>2023</v>
      </c>
      <c r="B103" s="3">
        <v>7</v>
      </c>
      <c r="C103" s="3">
        <v>31</v>
      </c>
      <c r="D103" s="2">
        <v>454</v>
      </c>
      <c r="E103" s="3" t="s">
        <v>912</v>
      </c>
      <c r="F103" s="3">
        <v>3</v>
      </c>
      <c r="G103" s="3" t="s">
        <v>225</v>
      </c>
      <c r="H103" s="3" t="str">
        <f t="shared" si="12"/>
        <v>2022</v>
      </c>
      <c r="I103" s="3">
        <v>1</v>
      </c>
      <c r="J103" s="69"/>
      <c r="K103" s="3" t="s">
        <v>67</v>
      </c>
      <c r="L103" s="3">
        <v>2</v>
      </c>
      <c r="M103" s="3">
        <v>16.100000000000001</v>
      </c>
      <c r="N103" s="3">
        <v>266</v>
      </c>
      <c r="O103" s="3" t="str">
        <f t="shared" si="11"/>
        <v>2021</v>
      </c>
      <c r="P103" s="2">
        <v>454</v>
      </c>
    </row>
    <row r="104" spans="1:16" x14ac:dyDescent="0.35">
      <c r="A104" s="3">
        <v>2023</v>
      </c>
      <c r="B104" s="3">
        <v>11</v>
      </c>
      <c r="C104" s="3">
        <v>17</v>
      </c>
      <c r="D104" s="2">
        <v>514</v>
      </c>
      <c r="E104" s="3" t="s">
        <v>967</v>
      </c>
      <c r="F104" s="3">
        <v>4</v>
      </c>
      <c r="G104" s="3" t="s">
        <v>225</v>
      </c>
      <c r="H104" s="3" t="str">
        <f t="shared" si="12"/>
        <v>2022</v>
      </c>
      <c r="I104" s="3">
        <v>1</v>
      </c>
      <c r="J104" s="69"/>
      <c r="K104" s="3" t="s">
        <v>896</v>
      </c>
      <c r="L104" s="3">
        <v>5</v>
      </c>
      <c r="M104" s="3">
        <v>16.899999999999999</v>
      </c>
      <c r="N104" s="3">
        <v>267</v>
      </c>
      <c r="O104" s="3" t="str">
        <f t="shared" si="11"/>
        <v>2021</v>
      </c>
      <c r="P104" s="2">
        <v>514</v>
      </c>
    </row>
    <row r="105" spans="1:16" x14ac:dyDescent="0.35">
      <c r="A105" s="3">
        <v>2024</v>
      </c>
      <c r="B105" s="3">
        <v>1</v>
      </c>
      <c r="C105" s="3">
        <v>16</v>
      </c>
      <c r="D105" s="2">
        <v>592</v>
      </c>
      <c r="E105" s="3" t="s">
        <v>1036</v>
      </c>
      <c r="F105" s="3">
        <v>1</v>
      </c>
      <c r="G105" s="3" t="s">
        <v>45</v>
      </c>
      <c r="H105" s="3" t="str">
        <f t="shared" si="12"/>
        <v>2011</v>
      </c>
      <c r="I105" s="3">
        <v>13</v>
      </c>
      <c r="J105" s="69"/>
      <c r="K105" t="s">
        <v>990</v>
      </c>
      <c r="L105" s="3" t="s">
        <v>317</v>
      </c>
      <c r="M105">
        <v>16.600000000000001</v>
      </c>
      <c r="N105" s="3">
        <v>267</v>
      </c>
      <c r="O105" s="3" t="str">
        <f t="shared" si="11"/>
        <v>2007</v>
      </c>
      <c r="P105" s="2">
        <v>592</v>
      </c>
    </row>
    <row r="106" spans="1:16" x14ac:dyDescent="0.35">
      <c r="A106" s="3">
        <v>2016</v>
      </c>
      <c r="B106" s="3">
        <v>9</v>
      </c>
      <c r="C106" s="3">
        <v>1</v>
      </c>
      <c r="D106" s="2">
        <v>244</v>
      </c>
      <c r="E106" s="3" t="s">
        <v>702</v>
      </c>
      <c r="F106" s="3">
        <v>3</v>
      </c>
      <c r="G106" s="3" t="s">
        <v>45</v>
      </c>
      <c r="H106" s="3" t="str">
        <f t="shared" si="12"/>
        <v>2011</v>
      </c>
      <c r="I106" s="3">
        <v>5</v>
      </c>
      <c r="J106" s="69"/>
      <c r="K106" s="3" t="s">
        <v>647</v>
      </c>
      <c r="L106" s="3" t="s">
        <v>317</v>
      </c>
      <c r="M106" s="3">
        <v>15.2</v>
      </c>
      <c r="N106" s="3">
        <v>268</v>
      </c>
      <c r="O106" s="3" t="str">
        <f t="shared" si="11"/>
        <v>2007</v>
      </c>
      <c r="P106" s="2">
        <v>244</v>
      </c>
    </row>
    <row r="107" spans="1:16" x14ac:dyDescent="0.35">
      <c r="A107" s="3">
        <v>2023</v>
      </c>
      <c r="B107" s="3">
        <v>8</v>
      </c>
      <c r="C107" s="3">
        <v>2</v>
      </c>
      <c r="D107" s="2">
        <v>424</v>
      </c>
      <c r="E107" s="3" t="s">
        <v>885</v>
      </c>
      <c r="F107" s="3">
        <v>3</v>
      </c>
      <c r="G107" s="3" t="s">
        <v>226</v>
      </c>
      <c r="H107" s="3" t="str">
        <f t="shared" si="12"/>
        <v>2017</v>
      </c>
      <c r="I107" s="3">
        <v>6</v>
      </c>
      <c r="J107" s="69"/>
      <c r="K107" s="3" t="s">
        <v>64</v>
      </c>
      <c r="L107" s="3">
        <v>7</v>
      </c>
      <c r="M107" s="3">
        <v>17.899999999999999</v>
      </c>
      <c r="N107" s="3">
        <v>269</v>
      </c>
      <c r="O107" s="3" t="str">
        <f t="shared" si="11"/>
        <v>2017</v>
      </c>
      <c r="P107" s="2">
        <v>424</v>
      </c>
    </row>
    <row r="108" spans="1:16" x14ac:dyDescent="0.35">
      <c r="A108" s="3">
        <v>2021</v>
      </c>
      <c r="B108" s="3">
        <v>10</v>
      </c>
      <c r="C108" s="3">
        <v>11</v>
      </c>
      <c r="D108" s="2">
        <v>487</v>
      </c>
      <c r="E108" s="3" t="s">
        <v>941</v>
      </c>
      <c r="F108" s="3">
        <v>4</v>
      </c>
      <c r="G108" s="3" t="s">
        <v>226</v>
      </c>
      <c r="H108" s="3" t="str">
        <f t="shared" si="12"/>
        <v>2018</v>
      </c>
      <c r="I108" s="3">
        <v>3</v>
      </c>
      <c r="J108" s="69"/>
      <c r="K108" s="3" t="s">
        <v>51</v>
      </c>
      <c r="L108" s="3" t="s">
        <v>942</v>
      </c>
      <c r="M108" s="16">
        <v>35</v>
      </c>
      <c r="N108" s="3">
        <v>269</v>
      </c>
      <c r="O108" s="3" t="str">
        <f t="shared" si="11"/>
        <v>2017</v>
      </c>
      <c r="P108" s="2">
        <v>487</v>
      </c>
    </row>
    <row r="109" spans="1:16" x14ac:dyDescent="0.35">
      <c r="A109" s="3">
        <v>2016</v>
      </c>
      <c r="B109" s="3">
        <v>11</v>
      </c>
      <c r="C109" s="3">
        <v>8</v>
      </c>
      <c r="D109" s="2">
        <v>188</v>
      </c>
      <c r="E109" s="3" t="s">
        <v>639</v>
      </c>
      <c r="F109" s="3">
        <v>4</v>
      </c>
      <c r="G109" s="3" t="s">
        <v>45</v>
      </c>
      <c r="H109" s="3" t="str">
        <f t="shared" si="12"/>
        <v>2011</v>
      </c>
      <c r="I109" s="3">
        <v>5</v>
      </c>
      <c r="J109" s="69"/>
      <c r="K109" s="3" t="s">
        <v>46</v>
      </c>
      <c r="L109" s="3" t="s">
        <v>317</v>
      </c>
      <c r="M109" s="3">
        <v>12.3</v>
      </c>
      <c r="N109" s="3">
        <v>270</v>
      </c>
      <c r="O109" s="3" t="str">
        <f t="shared" si="11"/>
        <v>2007</v>
      </c>
      <c r="P109" s="2">
        <v>188</v>
      </c>
    </row>
    <row r="110" spans="1:16" x14ac:dyDescent="0.35">
      <c r="A110" s="3">
        <v>2022</v>
      </c>
      <c r="B110" s="3">
        <v>11</v>
      </c>
      <c r="C110" s="3">
        <v>1</v>
      </c>
      <c r="D110" s="2">
        <v>408</v>
      </c>
      <c r="E110" s="3" t="s">
        <v>872</v>
      </c>
      <c r="F110" s="3">
        <v>4</v>
      </c>
      <c r="G110" s="3" t="s">
        <v>41</v>
      </c>
      <c r="H110" s="3" t="str">
        <f t="shared" si="12"/>
        <v>2013</v>
      </c>
      <c r="I110" s="3">
        <v>9</v>
      </c>
      <c r="J110" s="69"/>
      <c r="K110" s="3" t="s">
        <v>583</v>
      </c>
      <c r="L110" s="3" t="s">
        <v>318</v>
      </c>
      <c r="M110" s="3">
        <v>9.3000000000000007</v>
      </c>
      <c r="N110" s="3">
        <v>270</v>
      </c>
      <c r="O110" s="3" t="str">
        <f t="shared" si="11"/>
        <v>2011</v>
      </c>
      <c r="P110" s="2">
        <v>408</v>
      </c>
    </row>
    <row r="111" spans="1:16" x14ac:dyDescent="0.35">
      <c r="A111" s="3">
        <v>2023</v>
      </c>
      <c r="B111" s="3">
        <v>11</v>
      </c>
      <c r="C111" s="3">
        <v>3</v>
      </c>
      <c r="D111" s="2">
        <v>529</v>
      </c>
      <c r="E111" s="3" t="s">
        <v>117</v>
      </c>
      <c r="F111" s="3">
        <v>4</v>
      </c>
      <c r="G111" s="3" t="s">
        <v>226</v>
      </c>
      <c r="H111" s="3" t="str">
        <f t="shared" si="12"/>
        <v>2017</v>
      </c>
      <c r="I111" s="3">
        <v>6</v>
      </c>
      <c r="J111" s="69"/>
      <c r="K111" s="3" t="s">
        <v>228</v>
      </c>
      <c r="L111" s="3">
        <v>7</v>
      </c>
      <c r="M111" s="3">
        <v>15.3</v>
      </c>
      <c r="N111" s="3">
        <v>270</v>
      </c>
      <c r="O111" s="3" t="str">
        <f t="shared" si="11"/>
        <v>2017</v>
      </c>
      <c r="P111" s="2">
        <v>529</v>
      </c>
    </row>
    <row r="112" spans="1:16" x14ac:dyDescent="0.35">
      <c r="A112" s="3">
        <v>2024</v>
      </c>
      <c r="B112" s="3">
        <v>8</v>
      </c>
      <c r="C112" s="3">
        <v>8</v>
      </c>
      <c r="D112" s="2">
        <v>697</v>
      </c>
      <c r="E112" t="s">
        <v>1116</v>
      </c>
      <c r="F112" s="3">
        <v>3</v>
      </c>
      <c r="G112" s="3" t="s">
        <v>45</v>
      </c>
      <c r="H112" s="3" t="str">
        <f t="shared" si="12"/>
        <v>2009</v>
      </c>
      <c r="I112" s="3">
        <v>15</v>
      </c>
      <c r="J112" s="69"/>
      <c r="K112" t="s">
        <v>742</v>
      </c>
      <c r="L112" t="s">
        <v>488</v>
      </c>
      <c r="M112">
        <v>14.7</v>
      </c>
      <c r="N112" s="3">
        <v>270</v>
      </c>
      <c r="O112" s="3" t="str">
        <f t="shared" si="11"/>
        <v>2007</v>
      </c>
      <c r="P112" s="2">
        <v>697</v>
      </c>
    </row>
    <row r="113" spans="1:18" x14ac:dyDescent="0.35">
      <c r="A113" s="3">
        <v>2023</v>
      </c>
      <c r="B113" s="3">
        <v>7</v>
      </c>
      <c r="C113" s="3">
        <v>26</v>
      </c>
      <c r="D113" s="2">
        <v>444</v>
      </c>
      <c r="E113" s="3" t="s">
        <v>905</v>
      </c>
      <c r="F113" s="3">
        <v>3</v>
      </c>
      <c r="G113" s="3" t="s">
        <v>225</v>
      </c>
      <c r="H113" s="3" t="str">
        <f t="shared" si="12"/>
        <v>2021</v>
      </c>
      <c r="I113" s="3">
        <v>2</v>
      </c>
      <c r="J113" s="69"/>
      <c r="K113" s="3" t="s">
        <v>227</v>
      </c>
      <c r="L113" s="3">
        <v>4</v>
      </c>
      <c r="M113" s="3">
        <v>16.5</v>
      </c>
      <c r="N113" s="3">
        <v>271</v>
      </c>
      <c r="O113" s="3" t="str">
        <f t="shared" si="11"/>
        <v>2021</v>
      </c>
      <c r="P113" s="2">
        <v>444</v>
      </c>
    </row>
    <row r="114" spans="1:18" x14ac:dyDescent="0.35">
      <c r="A114" s="3">
        <v>2018</v>
      </c>
      <c r="B114" s="3">
        <v>8</v>
      </c>
      <c r="C114" s="3">
        <v>15</v>
      </c>
      <c r="D114" s="2">
        <v>308</v>
      </c>
      <c r="E114" s="3" t="s">
        <v>774</v>
      </c>
      <c r="F114" s="3">
        <v>3</v>
      </c>
      <c r="G114" s="3" t="s">
        <v>41</v>
      </c>
      <c r="H114" s="3" t="str">
        <f t="shared" si="12"/>
        <v>2013</v>
      </c>
      <c r="I114" s="3">
        <v>5</v>
      </c>
      <c r="J114" s="69"/>
      <c r="K114" s="3" t="s">
        <v>49</v>
      </c>
      <c r="L114" s="3" t="s">
        <v>318</v>
      </c>
      <c r="M114" s="3">
        <v>23.7</v>
      </c>
      <c r="N114" s="3">
        <v>272</v>
      </c>
      <c r="O114" s="3" t="str">
        <f t="shared" si="11"/>
        <v>2011</v>
      </c>
      <c r="P114" s="2">
        <v>308</v>
      </c>
    </row>
    <row r="115" spans="1:18" x14ac:dyDescent="0.35">
      <c r="A115" s="3">
        <v>2023</v>
      </c>
      <c r="B115" s="3">
        <v>7</v>
      </c>
      <c r="C115" s="3">
        <v>19</v>
      </c>
      <c r="D115" s="2">
        <v>361</v>
      </c>
      <c r="E115" s="3" t="s">
        <v>827</v>
      </c>
      <c r="F115" s="3">
        <v>3</v>
      </c>
      <c r="G115" s="3" t="s">
        <v>41</v>
      </c>
      <c r="H115" s="3" t="str">
        <f t="shared" si="12"/>
        <v>2013</v>
      </c>
      <c r="I115" s="3">
        <v>10</v>
      </c>
      <c r="J115" s="69"/>
      <c r="K115" s="3" t="s">
        <v>42</v>
      </c>
      <c r="L115" s="3" t="s">
        <v>318</v>
      </c>
      <c r="M115" s="3">
        <v>13.2</v>
      </c>
      <c r="N115" s="3">
        <v>273</v>
      </c>
      <c r="O115" s="3" t="str">
        <f t="shared" si="11"/>
        <v>2011</v>
      </c>
      <c r="P115" s="2">
        <v>361</v>
      </c>
    </row>
    <row r="116" spans="1:18" x14ac:dyDescent="0.35">
      <c r="A116" s="3">
        <v>2023</v>
      </c>
      <c r="B116" s="3">
        <v>7</v>
      </c>
      <c r="C116" s="3">
        <v>21</v>
      </c>
      <c r="D116" s="2">
        <v>413</v>
      </c>
      <c r="E116" s="3" t="s">
        <v>876</v>
      </c>
      <c r="F116" s="3">
        <v>3</v>
      </c>
      <c r="G116" s="3" t="s">
        <v>20</v>
      </c>
      <c r="H116" s="3" t="str">
        <f t="shared" si="12"/>
        <v>2020</v>
      </c>
      <c r="I116" s="3">
        <v>3</v>
      </c>
      <c r="J116" s="69"/>
      <c r="K116" s="3" t="s">
        <v>55</v>
      </c>
      <c r="L116" s="3">
        <v>8</v>
      </c>
      <c r="M116" s="3">
        <v>15.1</v>
      </c>
      <c r="N116" s="3">
        <v>273</v>
      </c>
      <c r="O116" s="3" t="str">
        <f t="shared" si="11"/>
        <v>2018</v>
      </c>
      <c r="P116" s="2">
        <v>413</v>
      </c>
    </row>
    <row r="117" spans="1:18" x14ac:dyDescent="0.35">
      <c r="A117" s="3">
        <v>2023</v>
      </c>
      <c r="B117" s="3">
        <v>11</v>
      </c>
      <c r="C117" s="3">
        <v>7</v>
      </c>
      <c r="D117" s="2">
        <v>498</v>
      </c>
      <c r="E117" s="3" t="s">
        <v>952</v>
      </c>
      <c r="F117" s="3">
        <v>4</v>
      </c>
      <c r="G117" s="3" t="s">
        <v>41</v>
      </c>
      <c r="H117" s="3" t="str">
        <f t="shared" si="12"/>
        <v>2013</v>
      </c>
      <c r="I117" s="3">
        <v>10</v>
      </c>
      <c r="J117" s="69"/>
      <c r="K117" s="3" t="s">
        <v>49</v>
      </c>
      <c r="L117" s="3" t="s">
        <v>318</v>
      </c>
      <c r="M117" s="3">
        <v>16.3</v>
      </c>
      <c r="N117" s="3">
        <v>275</v>
      </c>
      <c r="O117" s="3" t="str">
        <f t="shared" si="11"/>
        <v>2011</v>
      </c>
      <c r="P117" s="2">
        <v>498</v>
      </c>
    </row>
    <row r="118" spans="1:18" x14ac:dyDescent="0.35">
      <c r="A118" s="3">
        <v>2024</v>
      </c>
      <c r="B118">
        <v>8</v>
      </c>
      <c r="C118" s="3">
        <v>20</v>
      </c>
      <c r="D118" s="2">
        <v>834</v>
      </c>
      <c r="E118" s="3" t="s">
        <v>1185</v>
      </c>
      <c r="F118" s="3">
        <v>3</v>
      </c>
      <c r="G118" s="3" t="s">
        <v>226</v>
      </c>
      <c r="H118" s="3" t="str">
        <f t="shared" si="12"/>
        <v>2017</v>
      </c>
      <c r="I118" s="3">
        <v>7</v>
      </c>
      <c r="J118" s="69"/>
      <c r="K118" t="s">
        <v>64</v>
      </c>
      <c r="L118">
        <v>7</v>
      </c>
      <c r="M118">
        <v>17.899999999999999</v>
      </c>
      <c r="N118" s="3">
        <v>276</v>
      </c>
      <c r="O118" s="3" t="str">
        <f t="shared" si="11"/>
        <v>2017</v>
      </c>
      <c r="P118" s="2">
        <v>834</v>
      </c>
    </row>
    <row r="119" spans="1:18" x14ac:dyDescent="0.35">
      <c r="A119" s="3">
        <v>2024</v>
      </c>
      <c r="B119" s="3">
        <v>1</v>
      </c>
      <c r="C119" s="3">
        <v>19</v>
      </c>
      <c r="D119" s="2">
        <v>582</v>
      </c>
      <c r="E119" s="3" t="s">
        <v>1026</v>
      </c>
      <c r="F119" s="3">
        <v>1</v>
      </c>
      <c r="G119" s="3" t="s">
        <v>41</v>
      </c>
      <c r="H119" s="3" t="str">
        <f t="shared" si="12"/>
        <v>2013</v>
      </c>
      <c r="I119" s="3">
        <v>11</v>
      </c>
      <c r="J119" s="69"/>
      <c r="K119" t="s">
        <v>42</v>
      </c>
      <c r="L119" s="3" t="s">
        <v>318</v>
      </c>
      <c r="M119">
        <v>17</v>
      </c>
      <c r="N119" s="3">
        <v>277</v>
      </c>
      <c r="O119" s="3" t="str">
        <f t="shared" si="11"/>
        <v>2011</v>
      </c>
      <c r="P119" s="2">
        <v>582</v>
      </c>
    </row>
    <row r="120" spans="1:18" x14ac:dyDescent="0.35">
      <c r="A120" s="3">
        <v>2019</v>
      </c>
      <c r="B120" s="3">
        <v>2</v>
      </c>
      <c r="C120" s="3">
        <v>21</v>
      </c>
      <c r="D120" s="2">
        <v>169</v>
      </c>
      <c r="E120" s="3" t="s">
        <v>618</v>
      </c>
      <c r="F120" s="3">
        <v>1</v>
      </c>
      <c r="G120" s="3" t="s">
        <v>45</v>
      </c>
      <c r="H120" s="3" t="str">
        <f t="shared" si="12"/>
        <v>2011</v>
      </c>
      <c r="I120" s="3">
        <v>8</v>
      </c>
      <c r="J120" s="69"/>
      <c r="K120" s="3" t="s">
        <v>615</v>
      </c>
      <c r="L120" s="3" t="s">
        <v>317</v>
      </c>
      <c r="M120" s="3">
        <v>17.399999999999999</v>
      </c>
      <c r="N120" s="3">
        <v>278</v>
      </c>
      <c r="O120" s="3" t="str">
        <f t="shared" si="11"/>
        <v>2007</v>
      </c>
      <c r="P120" s="2">
        <v>169</v>
      </c>
    </row>
    <row r="121" spans="1:18" x14ac:dyDescent="0.35">
      <c r="A121" s="3">
        <v>2023</v>
      </c>
      <c r="B121" s="3">
        <v>8</v>
      </c>
      <c r="C121" s="3">
        <v>1</v>
      </c>
      <c r="D121" s="2">
        <v>435</v>
      </c>
      <c r="E121" s="3" t="s">
        <v>895</v>
      </c>
      <c r="F121" s="3">
        <v>3</v>
      </c>
      <c r="G121" s="3" t="s">
        <v>225</v>
      </c>
      <c r="H121" s="3" t="str">
        <f t="shared" si="12"/>
        <v>2022</v>
      </c>
      <c r="I121" s="3">
        <v>1</v>
      </c>
      <c r="J121" s="69"/>
      <c r="K121" s="3" t="s">
        <v>896</v>
      </c>
      <c r="L121" s="3">
        <v>5</v>
      </c>
      <c r="M121" s="3">
        <v>22.8</v>
      </c>
      <c r="N121" s="3">
        <v>278</v>
      </c>
      <c r="O121" s="3" t="str">
        <f t="shared" si="11"/>
        <v>2021</v>
      </c>
      <c r="P121" s="2">
        <v>435</v>
      </c>
    </row>
    <row r="122" spans="1:18" x14ac:dyDescent="0.35">
      <c r="A122" s="3">
        <v>2016</v>
      </c>
      <c r="B122" s="3">
        <v>8</v>
      </c>
      <c r="C122" s="3">
        <v>30</v>
      </c>
      <c r="D122" s="2">
        <v>271</v>
      </c>
      <c r="E122" s="3" t="s">
        <v>733</v>
      </c>
      <c r="F122" s="3">
        <v>3</v>
      </c>
      <c r="G122" s="3" t="s">
        <v>45</v>
      </c>
      <c r="H122" s="3" t="str">
        <f t="shared" si="12"/>
        <v>2009</v>
      </c>
      <c r="I122" s="3">
        <v>7</v>
      </c>
      <c r="J122" s="69"/>
      <c r="K122" s="3" t="s">
        <v>731</v>
      </c>
      <c r="L122" s="3" t="s">
        <v>512</v>
      </c>
      <c r="M122" s="3">
        <v>17.899999999999999</v>
      </c>
      <c r="N122" s="3">
        <v>280</v>
      </c>
      <c r="O122" s="3" t="str">
        <f t="shared" si="11"/>
        <v>2007</v>
      </c>
      <c r="P122" s="2">
        <v>271</v>
      </c>
      <c r="R122" s="2">
        <v>9.42</v>
      </c>
    </row>
    <row r="123" spans="1:18" x14ac:dyDescent="0.35">
      <c r="A123" s="3">
        <v>2016</v>
      </c>
      <c r="B123" s="3">
        <v>8</v>
      </c>
      <c r="C123" s="3">
        <v>30</v>
      </c>
      <c r="D123" s="2">
        <v>271</v>
      </c>
      <c r="E123" s="3" t="s">
        <v>733</v>
      </c>
      <c r="F123" s="3">
        <v>3</v>
      </c>
      <c r="G123" s="3" t="s">
        <v>45</v>
      </c>
      <c r="H123" s="3" t="str">
        <f t="shared" si="12"/>
        <v>2009</v>
      </c>
      <c r="I123" s="3">
        <v>7</v>
      </c>
      <c r="J123" s="69"/>
      <c r="K123" s="3" t="s">
        <v>731</v>
      </c>
      <c r="L123" s="3" t="s">
        <v>512</v>
      </c>
      <c r="M123" s="3">
        <v>17.899999999999999</v>
      </c>
      <c r="N123" s="3">
        <v>280</v>
      </c>
      <c r="O123" s="3" t="str">
        <f t="shared" si="11"/>
        <v>2007</v>
      </c>
      <c r="P123" s="2">
        <v>271</v>
      </c>
      <c r="R123" s="2">
        <v>18.53</v>
      </c>
    </row>
    <row r="124" spans="1:18" x14ac:dyDescent="0.35">
      <c r="A124" s="3">
        <v>2016</v>
      </c>
      <c r="B124" s="3">
        <v>8</v>
      </c>
      <c r="C124" s="3">
        <v>30</v>
      </c>
      <c r="D124" s="2">
        <v>215</v>
      </c>
      <c r="E124" s="3" t="s">
        <v>673</v>
      </c>
      <c r="F124" s="3">
        <v>3</v>
      </c>
      <c r="G124" s="3" t="s">
        <v>45</v>
      </c>
      <c r="H124" s="3" t="str">
        <f t="shared" si="12"/>
        <v>2009</v>
      </c>
      <c r="I124" s="3">
        <v>7</v>
      </c>
      <c r="J124" s="69"/>
      <c r="K124" s="3" t="s">
        <v>671</v>
      </c>
      <c r="L124" s="3" t="s">
        <v>512</v>
      </c>
      <c r="M124" s="3">
        <v>17.5</v>
      </c>
      <c r="N124" s="3">
        <v>280</v>
      </c>
      <c r="O124" s="3" t="str">
        <f t="shared" si="11"/>
        <v>2007</v>
      </c>
      <c r="P124" s="2">
        <v>215</v>
      </c>
    </row>
    <row r="125" spans="1:18" x14ac:dyDescent="0.35">
      <c r="A125" s="3">
        <v>2016</v>
      </c>
      <c r="B125" s="3">
        <v>9</v>
      </c>
      <c r="C125" s="3">
        <v>2</v>
      </c>
      <c r="D125" s="2">
        <v>219</v>
      </c>
      <c r="E125" s="3" t="s">
        <v>677</v>
      </c>
      <c r="F125" s="3">
        <v>3</v>
      </c>
      <c r="G125" s="3" t="s">
        <v>41</v>
      </c>
      <c r="H125" s="3" t="str">
        <f t="shared" si="12"/>
        <v>2013</v>
      </c>
      <c r="I125" s="3">
        <v>3</v>
      </c>
      <c r="J125" s="69"/>
      <c r="K125" s="3" t="s">
        <v>49</v>
      </c>
      <c r="L125" s="3" t="s">
        <v>318</v>
      </c>
      <c r="M125" s="3">
        <v>1.7</v>
      </c>
      <c r="N125" s="3">
        <v>280</v>
      </c>
      <c r="O125" s="3" t="str">
        <f t="shared" si="11"/>
        <v>2011</v>
      </c>
      <c r="P125" s="2">
        <v>219</v>
      </c>
    </row>
    <row r="126" spans="1:18" x14ac:dyDescent="0.35">
      <c r="A126" s="3">
        <v>2023</v>
      </c>
      <c r="B126" s="3">
        <v>8</v>
      </c>
      <c r="C126" s="3">
        <v>2</v>
      </c>
      <c r="D126" s="2">
        <v>441</v>
      </c>
      <c r="E126" s="3" t="s">
        <v>902</v>
      </c>
      <c r="F126" s="3">
        <v>3</v>
      </c>
      <c r="G126" s="3" t="s">
        <v>226</v>
      </c>
      <c r="H126" s="3" t="str">
        <f t="shared" si="12"/>
        <v>2017</v>
      </c>
      <c r="I126" s="3">
        <v>6</v>
      </c>
      <c r="J126" s="69"/>
      <c r="K126" s="3" t="s">
        <v>228</v>
      </c>
      <c r="L126" s="3">
        <v>7</v>
      </c>
      <c r="M126" s="3">
        <v>19.899999999999999</v>
      </c>
      <c r="N126" s="3">
        <v>280</v>
      </c>
      <c r="O126" s="3" t="str">
        <f t="shared" si="11"/>
        <v>2017</v>
      </c>
      <c r="P126" s="2">
        <v>441</v>
      </c>
    </row>
    <row r="127" spans="1:18" x14ac:dyDescent="0.35">
      <c r="A127" s="3">
        <v>2024</v>
      </c>
      <c r="B127" s="3">
        <v>1</v>
      </c>
      <c r="C127" s="3">
        <v>22</v>
      </c>
      <c r="D127" s="2">
        <v>588</v>
      </c>
      <c r="E127" s="3" t="s">
        <v>130</v>
      </c>
      <c r="F127" s="3">
        <v>1</v>
      </c>
      <c r="G127" s="3" t="s">
        <v>20</v>
      </c>
      <c r="H127" s="3" t="str">
        <f t="shared" si="12"/>
        <v>2020</v>
      </c>
      <c r="I127" s="3">
        <v>4</v>
      </c>
      <c r="J127" s="69"/>
      <c r="K127" t="s">
        <v>55</v>
      </c>
      <c r="L127">
        <v>8</v>
      </c>
      <c r="M127">
        <v>52.9</v>
      </c>
      <c r="N127" s="3">
        <v>280</v>
      </c>
      <c r="O127" s="3" t="str">
        <f t="shared" si="11"/>
        <v>2018</v>
      </c>
      <c r="P127" s="2">
        <v>588</v>
      </c>
    </row>
    <row r="128" spans="1:18" x14ac:dyDescent="0.35">
      <c r="A128" s="3">
        <v>2011</v>
      </c>
      <c r="B128" s="3">
        <v>11</v>
      </c>
      <c r="C128" s="3">
        <v>14</v>
      </c>
      <c r="D128" s="2">
        <v>614</v>
      </c>
      <c r="E128" s="3" t="s">
        <v>1054</v>
      </c>
      <c r="F128" s="3">
        <v>4</v>
      </c>
      <c r="G128" s="3" t="s">
        <v>45</v>
      </c>
      <c r="H128" s="3" t="str">
        <f t="shared" si="12"/>
        <v>2009</v>
      </c>
      <c r="I128" s="3">
        <v>2</v>
      </c>
      <c r="J128" s="69"/>
      <c r="K128" t="s">
        <v>667</v>
      </c>
      <c r="L128" s="3" t="s">
        <v>512</v>
      </c>
      <c r="M128">
        <v>22</v>
      </c>
      <c r="N128" s="3">
        <v>280</v>
      </c>
      <c r="O128" s="3" t="str">
        <f t="shared" si="11"/>
        <v>2007</v>
      </c>
      <c r="P128" s="2">
        <v>614</v>
      </c>
    </row>
    <row r="129" spans="1:20" x14ac:dyDescent="0.35">
      <c r="A129" s="3">
        <v>2021</v>
      </c>
      <c r="B129" s="3">
        <v>10</v>
      </c>
      <c r="C129" s="3" t="s">
        <v>28</v>
      </c>
      <c r="D129" s="2">
        <v>31</v>
      </c>
      <c r="E129" s="3" t="s">
        <v>473</v>
      </c>
      <c r="F129" s="3">
        <v>4</v>
      </c>
      <c r="G129" s="3" t="s">
        <v>41</v>
      </c>
      <c r="H129" s="3" t="str">
        <f t="shared" si="12"/>
        <v>2013</v>
      </c>
      <c r="I129" s="3">
        <v>8</v>
      </c>
      <c r="J129" s="69"/>
      <c r="K129" s="3" t="s">
        <v>318</v>
      </c>
      <c r="L129" s="3" t="s">
        <v>318</v>
      </c>
      <c r="M129" s="3">
        <v>16.5</v>
      </c>
      <c r="N129" s="3">
        <v>281</v>
      </c>
      <c r="O129" s="3" t="str">
        <f t="shared" si="11"/>
        <v>2011</v>
      </c>
      <c r="P129" s="2">
        <v>31</v>
      </c>
    </row>
    <row r="130" spans="1:20" x14ac:dyDescent="0.35">
      <c r="A130" s="3">
        <v>2016</v>
      </c>
      <c r="B130" s="3">
        <v>9</v>
      </c>
      <c r="C130" s="3">
        <v>1</v>
      </c>
      <c r="D130" s="2">
        <v>266</v>
      </c>
      <c r="E130" s="3" t="s">
        <v>727</v>
      </c>
      <c r="F130" s="3">
        <v>3</v>
      </c>
      <c r="G130" s="3" t="s">
        <v>45</v>
      </c>
      <c r="H130" s="3" t="str">
        <f t="shared" si="12"/>
        <v>2011</v>
      </c>
      <c r="I130" s="3">
        <v>5</v>
      </c>
      <c r="J130" s="69"/>
      <c r="K130" s="3" t="s">
        <v>718</v>
      </c>
      <c r="L130" s="3" t="s">
        <v>317</v>
      </c>
      <c r="M130" s="3">
        <v>13.7</v>
      </c>
      <c r="N130" s="3">
        <v>281</v>
      </c>
      <c r="O130" s="3" t="str">
        <f t="shared" ref="O130:O193" si="13">IF(G130="PHD", "2007", IF(G130="TSL", "2011", IF(G130 = "SRS", "2018", IF(G130="WCA 3B", "2017", IF(G130="WCA 3A", "2021")))))</f>
        <v>2007</v>
      </c>
      <c r="P130" s="2">
        <v>266</v>
      </c>
    </row>
    <row r="131" spans="1:20" x14ac:dyDescent="0.35">
      <c r="A131" s="3">
        <v>2023</v>
      </c>
      <c r="B131" s="3">
        <v>11</v>
      </c>
      <c r="C131" s="3">
        <v>9</v>
      </c>
      <c r="D131" s="2">
        <v>501</v>
      </c>
      <c r="E131" s="3" t="s">
        <v>955</v>
      </c>
      <c r="F131" s="3">
        <v>4</v>
      </c>
      <c r="G131" s="3" t="s">
        <v>20</v>
      </c>
      <c r="H131" s="3" t="str">
        <f t="shared" si="12"/>
        <v>2020</v>
      </c>
      <c r="I131" s="3">
        <v>3</v>
      </c>
      <c r="J131" s="69"/>
      <c r="K131" s="3" t="s">
        <v>783</v>
      </c>
      <c r="L131" s="3">
        <v>7</v>
      </c>
      <c r="M131" s="3">
        <v>17</v>
      </c>
      <c r="N131" s="3">
        <v>281</v>
      </c>
      <c r="O131" s="3" t="str">
        <f t="shared" si="13"/>
        <v>2018</v>
      </c>
      <c r="P131" s="2">
        <v>501</v>
      </c>
    </row>
    <row r="132" spans="1:20" x14ac:dyDescent="0.35">
      <c r="A132" s="3">
        <v>2019</v>
      </c>
      <c r="B132" s="3">
        <v>11</v>
      </c>
      <c r="C132" s="3">
        <v>27</v>
      </c>
      <c r="D132" s="2">
        <v>54</v>
      </c>
      <c r="E132" s="3" t="s">
        <v>497</v>
      </c>
      <c r="F132" s="3">
        <v>4</v>
      </c>
      <c r="G132" s="3" t="s">
        <v>45</v>
      </c>
      <c r="H132" s="3" t="str">
        <f t="shared" si="12"/>
        <v>2009</v>
      </c>
      <c r="I132" s="3">
        <v>10</v>
      </c>
      <c r="J132" s="69"/>
      <c r="K132" s="3" t="s">
        <v>488</v>
      </c>
      <c r="L132" s="3" t="s">
        <v>488</v>
      </c>
      <c r="M132" s="3">
        <v>16.100000000000001</v>
      </c>
      <c r="N132" s="3">
        <v>282</v>
      </c>
      <c r="O132" s="3" t="str">
        <f t="shared" si="13"/>
        <v>2007</v>
      </c>
      <c r="P132" s="2">
        <v>54</v>
      </c>
      <c r="T132">
        <v>6.87</v>
      </c>
    </row>
    <row r="133" spans="1:20" x14ac:dyDescent="0.35">
      <c r="A133" s="3">
        <v>2023</v>
      </c>
      <c r="B133" s="3">
        <v>7</v>
      </c>
      <c r="C133" s="3">
        <v>17</v>
      </c>
      <c r="D133" s="2">
        <v>349</v>
      </c>
      <c r="E133" s="3" t="s">
        <v>815</v>
      </c>
      <c r="F133" s="3">
        <v>3</v>
      </c>
      <c r="G133" s="3" t="s">
        <v>45</v>
      </c>
      <c r="H133" s="3" t="str">
        <f t="shared" si="12"/>
        <v>2011</v>
      </c>
      <c r="I133" s="3">
        <v>12</v>
      </c>
      <c r="J133" s="69"/>
      <c r="K133" s="3" t="s">
        <v>236</v>
      </c>
      <c r="L133" s="3" t="s">
        <v>317</v>
      </c>
      <c r="M133" s="3">
        <v>17.7</v>
      </c>
      <c r="N133" s="3">
        <v>282</v>
      </c>
      <c r="O133" s="3" t="str">
        <f t="shared" si="13"/>
        <v>2007</v>
      </c>
      <c r="P133" s="2">
        <v>349</v>
      </c>
    </row>
    <row r="134" spans="1:20" x14ac:dyDescent="0.35">
      <c r="A134" s="3">
        <v>2022</v>
      </c>
      <c r="B134" s="3">
        <v>11</v>
      </c>
      <c r="C134" s="3">
        <v>1</v>
      </c>
      <c r="D134" s="2">
        <v>409</v>
      </c>
      <c r="E134" s="3" t="s">
        <v>873</v>
      </c>
      <c r="F134" s="3">
        <v>4</v>
      </c>
      <c r="G134" s="3" t="s">
        <v>41</v>
      </c>
      <c r="H134" s="3" t="str">
        <f t="shared" si="12"/>
        <v>2013</v>
      </c>
      <c r="I134" s="3">
        <v>9</v>
      </c>
      <c r="J134" s="69"/>
      <c r="K134" s="3" t="s">
        <v>583</v>
      </c>
      <c r="L134" s="3" t="s">
        <v>318</v>
      </c>
      <c r="M134" s="3">
        <v>12.8</v>
      </c>
      <c r="N134" s="3">
        <v>282</v>
      </c>
      <c r="O134" s="3" t="str">
        <f t="shared" si="13"/>
        <v>2011</v>
      </c>
      <c r="P134" s="2">
        <v>409</v>
      </c>
    </row>
    <row r="135" spans="1:20" x14ac:dyDescent="0.35">
      <c r="A135" s="3">
        <v>2019</v>
      </c>
      <c r="B135" s="3">
        <v>8</v>
      </c>
      <c r="C135" s="3">
        <v>9</v>
      </c>
      <c r="D135" s="2">
        <v>319</v>
      </c>
      <c r="E135" s="3" t="s">
        <v>786</v>
      </c>
      <c r="F135" s="3">
        <v>3</v>
      </c>
      <c r="G135" s="3" t="s">
        <v>45</v>
      </c>
      <c r="H135" s="3" t="str">
        <f t="shared" ref="H135:H198" si="14">IF(L135="A55","2009",IF(L135="A59","2009",IF(L135="A60","2010",IF(L135="A62","2011",IF(L135="CP","2013",IF(L135="MD","2012",IF(L135="TS","2013",IF(L135="DL","2018",IF(L135="SCU","2018",IF(L135="NCU","2018",IF(L135="C1C","2018",IF(L135="C1E","2018",IF(L135="RS1S","2018",IF(L135="C2B","2018",IF(L135="DB3","2018",IF(AND(L135=6,G135="SRS"),"2018",IF(AND(L135=7,G135="SRS"),"2020",IF(AND(L135=8,G135="SRS"),"2020",IF(L135=23,"2019",IF(AND(L135=7,G135="WCA 3B"),"2017",IF(AND(L135=8,G135="WCA 3B"),"2019",IF(L135=1,"2021",IF(L135=2,"2022",IF(L135=3,"2021",IF(L135=4,"2021",IF(L135=5,"2022",IF(AND(L135=6,G135="WCA 3A"),"2022",IF(L135=9,"2023",IF(L135=10,"2023",IF(L135=37,"2020"))))))))))))))))))))))))))))))</f>
        <v>2011</v>
      </c>
      <c r="I135" s="3">
        <v>8</v>
      </c>
      <c r="J135" s="69"/>
      <c r="K135" s="3" t="s">
        <v>632</v>
      </c>
      <c r="L135" s="3" t="s">
        <v>317</v>
      </c>
      <c r="M135" s="3">
        <v>11.1</v>
      </c>
      <c r="N135" s="3">
        <v>283</v>
      </c>
      <c r="O135" s="3" t="str">
        <f t="shared" si="13"/>
        <v>2007</v>
      </c>
      <c r="P135" s="2">
        <v>319</v>
      </c>
    </row>
    <row r="136" spans="1:20" x14ac:dyDescent="0.35">
      <c r="A136" s="3">
        <v>2023</v>
      </c>
      <c r="B136" s="3">
        <v>7</v>
      </c>
      <c r="C136" s="3">
        <v>19</v>
      </c>
      <c r="D136" s="2">
        <v>360</v>
      </c>
      <c r="E136" s="3" t="s">
        <v>826</v>
      </c>
      <c r="F136" s="3">
        <v>3</v>
      </c>
      <c r="G136" s="3" t="s">
        <v>41</v>
      </c>
      <c r="H136" s="3" t="str">
        <f t="shared" si="14"/>
        <v>2013</v>
      </c>
      <c r="I136" s="3">
        <v>10</v>
      </c>
      <c r="J136" s="69"/>
      <c r="K136" s="3" t="s">
        <v>42</v>
      </c>
      <c r="L136" s="3" t="s">
        <v>318</v>
      </c>
      <c r="M136" s="3">
        <v>14.7</v>
      </c>
      <c r="N136" s="3">
        <v>283</v>
      </c>
      <c r="O136" s="3" t="str">
        <f t="shared" si="13"/>
        <v>2011</v>
      </c>
      <c r="P136" s="2">
        <v>360</v>
      </c>
    </row>
    <row r="137" spans="1:20" x14ac:dyDescent="0.35">
      <c r="A137" s="3">
        <v>2016</v>
      </c>
      <c r="B137" s="3">
        <v>8</v>
      </c>
      <c r="C137" s="3">
        <v>30</v>
      </c>
      <c r="D137" s="2">
        <v>214</v>
      </c>
      <c r="E137" s="3" t="s">
        <v>672</v>
      </c>
      <c r="F137" s="3">
        <v>3</v>
      </c>
      <c r="G137" s="3" t="s">
        <v>45</v>
      </c>
      <c r="H137" s="3" t="str">
        <f t="shared" si="14"/>
        <v>2009</v>
      </c>
      <c r="I137" s="3">
        <v>7</v>
      </c>
      <c r="J137" s="69"/>
      <c r="K137" s="3" t="s">
        <v>671</v>
      </c>
      <c r="L137" s="3" t="s">
        <v>512</v>
      </c>
      <c r="M137" s="3">
        <v>19.2</v>
      </c>
      <c r="N137" s="3">
        <v>284</v>
      </c>
      <c r="O137" s="3" t="str">
        <f t="shared" si="13"/>
        <v>2007</v>
      </c>
      <c r="P137" s="2">
        <v>214</v>
      </c>
    </row>
    <row r="138" spans="1:20" x14ac:dyDescent="0.35">
      <c r="A138" s="3">
        <v>2016</v>
      </c>
      <c r="B138" s="3">
        <v>8</v>
      </c>
      <c r="C138" s="3">
        <v>30</v>
      </c>
      <c r="D138" s="2">
        <v>272</v>
      </c>
      <c r="E138" s="3" t="s">
        <v>734</v>
      </c>
      <c r="F138" s="3">
        <v>3</v>
      </c>
      <c r="G138" s="3" t="s">
        <v>45</v>
      </c>
      <c r="H138" s="3" t="str">
        <f t="shared" si="14"/>
        <v>2009</v>
      </c>
      <c r="I138" s="3">
        <v>7</v>
      </c>
      <c r="J138" s="69"/>
      <c r="K138" s="3" t="s">
        <v>731</v>
      </c>
      <c r="L138" s="3" t="s">
        <v>512</v>
      </c>
      <c r="M138" s="3">
        <v>19.3</v>
      </c>
      <c r="N138" s="3">
        <v>284</v>
      </c>
      <c r="O138" s="3" t="str">
        <f t="shared" si="13"/>
        <v>2007</v>
      </c>
      <c r="P138" s="2">
        <v>272</v>
      </c>
    </row>
    <row r="139" spans="1:20" x14ac:dyDescent="0.35">
      <c r="A139" s="3">
        <v>2019</v>
      </c>
      <c r="B139" s="3">
        <v>2</v>
      </c>
      <c r="C139" s="3">
        <v>21</v>
      </c>
      <c r="D139" s="2">
        <v>159</v>
      </c>
      <c r="E139" s="3" t="s">
        <v>605</v>
      </c>
      <c r="F139" s="3">
        <v>1</v>
      </c>
      <c r="G139" s="3" t="s">
        <v>45</v>
      </c>
      <c r="H139" s="3" t="str">
        <f t="shared" si="14"/>
        <v>2011</v>
      </c>
      <c r="I139" s="3">
        <v>8</v>
      </c>
      <c r="J139" s="69"/>
      <c r="K139" s="3" t="s">
        <v>602</v>
      </c>
      <c r="L139" s="3" t="s">
        <v>317</v>
      </c>
      <c r="M139" s="3">
        <v>16.7</v>
      </c>
      <c r="N139" s="3">
        <v>285</v>
      </c>
      <c r="O139" s="3" t="str">
        <f t="shared" si="13"/>
        <v>2007</v>
      </c>
      <c r="P139" s="2">
        <v>159</v>
      </c>
    </row>
    <row r="140" spans="1:20" x14ac:dyDescent="0.35">
      <c r="A140" s="3">
        <v>2016</v>
      </c>
      <c r="B140" s="3">
        <v>9</v>
      </c>
      <c r="C140" s="3">
        <v>1</v>
      </c>
      <c r="D140" s="2">
        <v>264</v>
      </c>
      <c r="E140" s="3" t="s">
        <v>725</v>
      </c>
      <c r="F140" s="3">
        <v>3</v>
      </c>
      <c r="G140" s="3" t="s">
        <v>45</v>
      </c>
      <c r="H140" s="3" t="str">
        <f t="shared" si="14"/>
        <v>2011</v>
      </c>
      <c r="I140" s="3">
        <v>5</v>
      </c>
      <c r="J140" s="69"/>
      <c r="K140" s="3" t="s">
        <v>718</v>
      </c>
      <c r="L140" s="3" t="s">
        <v>317</v>
      </c>
      <c r="M140" s="3">
        <v>16.2</v>
      </c>
      <c r="N140" s="3">
        <v>285</v>
      </c>
      <c r="O140" s="3" t="str">
        <f t="shared" si="13"/>
        <v>2007</v>
      </c>
      <c r="P140" s="2">
        <v>264</v>
      </c>
    </row>
    <row r="141" spans="1:20" x14ac:dyDescent="0.35">
      <c r="A141" s="3">
        <v>2019</v>
      </c>
      <c r="B141" s="3">
        <v>8</v>
      </c>
      <c r="C141" s="3">
        <v>9</v>
      </c>
      <c r="D141" s="2">
        <v>318</v>
      </c>
      <c r="E141" s="3" t="s">
        <v>785</v>
      </c>
      <c r="F141" s="3">
        <v>3</v>
      </c>
      <c r="G141" s="3" t="s">
        <v>45</v>
      </c>
      <c r="H141" s="3" t="str">
        <f t="shared" si="14"/>
        <v>2011</v>
      </c>
      <c r="I141" s="3">
        <v>8</v>
      </c>
      <c r="J141" s="69"/>
      <c r="K141" s="3" t="s">
        <v>632</v>
      </c>
      <c r="L141" s="3" t="s">
        <v>317</v>
      </c>
      <c r="M141" s="3">
        <v>13.3</v>
      </c>
      <c r="N141" s="3">
        <v>285</v>
      </c>
      <c r="O141" s="3" t="str">
        <f t="shared" si="13"/>
        <v>2007</v>
      </c>
      <c r="P141" s="2">
        <v>318</v>
      </c>
    </row>
    <row r="142" spans="1:20" x14ac:dyDescent="0.35">
      <c r="A142" s="3">
        <v>2011</v>
      </c>
      <c r="B142" s="3">
        <v>11</v>
      </c>
      <c r="C142" s="3">
        <v>14</v>
      </c>
      <c r="D142" s="2">
        <v>619</v>
      </c>
      <c r="E142" s="3" t="s">
        <v>136</v>
      </c>
      <c r="F142" s="3">
        <v>4</v>
      </c>
      <c r="G142" s="3" t="s">
        <v>45</v>
      </c>
      <c r="H142" s="3" t="str">
        <f t="shared" si="14"/>
        <v>2009</v>
      </c>
      <c r="I142" s="3">
        <v>2</v>
      </c>
      <c r="J142" s="69"/>
      <c r="K142" t="s">
        <v>667</v>
      </c>
      <c r="L142" s="3" t="s">
        <v>512</v>
      </c>
      <c r="M142">
        <v>21.4</v>
      </c>
      <c r="N142" s="3">
        <v>285</v>
      </c>
      <c r="O142" s="3" t="str">
        <f t="shared" si="13"/>
        <v>2007</v>
      </c>
      <c r="P142" s="2">
        <v>619</v>
      </c>
    </row>
    <row r="143" spans="1:20" x14ac:dyDescent="0.35">
      <c r="A143" s="3">
        <v>2024</v>
      </c>
      <c r="B143" s="3">
        <v>4</v>
      </c>
      <c r="C143" s="3">
        <v>5</v>
      </c>
      <c r="D143" s="2">
        <v>653</v>
      </c>
      <c r="E143" s="3" t="s">
        <v>1080</v>
      </c>
      <c r="F143" s="3">
        <v>2</v>
      </c>
      <c r="G143" s="3" t="s">
        <v>225</v>
      </c>
      <c r="H143" s="3" t="str">
        <f t="shared" si="14"/>
        <v>2021</v>
      </c>
      <c r="I143" s="3">
        <v>3</v>
      </c>
      <c r="J143" s="69"/>
      <c r="K143" t="s">
        <v>1018</v>
      </c>
      <c r="L143" s="3">
        <v>1</v>
      </c>
      <c r="M143">
        <v>20.3</v>
      </c>
      <c r="N143" s="3">
        <v>286</v>
      </c>
      <c r="O143" s="3" t="str">
        <f t="shared" si="13"/>
        <v>2021</v>
      </c>
      <c r="P143" s="2">
        <v>653</v>
      </c>
    </row>
    <row r="144" spans="1:20" x14ac:dyDescent="0.35">
      <c r="A144" s="3">
        <v>2018</v>
      </c>
      <c r="B144" s="3">
        <v>8</v>
      </c>
      <c r="C144" s="3">
        <v>15</v>
      </c>
      <c r="D144" s="2">
        <v>333</v>
      </c>
      <c r="E144" s="3" t="s">
        <v>800</v>
      </c>
      <c r="F144" s="3">
        <v>3</v>
      </c>
      <c r="G144" s="3" t="s">
        <v>41</v>
      </c>
      <c r="H144" s="3" t="str">
        <f t="shared" si="14"/>
        <v>2013</v>
      </c>
      <c r="I144" s="3">
        <v>5</v>
      </c>
      <c r="J144" s="69"/>
      <c r="K144" s="3" t="s">
        <v>42</v>
      </c>
      <c r="L144" s="3" t="s">
        <v>318</v>
      </c>
      <c r="M144" s="3">
        <v>17.399999999999999</v>
      </c>
      <c r="N144" s="3">
        <v>287</v>
      </c>
      <c r="O144" s="3" t="str">
        <f t="shared" si="13"/>
        <v>2011</v>
      </c>
      <c r="P144" s="2">
        <v>333</v>
      </c>
    </row>
    <row r="145" spans="1:20" x14ac:dyDescent="0.35">
      <c r="A145" s="3">
        <v>2024</v>
      </c>
      <c r="B145">
        <v>8</v>
      </c>
      <c r="C145" s="3">
        <v>19</v>
      </c>
      <c r="D145" s="2">
        <v>811</v>
      </c>
      <c r="E145" s="3" t="s">
        <v>297</v>
      </c>
      <c r="F145" s="3">
        <v>3</v>
      </c>
      <c r="G145" s="3" t="s">
        <v>225</v>
      </c>
      <c r="H145" s="3" t="str">
        <f t="shared" si="14"/>
        <v>2021</v>
      </c>
      <c r="I145" s="3">
        <v>3</v>
      </c>
      <c r="J145" s="69"/>
      <c r="K145">
        <v>3</v>
      </c>
      <c r="L145">
        <v>3</v>
      </c>
      <c r="M145">
        <v>20.7</v>
      </c>
      <c r="N145" s="3">
        <v>287</v>
      </c>
      <c r="O145" s="3" t="str">
        <f t="shared" si="13"/>
        <v>2021</v>
      </c>
      <c r="P145" s="2">
        <v>811</v>
      </c>
    </row>
    <row r="146" spans="1:20" x14ac:dyDescent="0.35">
      <c r="A146" s="3">
        <v>2017</v>
      </c>
      <c r="B146" s="3">
        <v>8</v>
      </c>
      <c r="C146" s="3">
        <v>8</v>
      </c>
      <c r="D146" s="2">
        <v>126</v>
      </c>
      <c r="E146" s="14" t="s">
        <v>571</v>
      </c>
      <c r="F146" s="15">
        <v>3</v>
      </c>
      <c r="G146" s="3" t="s">
        <v>45</v>
      </c>
      <c r="H146" s="3" t="str">
        <f t="shared" si="14"/>
        <v>2009</v>
      </c>
      <c r="I146" s="3">
        <v>8</v>
      </c>
      <c r="J146" s="69"/>
      <c r="K146" s="3" t="s">
        <v>512</v>
      </c>
      <c r="L146" s="3" t="s">
        <v>512</v>
      </c>
      <c r="M146" s="3">
        <v>16.399999999999999</v>
      </c>
      <c r="N146" s="3">
        <v>288</v>
      </c>
      <c r="O146" s="3" t="str">
        <f t="shared" si="13"/>
        <v>2007</v>
      </c>
      <c r="P146" s="2">
        <v>126</v>
      </c>
    </row>
    <row r="147" spans="1:20" x14ac:dyDescent="0.35">
      <c r="A147" s="3">
        <v>2019</v>
      </c>
      <c r="B147" s="3">
        <v>2</v>
      </c>
      <c r="C147" s="3">
        <v>20</v>
      </c>
      <c r="D147" s="2">
        <v>162</v>
      </c>
      <c r="E147" s="3" t="s">
        <v>609</v>
      </c>
      <c r="F147" s="3">
        <v>1</v>
      </c>
      <c r="G147" s="3" t="s">
        <v>45</v>
      </c>
      <c r="H147" s="3" t="str">
        <f t="shared" si="14"/>
        <v>2011</v>
      </c>
      <c r="I147" s="3">
        <v>8</v>
      </c>
      <c r="J147" s="69"/>
      <c r="K147" s="3" t="s">
        <v>610</v>
      </c>
      <c r="L147" s="3" t="s">
        <v>317</v>
      </c>
      <c r="M147" s="3">
        <v>18.5</v>
      </c>
      <c r="N147" s="3">
        <v>289</v>
      </c>
      <c r="O147" s="3" t="str">
        <f t="shared" si="13"/>
        <v>2007</v>
      </c>
      <c r="P147" s="2">
        <v>162</v>
      </c>
      <c r="T147">
        <v>7.02</v>
      </c>
    </row>
    <row r="148" spans="1:20" x14ac:dyDescent="0.35">
      <c r="A148" s="3">
        <v>2022</v>
      </c>
      <c r="B148" s="3">
        <v>11</v>
      </c>
      <c r="C148" s="3">
        <v>15</v>
      </c>
      <c r="D148" s="2">
        <v>100</v>
      </c>
      <c r="E148" s="14" t="s">
        <v>548</v>
      </c>
      <c r="F148" s="15">
        <v>4</v>
      </c>
      <c r="G148" s="3" t="s">
        <v>20</v>
      </c>
      <c r="H148" s="3" t="str">
        <f t="shared" si="14"/>
        <v>2018</v>
      </c>
      <c r="I148" s="3">
        <v>4</v>
      </c>
      <c r="J148" s="69"/>
      <c r="K148" s="3">
        <v>6</v>
      </c>
      <c r="L148" s="3">
        <v>6</v>
      </c>
      <c r="M148" s="3">
        <v>20.5</v>
      </c>
      <c r="N148" s="3">
        <v>290</v>
      </c>
      <c r="O148" s="3" t="str">
        <f t="shared" si="13"/>
        <v>2018</v>
      </c>
      <c r="P148" s="2">
        <v>100</v>
      </c>
      <c r="T148">
        <v>5.92</v>
      </c>
    </row>
    <row r="149" spans="1:20" x14ac:dyDescent="0.35">
      <c r="A149" s="3">
        <v>2016</v>
      </c>
      <c r="B149" s="3">
        <v>11</v>
      </c>
      <c r="C149" s="3">
        <v>8</v>
      </c>
      <c r="D149" s="2">
        <v>199</v>
      </c>
      <c r="E149" s="3" t="s">
        <v>652</v>
      </c>
      <c r="F149" s="3">
        <v>4</v>
      </c>
      <c r="G149" s="3" t="s">
        <v>41</v>
      </c>
      <c r="H149" s="3" t="str">
        <f t="shared" si="14"/>
        <v>2012</v>
      </c>
      <c r="I149" s="3">
        <v>4</v>
      </c>
      <c r="J149" s="69"/>
      <c r="K149" s="3" t="s">
        <v>551</v>
      </c>
      <c r="L149" s="3" t="s">
        <v>461</v>
      </c>
      <c r="M149" s="3">
        <v>22.1</v>
      </c>
      <c r="N149" s="3">
        <v>290</v>
      </c>
      <c r="O149" s="3" t="str">
        <f t="shared" si="13"/>
        <v>2011</v>
      </c>
      <c r="P149" s="2">
        <v>199</v>
      </c>
    </row>
    <row r="150" spans="1:20" x14ac:dyDescent="0.35">
      <c r="A150" s="3">
        <v>2016</v>
      </c>
      <c r="B150" s="3">
        <v>9</v>
      </c>
      <c r="C150" s="3">
        <v>1</v>
      </c>
      <c r="D150" s="2">
        <v>261</v>
      </c>
      <c r="E150" s="3" t="s">
        <v>722</v>
      </c>
      <c r="F150" s="3">
        <v>3</v>
      </c>
      <c r="G150" s="3" t="s">
        <v>45</v>
      </c>
      <c r="H150" s="3" t="str">
        <f t="shared" si="14"/>
        <v>2011</v>
      </c>
      <c r="I150" s="3">
        <v>5</v>
      </c>
      <c r="J150" s="69"/>
      <c r="K150" s="3" t="s">
        <v>718</v>
      </c>
      <c r="L150" s="3" t="s">
        <v>317</v>
      </c>
      <c r="M150" s="3">
        <v>1.7</v>
      </c>
      <c r="N150" s="3">
        <v>290</v>
      </c>
      <c r="O150" s="3" t="str">
        <f t="shared" si="13"/>
        <v>2007</v>
      </c>
      <c r="P150" s="2">
        <v>261</v>
      </c>
    </row>
    <row r="151" spans="1:20" x14ac:dyDescent="0.35">
      <c r="A151" s="3">
        <v>2023</v>
      </c>
      <c r="B151" s="3">
        <v>8</v>
      </c>
      <c r="C151" s="3">
        <v>2</v>
      </c>
      <c r="D151" s="2">
        <v>440</v>
      </c>
      <c r="E151" s="3" t="s">
        <v>901</v>
      </c>
      <c r="F151" s="3">
        <v>3</v>
      </c>
      <c r="G151" s="3" t="s">
        <v>226</v>
      </c>
      <c r="H151" s="3" t="str">
        <f t="shared" si="14"/>
        <v>2017</v>
      </c>
      <c r="I151" s="3">
        <v>6</v>
      </c>
      <c r="J151" s="69"/>
      <c r="K151" s="3" t="s">
        <v>228</v>
      </c>
      <c r="L151" s="3">
        <v>7</v>
      </c>
      <c r="M151" s="3">
        <v>25.1</v>
      </c>
      <c r="N151" s="3">
        <v>290</v>
      </c>
      <c r="O151" s="3" t="str">
        <f t="shared" si="13"/>
        <v>2017</v>
      </c>
      <c r="P151" s="2">
        <v>440</v>
      </c>
    </row>
    <row r="152" spans="1:20" x14ac:dyDescent="0.35">
      <c r="A152" s="3">
        <v>2023</v>
      </c>
      <c r="B152" s="3">
        <v>11</v>
      </c>
      <c r="C152" s="3">
        <v>9</v>
      </c>
      <c r="D152" s="2">
        <v>502</v>
      </c>
      <c r="E152" s="3" t="s">
        <v>956</v>
      </c>
      <c r="F152" s="3">
        <v>4</v>
      </c>
      <c r="G152" s="3" t="s">
        <v>20</v>
      </c>
      <c r="H152" s="3" t="str">
        <f t="shared" si="14"/>
        <v>2020</v>
      </c>
      <c r="I152" s="3">
        <v>3</v>
      </c>
      <c r="J152" s="69"/>
      <c r="K152" s="3" t="s">
        <v>783</v>
      </c>
      <c r="L152" s="3">
        <v>7</v>
      </c>
      <c r="M152" s="3">
        <v>20.100000000000001</v>
      </c>
      <c r="N152" s="3">
        <v>290</v>
      </c>
      <c r="O152" s="3" t="str">
        <f t="shared" si="13"/>
        <v>2018</v>
      </c>
      <c r="P152" s="2">
        <v>502</v>
      </c>
    </row>
    <row r="153" spans="1:20" x14ac:dyDescent="0.35">
      <c r="A153" s="3">
        <v>2024</v>
      </c>
      <c r="B153" s="3">
        <v>2</v>
      </c>
      <c r="C153" s="3">
        <v>23</v>
      </c>
      <c r="D153" s="2">
        <v>631</v>
      </c>
      <c r="E153" s="3" t="s">
        <v>138</v>
      </c>
      <c r="F153" s="3">
        <v>1</v>
      </c>
      <c r="G153" s="3" t="s">
        <v>225</v>
      </c>
      <c r="H153" s="3" t="str">
        <f t="shared" si="14"/>
        <v>2022</v>
      </c>
      <c r="I153" s="3">
        <v>2</v>
      </c>
      <c r="J153" s="69"/>
      <c r="K153" t="s">
        <v>21</v>
      </c>
      <c r="L153" s="3">
        <v>2</v>
      </c>
      <c r="M153">
        <v>19.399999999999999</v>
      </c>
      <c r="N153" s="3">
        <v>290</v>
      </c>
      <c r="O153" s="3" t="str">
        <f t="shared" si="13"/>
        <v>2021</v>
      </c>
      <c r="P153" s="2">
        <v>631</v>
      </c>
    </row>
    <row r="154" spans="1:20" x14ac:dyDescent="0.35">
      <c r="A154" s="3">
        <v>2024</v>
      </c>
      <c r="B154" s="3">
        <v>6</v>
      </c>
      <c r="C154" s="3">
        <v>19</v>
      </c>
      <c r="D154" s="2">
        <v>804</v>
      </c>
      <c r="E154" s="3" t="s">
        <v>1174</v>
      </c>
      <c r="F154" s="3">
        <v>3</v>
      </c>
      <c r="G154" s="3" t="s">
        <v>225</v>
      </c>
      <c r="H154" s="3" t="str">
        <f t="shared" si="14"/>
        <v>2021</v>
      </c>
      <c r="I154" s="3">
        <v>3</v>
      </c>
      <c r="J154" s="69"/>
      <c r="K154" t="s">
        <v>1162</v>
      </c>
      <c r="L154">
        <v>3</v>
      </c>
      <c r="M154">
        <v>20.5</v>
      </c>
      <c r="N154" s="3">
        <v>290</v>
      </c>
      <c r="O154" s="3" t="str">
        <f t="shared" si="13"/>
        <v>2021</v>
      </c>
      <c r="P154" s="2">
        <v>804</v>
      </c>
    </row>
    <row r="155" spans="1:20" x14ac:dyDescent="0.35">
      <c r="A155" s="3">
        <v>2017</v>
      </c>
      <c r="B155" s="3">
        <v>8</v>
      </c>
      <c r="C155" s="3">
        <v>8</v>
      </c>
      <c r="D155" s="2">
        <v>87</v>
      </c>
      <c r="E155" s="14" t="s">
        <v>532</v>
      </c>
      <c r="F155" s="15">
        <v>3</v>
      </c>
      <c r="G155" s="3" t="s">
        <v>45</v>
      </c>
      <c r="H155" s="3" t="str">
        <f t="shared" si="14"/>
        <v>2009</v>
      </c>
      <c r="I155" s="3">
        <v>8</v>
      </c>
      <c r="J155" s="69"/>
      <c r="K155" s="3" t="s">
        <v>512</v>
      </c>
      <c r="L155" s="3" t="s">
        <v>512</v>
      </c>
      <c r="M155" s="3">
        <v>17.600000000000001</v>
      </c>
      <c r="N155" s="3">
        <v>291</v>
      </c>
      <c r="O155" s="3" t="str">
        <f t="shared" si="13"/>
        <v>2007</v>
      </c>
      <c r="P155" s="2">
        <v>87</v>
      </c>
    </row>
    <row r="156" spans="1:20" x14ac:dyDescent="0.35">
      <c r="A156" s="3">
        <v>2016</v>
      </c>
      <c r="B156" s="3">
        <v>9</v>
      </c>
      <c r="C156" s="3">
        <v>2</v>
      </c>
      <c r="D156" s="2">
        <v>216</v>
      </c>
      <c r="E156" s="3" t="s">
        <v>674</v>
      </c>
      <c r="F156" s="3">
        <v>3</v>
      </c>
      <c r="G156" s="3" t="s">
        <v>41</v>
      </c>
      <c r="H156" s="3" t="str">
        <f t="shared" si="14"/>
        <v>2013</v>
      </c>
      <c r="I156" s="3">
        <v>3</v>
      </c>
      <c r="J156" s="69"/>
      <c r="K156" s="3" t="s">
        <v>49</v>
      </c>
      <c r="L156" s="3" t="s">
        <v>318</v>
      </c>
      <c r="M156" s="3">
        <v>19.100000000000001</v>
      </c>
      <c r="N156" s="3">
        <v>291</v>
      </c>
      <c r="O156" s="3" t="str">
        <f t="shared" si="13"/>
        <v>2011</v>
      </c>
      <c r="P156" s="2">
        <v>216</v>
      </c>
    </row>
    <row r="157" spans="1:20" x14ac:dyDescent="0.35">
      <c r="A157" s="3">
        <v>2017</v>
      </c>
      <c r="B157" s="3">
        <v>8</v>
      </c>
      <c r="C157" s="3">
        <v>8</v>
      </c>
      <c r="D157" s="2">
        <v>74</v>
      </c>
      <c r="E157" s="14" t="s">
        <v>519</v>
      </c>
      <c r="F157" s="15">
        <v>3</v>
      </c>
      <c r="G157" s="3" t="s">
        <v>45</v>
      </c>
      <c r="H157" s="3" t="str">
        <f t="shared" si="14"/>
        <v>2009</v>
      </c>
      <c r="I157" s="3">
        <v>8</v>
      </c>
      <c r="J157" s="69"/>
      <c r="K157" s="3" t="s">
        <v>512</v>
      </c>
      <c r="L157" s="3" t="s">
        <v>512</v>
      </c>
      <c r="M157" s="3">
        <v>20.7</v>
      </c>
      <c r="N157" s="3">
        <v>292</v>
      </c>
      <c r="O157" s="3" t="str">
        <f t="shared" si="13"/>
        <v>2007</v>
      </c>
      <c r="P157" s="2">
        <v>74</v>
      </c>
    </row>
    <row r="158" spans="1:20" x14ac:dyDescent="0.35">
      <c r="A158" s="3">
        <v>2019</v>
      </c>
      <c r="B158" s="3">
        <v>2</v>
      </c>
      <c r="C158" s="3">
        <v>21</v>
      </c>
      <c r="D158" s="2">
        <v>164</v>
      </c>
      <c r="E158" s="3" t="s">
        <v>612</v>
      </c>
      <c r="F158" s="3">
        <v>1</v>
      </c>
      <c r="G158" s="3" t="s">
        <v>45</v>
      </c>
      <c r="H158" s="3" t="str">
        <f t="shared" si="14"/>
        <v>2011</v>
      </c>
      <c r="I158" s="3">
        <v>8</v>
      </c>
      <c r="J158" s="69"/>
      <c r="K158" s="3" t="s">
        <v>236</v>
      </c>
      <c r="L158" s="3" t="s">
        <v>317</v>
      </c>
      <c r="M158" s="3">
        <v>2</v>
      </c>
      <c r="N158" s="3">
        <v>292</v>
      </c>
      <c r="O158" s="3" t="str">
        <f t="shared" si="13"/>
        <v>2007</v>
      </c>
      <c r="P158" s="2">
        <v>164</v>
      </c>
    </row>
    <row r="159" spans="1:20" x14ac:dyDescent="0.35">
      <c r="A159" s="3">
        <v>2023</v>
      </c>
      <c r="B159" s="3">
        <v>7</v>
      </c>
      <c r="C159" s="3">
        <v>17</v>
      </c>
      <c r="D159" s="2">
        <v>400</v>
      </c>
      <c r="E159" s="3" t="s">
        <v>866</v>
      </c>
      <c r="F159" s="3">
        <v>3</v>
      </c>
      <c r="G159" s="3" t="s">
        <v>45</v>
      </c>
      <c r="H159" s="3" t="str">
        <f t="shared" si="14"/>
        <v>2011</v>
      </c>
      <c r="I159" s="3">
        <v>12</v>
      </c>
      <c r="J159" s="69"/>
      <c r="K159" s="3" t="s">
        <v>865</v>
      </c>
      <c r="L159" s="3" t="s">
        <v>317</v>
      </c>
      <c r="M159" s="3">
        <v>16.5</v>
      </c>
      <c r="N159" s="3">
        <v>292</v>
      </c>
      <c r="O159" s="3" t="str">
        <f t="shared" si="13"/>
        <v>2007</v>
      </c>
      <c r="P159" s="2">
        <v>400</v>
      </c>
    </row>
    <row r="160" spans="1:20" x14ac:dyDescent="0.35">
      <c r="A160" s="3">
        <v>2023</v>
      </c>
      <c r="B160" s="3">
        <v>7</v>
      </c>
      <c r="C160" s="3">
        <v>25</v>
      </c>
      <c r="D160" s="2">
        <v>452</v>
      </c>
      <c r="E160" s="3" t="s">
        <v>910</v>
      </c>
      <c r="F160" s="3">
        <v>3</v>
      </c>
      <c r="G160" s="3" t="s">
        <v>20</v>
      </c>
      <c r="H160" s="3" t="str">
        <f t="shared" si="14"/>
        <v>2018</v>
      </c>
      <c r="I160" s="3">
        <v>5</v>
      </c>
      <c r="J160" s="69"/>
      <c r="K160" s="3" t="s">
        <v>234</v>
      </c>
      <c r="L160" s="3">
        <v>6</v>
      </c>
      <c r="M160" s="3">
        <v>18.899999999999999</v>
      </c>
      <c r="N160" s="3">
        <v>292</v>
      </c>
      <c r="O160" s="3" t="str">
        <f t="shared" si="13"/>
        <v>2018</v>
      </c>
      <c r="P160" s="2">
        <v>452</v>
      </c>
    </row>
    <row r="161" spans="1:16" x14ac:dyDescent="0.35">
      <c r="A161" s="3">
        <v>2023</v>
      </c>
      <c r="B161" s="3">
        <v>11</v>
      </c>
      <c r="C161" s="3">
        <v>2</v>
      </c>
      <c r="D161" s="2">
        <v>537</v>
      </c>
      <c r="E161" s="3" t="s">
        <v>991</v>
      </c>
      <c r="F161" s="3">
        <v>4</v>
      </c>
      <c r="G161" s="3" t="s">
        <v>45</v>
      </c>
      <c r="H161" s="3" t="str">
        <f t="shared" si="14"/>
        <v>2011</v>
      </c>
      <c r="I161" s="3">
        <v>12</v>
      </c>
      <c r="J161" s="69"/>
      <c r="K161" t="s">
        <v>990</v>
      </c>
      <c r="L161" s="3" t="s">
        <v>317</v>
      </c>
      <c r="M161" s="3">
        <v>19.899999999999999</v>
      </c>
      <c r="N161" s="3">
        <v>292</v>
      </c>
      <c r="O161" s="3" t="str">
        <f t="shared" si="13"/>
        <v>2007</v>
      </c>
      <c r="P161" s="2">
        <v>537</v>
      </c>
    </row>
    <row r="162" spans="1:16" x14ac:dyDescent="0.35">
      <c r="A162" s="3">
        <v>2016</v>
      </c>
      <c r="B162" s="3">
        <v>9</v>
      </c>
      <c r="C162" s="3">
        <v>2</v>
      </c>
      <c r="D162" s="2">
        <v>218</v>
      </c>
      <c r="E162" s="3" t="s">
        <v>676</v>
      </c>
      <c r="F162" s="3">
        <v>3</v>
      </c>
      <c r="G162" s="3" t="s">
        <v>41</v>
      </c>
      <c r="H162" s="3" t="str">
        <f t="shared" si="14"/>
        <v>2013</v>
      </c>
      <c r="I162" s="3">
        <v>3</v>
      </c>
      <c r="J162" s="69"/>
      <c r="K162" s="3" t="s">
        <v>49</v>
      </c>
      <c r="L162" s="3" t="s">
        <v>318</v>
      </c>
      <c r="M162" s="3">
        <v>1.9</v>
      </c>
      <c r="N162" s="3">
        <v>293</v>
      </c>
      <c r="O162" s="3" t="str">
        <f t="shared" si="13"/>
        <v>2011</v>
      </c>
      <c r="P162" s="2">
        <v>218</v>
      </c>
    </row>
    <row r="163" spans="1:16" x14ac:dyDescent="0.35">
      <c r="A163" s="3">
        <v>2016</v>
      </c>
      <c r="B163" s="3">
        <v>8</v>
      </c>
      <c r="C163" s="3">
        <v>30</v>
      </c>
      <c r="D163" s="2">
        <v>270</v>
      </c>
      <c r="E163" s="3" t="s">
        <v>732</v>
      </c>
      <c r="F163" s="3">
        <v>3</v>
      </c>
      <c r="G163" s="3" t="s">
        <v>45</v>
      </c>
      <c r="H163" s="3" t="str">
        <f t="shared" si="14"/>
        <v>2009</v>
      </c>
      <c r="I163" s="3">
        <v>7</v>
      </c>
      <c r="J163" s="69"/>
      <c r="K163" s="3" t="s">
        <v>731</v>
      </c>
      <c r="L163" s="3" t="s">
        <v>512</v>
      </c>
      <c r="M163" s="3">
        <v>18.399999999999999</v>
      </c>
      <c r="N163" s="3">
        <v>293</v>
      </c>
      <c r="O163" s="3" t="str">
        <f t="shared" si="13"/>
        <v>2007</v>
      </c>
      <c r="P163" s="2">
        <v>270</v>
      </c>
    </row>
    <row r="164" spans="1:16" x14ac:dyDescent="0.35">
      <c r="A164" s="3">
        <v>2023</v>
      </c>
      <c r="B164" s="3">
        <v>8</v>
      </c>
      <c r="C164" s="3">
        <v>2</v>
      </c>
      <c r="D164" s="2">
        <v>431</v>
      </c>
      <c r="E164" s="3" t="s">
        <v>892</v>
      </c>
      <c r="F164" s="3">
        <v>3</v>
      </c>
      <c r="G164" s="3" t="s">
        <v>225</v>
      </c>
      <c r="H164" s="3" t="str">
        <f t="shared" si="14"/>
        <v>2022</v>
      </c>
      <c r="I164" s="3">
        <v>1</v>
      </c>
      <c r="J164" s="69"/>
      <c r="K164" s="3" t="s">
        <v>67</v>
      </c>
      <c r="L164" s="3">
        <v>2</v>
      </c>
      <c r="M164" s="3">
        <v>21.1</v>
      </c>
      <c r="N164" s="3">
        <v>293</v>
      </c>
      <c r="O164" s="3" t="str">
        <f t="shared" si="13"/>
        <v>2021</v>
      </c>
      <c r="P164" s="2">
        <v>431</v>
      </c>
    </row>
    <row r="165" spans="1:16" x14ac:dyDescent="0.35">
      <c r="A165" s="3">
        <v>2016</v>
      </c>
      <c r="B165" s="3">
        <v>9</v>
      </c>
      <c r="C165" s="3">
        <v>1</v>
      </c>
      <c r="D165" s="2">
        <v>221</v>
      </c>
      <c r="E165" s="3" t="s">
        <v>679</v>
      </c>
      <c r="F165" s="3">
        <v>3</v>
      </c>
      <c r="G165" s="3" t="s">
        <v>41</v>
      </c>
      <c r="H165" s="3" t="str">
        <f t="shared" si="14"/>
        <v>2012</v>
      </c>
      <c r="I165" s="3">
        <v>4</v>
      </c>
      <c r="J165" s="69"/>
      <c r="K165" s="3" t="s">
        <v>551</v>
      </c>
      <c r="L165" s="3" t="s">
        <v>461</v>
      </c>
      <c r="M165" s="3">
        <v>24.6</v>
      </c>
      <c r="N165" s="3">
        <v>294</v>
      </c>
      <c r="O165" s="3" t="str">
        <f t="shared" si="13"/>
        <v>2011</v>
      </c>
      <c r="P165" s="2">
        <v>221</v>
      </c>
    </row>
    <row r="166" spans="1:16" x14ac:dyDescent="0.35">
      <c r="A166" s="3">
        <v>2022</v>
      </c>
      <c r="B166" s="3" t="s">
        <v>28</v>
      </c>
      <c r="C166" s="3" t="s">
        <v>28</v>
      </c>
      <c r="D166" s="2">
        <v>113</v>
      </c>
      <c r="E166" s="14" t="s">
        <v>560</v>
      </c>
      <c r="F166" s="15" t="s">
        <v>28</v>
      </c>
      <c r="G166" s="3" t="s">
        <v>225</v>
      </c>
      <c r="H166" s="3" t="str">
        <f t="shared" si="14"/>
        <v>2021</v>
      </c>
      <c r="I166" s="3">
        <v>1</v>
      </c>
      <c r="J166" s="69"/>
      <c r="K166" s="3">
        <v>4</v>
      </c>
      <c r="L166" s="3">
        <v>4</v>
      </c>
      <c r="M166" s="3">
        <v>20.8</v>
      </c>
      <c r="N166" s="3">
        <v>295</v>
      </c>
      <c r="O166" s="3" t="str">
        <f t="shared" si="13"/>
        <v>2021</v>
      </c>
      <c r="P166" s="2">
        <v>113</v>
      </c>
    </row>
    <row r="167" spans="1:16" x14ac:dyDescent="0.35">
      <c r="A167" s="3">
        <v>2017</v>
      </c>
      <c r="B167" s="3">
        <v>2</v>
      </c>
      <c r="C167" s="3">
        <v>10</v>
      </c>
      <c r="D167" s="2">
        <v>140</v>
      </c>
      <c r="E167" s="14" t="s">
        <v>586</v>
      </c>
      <c r="F167" s="15">
        <v>1</v>
      </c>
      <c r="G167" s="3" t="s">
        <v>41</v>
      </c>
      <c r="H167" s="3" t="str">
        <f t="shared" si="14"/>
        <v>2013</v>
      </c>
      <c r="I167" s="3">
        <v>4</v>
      </c>
      <c r="J167" s="69"/>
      <c r="K167" s="3" t="s">
        <v>91</v>
      </c>
      <c r="L167" s="3" t="s">
        <v>318</v>
      </c>
      <c r="M167" s="3">
        <v>16.100000000000001</v>
      </c>
      <c r="N167" s="3">
        <v>295</v>
      </c>
      <c r="O167" s="3" t="str">
        <f t="shared" si="13"/>
        <v>2011</v>
      </c>
      <c r="P167" s="2">
        <v>140</v>
      </c>
    </row>
    <row r="168" spans="1:16" x14ac:dyDescent="0.35">
      <c r="A168" s="3">
        <v>2023</v>
      </c>
      <c r="B168" s="3">
        <v>11</v>
      </c>
      <c r="C168" s="3">
        <v>14</v>
      </c>
      <c r="D168" s="2">
        <v>516</v>
      </c>
      <c r="E168" s="3" t="s">
        <v>968</v>
      </c>
      <c r="F168" s="3">
        <v>4</v>
      </c>
      <c r="G168" s="3" t="s">
        <v>225</v>
      </c>
      <c r="H168" s="3" t="str">
        <f t="shared" si="14"/>
        <v>2021</v>
      </c>
      <c r="I168" s="3">
        <v>2</v>
      </c>
      <c r="J168" s="69"/>
      <c r="K168" s="3" t="s">
        <v>227</v>
      </c>
      <c r="L168" s="3">
        <v>4</v>
      </c>
      <c r="M168" s="3">
        <v>23.2</v>
      </c>
      <c r="N168" s="3">
        <v>295</v>
      </c>
      <c r="O168" s="3" t="str">
        <f t="shared" si="13"/>
        <v>2021</v>
      </c>
      <c r="P168" s="2">
        <v>516</v>
      </c>
    </row>
    <row r="169" spans="1:16" x14ac:dyDescent="0.35">
      <c r="A169" s="3">
        <v>2017</v>
      </c>
      <c r="B169" s="3">
        <v>8</v>
      </c>
      <c r="C169" s="3">
        <v>14</v>
      </c>
      <c r="D169" s="2">
        <v>135</v>
      </c>
      <c r="E169" s="14" t="s">
        <v>580</v>
      </c>
      <c r="F169" s="15">
        <v>3</v>
      </c>
      <c r="G169" s="3" t="s">
        <v>45</v>
      </c>
      <c r="H169" s="3" t="str">
        <f t="shared" si="14"/>
        <v>2011</v>
      </c>
      <c r="I169" s="3">
        <v>6</v>
      </c>
      <c r="J169" s="69"/>
      <c r="K169" s="3" t="s">
        <v>317</v>
      </c>
      <c r="L169" s="3" t="s">
        <v>317</v>
      </c>
      <c r="M169" s="3">
        <v>14.4</v>
      </c>
      <c r="N169" s="3">
        <v>296</v>
      </c>
      <c r="O169" s="3" t="str">
        <f t="shared" si="13"/>
        <v>2007</v>
      </c>
      <c r="P169" s="2">
        <v>135</v>
      </c>
    </row>
    <row r="170" spans="1:16" x14ac:dyDescent="0.35">
      <c r="A170" s="3">
        <v>2017</v>
      </c>
      <c r="B170" s="3">
        <v>11</v>
      </c>
      <c r="C170" s="3">
        <v>9</v>
      </c>
      <c r="D170" s="2">
        <v>72</v>
      </c>
      <c r="E170" s="14" t="s">
        <v>517</v>
      </c>
      <c r="F170" s="15">
        <v>4</v>
      </c>
      <c r="G170" s="3" t="s">
        <v>45</v>
      </c>
      <c r="H170" s="3" t="str">
        <f t="shared" si="14"/>
        <v>2011</v>
      </c>
      <c r="I170" s="3">
        <v>6</v>
      </c>
      <c r="J170" s="69"/>
      <c r="K170" s="3" t="s">
        <v>317</v>
      </c>
      <c r="L170" s="3" t="s">
        <v>317</v>
      </c>
      <c r="M170" s="3">
        <v>2</v>
      </c>
      <c r="N170" s="3">
        <v>297</v>
      </c>
      <c r="O170" s="3" t="str">
        <f t="shared" si="13"/>
        <v>2007</v>
      </c>
      <c r="P170" s="2">
        <v>72</v>
      </c>
    </row>
    <row r="171" spans="1:16" x14ac:dyDescent="0.35">
      <c r="A171" s="3">
        <v>2019</v>
      </c>
      <c r="B171" s="3">
        <v>11</v>
      </c>
      <c r="C171" s="3">
        <v>27</v>
      </c>
      <c r="D171" s="2">
        <v>52</v>
      </c>
      <c r="E171" s="3" t="s">
        <v>495</v>
      </c>
      <c r="F171" s="3">
        <v>4</v>
      </c>
      <c r="G171" s="3" t="s">
        <v>45</v>
      </c>
      <c r="H171" s="3" t="str">
        <f t="shared" si="14"/>
        <v>2009</v>
      </c>
      <c r="I171" s="3">
        <v>10</v>
      </c>
      <c r="J171" s="69"/>
      <c r="K171" s="3" t="s">
        <v>488</v>
      </c>
      <c r="L171" s="3" t="s">
        <v>488</v>
      </c>
      <c r="M171" s="3">
        <v>18.600000000000001</v>
      </c>
      <c r="N171" s="3">
        <v>298</v>
      </c>
      <c r="O171" s="3" t="str">
        <f t="shared" si="13"/>
        <v>2007</v>
      </c>
      <c r="P171" s="2">
        <v>52</v>
      </c>
    </row>
    <row r="172" spans="1:16" x14ac:dyDescent="0.35">
      <c r="A172" s="3">
        <v>2016</v>
      </c>
      <c r="B172" s="3">
        <v>11</v>
      </c>
      <c r="C172" s="3">
        <v>8</v>
      </c>
      <c r="D172" s="2">
        <v>181</v>
      </c>
      <c r="E172" s="3" t="s">
        <v>631</v>
      </c>
      <c r="F172" s="3">
        <v>4</v>
      </c>
      <c r="G172" s="3" t="s">
        <v>45</v>
      </c>
      <c r="H172" s="3" t="str">
        <f t="shared" si="14"/>
        <v>2011</v>
      </c>
      <c r="I172" s="3">
        <v>5</v>
      </c>
      <c r="J172" s="69"/>
      <c r="K172" s="3" t="s">
        <v>632</v>
      </c>
      <c r="L172" s="3" t="s">
        <v>317</v>
      </c>
      <c r="M172" s="3">
        <v>18.5</v>
      </c>
      <c r="N172" s="3">
        <v>299</v>
      </c>
      <c r="O172" s="3" t="str">
        <f t="shared" si="13"/>
        <v>2007</v>
      </c>
      <c r="P172" s="2">
        <v>181</v>
      </c>
    </row>
    <row r="173" spans="1:16" x14ac:dyDescent="0.35">
      <c r="A173" s="3">
        <v>2023</v>
      </c>
      <c r="B173" s="3">
        <v>7</v>
      </c>
      <c r="C173" s="3">
        <v>19</v>
      </c>
      <c r="D173" s="2">
        <v>350</v>
      </c>
      <c r="E173" s="3" t="s">
        <v>816</v>
      </c>
      <c r="F173" s="3">
        <v>3</v>
      </c>
      <c r="G173" s="3" t="s">
        <v>41</v>
      </c>
      <c r="H173" s="3" t="str">
        <f t="shared" si="14"/>
        <v>2013</v>
      </c>
      <c r="I173" s="3">
        <v>10</v>
      </c>
      <c r="J173" s="69"/>
      <c r="K173" s="3" t="s">
        <v>583</v>
      </c>
      <c r="L173" s="3" t="s">
        <v>318</v>
      </c>
      <c r="M173" s="3">
        <v>19.600000000000001</v>
      </c>
      <c r="N173" s="3">
        <v>300</v>
      </c>
      <c r="O173" s="3" t="str">
        <f t="shared" si="13"/>
        <v>2011</v>
      </c>
      <c r="P173" s="2">
        <v>350</v>
      </c>
    </row>
    <row r="174" spans="1:16" x14ac:dyDescent="0.35">
      <c r="A174" s="3">
        <v>2023</v>
      </c>
      <c r="B174" s="3">
        <v>7</v>
      </c>
      <c r="C174" s="3">
        <v>17</v>
      </c>
      <c r="D174" s="2">
        <v>393</v>
      </c>
      <c r="E174" s="3" t="s">
        <v>858</v>
      </c>
      <c r="F174" s="3">
        <v>3</v>
      </c>
      <c r="G174" s="3" t="s">
        <v>45</v>
      </c>
      <c r="H174" s="3" t="str">
        <f t="shared" si="14"/>
        <v>2011</v>
      </c>
      <c r="I174" s="3">
        <v>12</v>
      </c>
      <c r="J174" s="69"/>
      <c r="K174" s="3" t="s">
        <v>632</v>
      </c>
      <c r="L174" s="3" t="s">
        <v>317</v>
      </c>
      <c r="M174" s="3">
        <v>2.1</v>
      </c>
      <c r="N174" s="3">
        <v>300</v>
      </c>
      <c r="O174" s="3" t="str">
        <f t="shared" si="13"/>
        <v>2007</v>
      </c>
      <c r="P174" s="2">
        <v>393</v>
      </c>
    </row>
    <row r="175" spans="1:16" x14ac:dyDescent="0.35">
      <c r="A175" s="3">
        <v>2024</v>
      </c>
      <c r="B175" s="3">
        <v>1</v>
      </c>
      <c r="C175" s="3">
        <v>23</v>
      </c>
      <c r="D175" s="2">
        <v>680</v>
      </c>
      <c r="E175" s="3" t="s">
        <v>1101</v>
      </c>
      <c r="F175" s="3">
        <v>1</v>
      </c>
      <c r="G175" s="3" t="s">
        <v>20</v>
      </c>
      <c r="H175" s="3" t="str">
        <f t="shared" si="14"/>
        <v>2020</v>
      </c>
      <c r="I175" s="3">
        <v>4</v>
      </c>
      <c r="J175" s="69"/>
      <c r="K175" t="s">
        <v>783</v>
      </c>
      <c r="L175">
        <v>7</v>
      </c>
      <c r="M175">
        <v>31.3</v>
      </c>
      <c r="N175" s="3">
        <v>300</v>
      </c>
      <c r="O175" s="3" t="str">
        <f t="shared" si="13"/>
        <v>2018</v>
      </c>
      <c r="P175" s="2">
        <v>680</v>
      </c>
    </row>
    <row r="176" spans="1:16" x14ac:dyDescent="0.35">
      <c r="A176" s="3">
        <v>2016</v>
      </c>
      <c r="B176" s="3">
        <v>11</v>
      </c>
      <c r="C176" s="3">
        <v>16</v>
      </c>
      <c r="D176" s="2">
        <v>212</v>
      </c>
      <c r="E176" s="3" t="s">
        <v>668</v>
      </c>
      <c r="F176" s="3">
        <v>4</v>
      </c>
      <c r="G176" s="3" t="s">
        <v>41</v>
      </c>
      <c r="H176" s="3" t="str">
        <f t="shared" si="14"/>
        <v>2013</v>
      </c>
      <c r="I176" s="3">
        <v>3</v>
      </c>
      <c r="J176" s="69"/>
      <c r="K176" s="3" t="s">
        <v>669</v>
      </c>
      <c r="L176" s="3" t="s">
        <v>458</v>
      </c>
      <c r="M176" s="3">
        <v>2.5</v>
      </c>
      <c r="N176" s="3">
        <v>301</v>
      </c>
      <c r="O176" s="3" t="str">
        <f t="shared" si="13"/>
        <v>2011</v>
      </c>
      <c r="P176" s="2">
        <v>212</v>
      </c>
    </row>
    <row r="177" spans="1:16" x14ac:dyDescent="0.35">
      <c r="A177" s="3">
        <v>2023</v>
      </c>
      <c r="B177" s="3">
        <v>7</v>
      </c>
      <c r="C177" s="3">
        <v>17</v>
      </c>
      <c r="D177" s="2">
        <v>385</v>
      </c>
      <c r="E177" s="3" t="s">
        <v>850</v>
      </c>
      <c r="F177" s="3">
        <v>3</v>
      </c>
      <c r="G177" s="3" t="s">
        <v>45</v>
      </c>
      <c r="H177" s="3" t="str">
        <f t="shared" si="14"/>
        <v>2011</v>
      </c>
      <c r="I177" s="3">
        <v>12</v>
      </c>
      <c r="J177" s="69"/>
      <c r="K177" s="3" t="s">
        <v>46</v>
      </c>
      <c r="L177" s="3" t="s">
        <v>317</v>
      </c>
      <c r="M177" s="3">
        <v>18.100000000000001</v>
      </c>
      <c r="N177" s="3">
        <v>301</v>
      </c>
      <c r="O177" s="3" t="str">
        <f t="shared" si="13"/>
        <v>2007</v>
      </c>
      <c r="P177" s="2">
        <v>385</v>
      </c>
    </row>
    <row r="178" spans="1:16" x14ac:dyDescent="0.35">
      <c r="A178" s="3">
        <v>2016</v>
      </c>
      <c r="B178" s="3">
        <v>9</v>
      </c>
      <c r="C178" s="3">
        <v>1</v>
      </c>
      <c r="D178" s="2">
        <v>267</v>
      </c>
      <c r="E178" s="3" t="s">
        <v>728</v>
      </c>
      <c r="F178" s="3">
        <v>3</v>
      </c>
      <c r="G178" s="3" t="s">
        <v>45</v>
      </c>
      <c r="H178" s="3" t="str">
        <f t="shared" si="14"/>
        <v>2011</v>
      </c>
      <c r="I178" s="3">
        <v>5</v>
      </c>
      <c r="J178" s="69"/>
      <c r="K178" s="3" t="s">
        <v>718</v>
      </c>
      <c r="L178" s="3" t="s">
        <v>317</v>
      </c>
      <c r="M178" s="3">
        <v>20.399999999999999</v>
      </c>
      <c r="N178" s="3">
        <v>302</v>
      </c>
      <c r="O178" s="3" t="str">
        <f t="shared" si="13"/>
        <v>2007</v>
      </c>
      <c r="P178" s="2">
        <v>267</v>
      </c>
    </row>
    <row r="179" spans="1:16" x14ac:dyDescent="0.35">
      <c r="A179" s="3">
        <v>2017</v>
      </c>
      <c r="B179" s="3">
        <v>11</v>
      </c>
      <c r="C179" s="3">
        <v>9</v>
      </c>
      <c r="D179" s="2">
        <v>81</v>
      </c>
      <c r="E179" s="14" t="s">
        <v>526</v>
      </c>
      <c r="F179" s="15">
        <v>4</v>
      </c>
      <c r="G179" s="3" t="s">
        <v>45</v>
      </c>
      <c r="H179" s="3" t="str">
        <f t="shared" si="14"/>
        <v>2011</v>
      </c>
      <c r="I179" s="3">
        <v>6</v>
      </c>
      <c r="J179" s="69"/>
      <c r="K179" s="3" t="s">
        <v>317</v>
      </c>
      <c r="L179" s="3" t="s">
        <v>317</v>
      </c>
      <c r="M179" s="3">
        <v>19.7</v>
      </c>
      <c r="N179" s="3">
        <v>304</v>
      </c>
      <c r="O179" s="3" t="str">
        <f t="shared" si="13"/>
        <v>2007</v>
      </c>
      <c r="P179" s="2">
        <v>81</v>
      </c>
    </row>
    <row r="180" spans="1:16" x14ac:dyDescent="0.35">
      <c r="A180" s="3">
        <v>2024</v>
      </c>
      <c r="B180" s="3">
        <v>2</v>
      </c>
      <c r="C180" s="3">
        <v>23</v>
      </c>
      <c r="D180" s="2">
        <v>636</v>
      </c>
      <c r="E180" s="3" t="s">
        <v>1072</v>
      </c>
      <c r="F180" s="3">
        <v>1</v>
      </c>
      <c r="G180" s="3" t="s">
        <v>225</v>
      </c>
      <c r="H180" s="3" t="str">
        <f t="shared" si="14"/>
        <v>2022</v>
      </c>
      <c r="I180" s="3">
        <v>2</v>
      </c>
      <c r="J180" s="69"/>
      <c r="K180" t="s">
        <v>21</v>
      </c>
      <c r="L180" s="3">
        <v>2</v>
      </c>
      <c r="M180">
        <v>25.8</v>
      </c>
      <c r="N180" s="3">
        <v>304</v>
      </c>
      <c r="O180" s="3" t="str">
        <f t="shared" si="13"/>
        <v>2021</v>
      </c>
      <c r="P180" s="2">
        <v>636</v>
      </c>
    </row>
    <row r="181" spans="1:16" x14ac:dyDescent="0.35">
      <c r="A181" s="3">
        <v>2017</v>
      </c>
      <c r="B181" s="3">
        <v>11</v>
      </c>
      <c r="C181" s="3">
        <v>9</v>
      </c>
      <c r="D181" s="2">
        <v>83</v>
      </c>
      <c r="E181" s="14" t="s">
        <v>528</v>
      </c>
      <c r="F181" s="15">
        <v>4</v>
      </c>
      <c r="G181" s="3" t="s">
        <v>45</v>
      </c>
      <c r="H181" s="3" t="str">
        <f t="shared" si="14"/>
        <v>2011</v>
      </c>
      <c r="I181" s="3">
        <v>6</v>
      </c>
      <c r="J181" s="69"/>
      <c r="K181" s="3" t="s">
        <v>317</v>
      </c>
      <c r="L181" s="3" t="s">
        <v>317</v>
      </c>
      <c r="M181" s="3">
        <v>19.3</v>
      </c>
      <c r="N181" s="3">
        <v>305</v>
      </c>
      <c r="O181" s="3" t="str">
        <f t="shared" si="13"/>
        <v>2007</v>
      </c>
      <c r="P181" s="2">
        <v>83</v>
      </c>
    </row>
    <row r="182" spans="1:16" x14ac:dyDescent="0.35">
      <c r="A182" s="3">
        <v>2016</v>
      </c>
      <c r="B182" s="3">
        <v>8</v>
      </c>
      <c r="C182" s="3">
        <v>30</v>
      </c>
      <c r="D182" s="2">
        <v>213</v>
      </c>
      <c r="E182" s="3" t="s">
        <v>670</v>
      </c>
      <c r="F182" s="3">
        <v>3</v>
      </c>
      <c r="G182" s="3" t="s">
        <v>45</v>
      </c>
      <c r="H182" s="3" t="str">
        <f t="shared" si="14"/>
        <v>2009</v>
      </c>
      <c r="I182" s="3">
        <v>7</v>
      </c>
      <c r="J182" s="69"/>
      <c r="K182" s="3" t="s">
        <v>671</v>
      </c>
      <c r="L182" s="3" t="s">
        <v>512</v>
      </c>
      <c r="M182" s="3">
        <v>23.9</v>
      </c>
      <c r="N182" s="3">
        <v>305</v>
      </c>
      <c r="O182" s="3" t="str">
        <f t="shared" si="13"/>
        <v>2007</v>
      </c>
      <c r="P182" s="2">
        <v>213</v>
      </c>
    </row>
    <row r="183" spans="1:16" x14ac:dyDescent="0.35">
      <c r="A183" s="3">
        <v>2023</v>
      </c>
      <c r="B183" s="3">
        <v>10</v>
      </c>
      <c r="C183" s="3">
        <v>30</v>
      </c>
      <c r="D183" s="2">
        <v>523</v>
      </c>
      <c r="E183" s="3" t="s">
        <v>975</v>
      </c>
      <c r="F183" s="3">
        <v>4</v>
      </c>
      <c r="G183" s="3" t="s">
        <v>225</v>
      </c>
      <c r="H183" s="3" t="str">
        <f t="shared" si="14"/>
        <v>2021</v>
      </c>
      <c r="I183" s="3">
        <v>2</v>
      </c>
      <c r="J183" s="69"/>
      <c r="K183" s="3" t="s">
        <v>237</v>
      </c>
      <c r="L183" s="3">
        <v>3</v>
      </c>
      <c r="M183" s="3">
        <v>24.7</v>
      </c>
      <c r="N183" s="3">
        <v>305</v>
      </c>
      <c r="O183" s="3" t="str">
        <f t="shared" si="13"/>
        <v>2021</v>
      </c>
      <c r="P183" s="2">
        <v>523</v>
      </c>
    </row>
    <row r="184" spans="1:16" x14ac:dyDescent="0.35">
      <c r="A184" s="3">
        <v>2024</v>
      </c>
      <c r="B184" s="3">
        <v>1</v>
      </c>
      <c r="C184" s="3">
        <v>18</v>
      </c>
      <c r="D184" s="2">
        <v>556</v>
      </c>
      <c r="E184" s="3" t="s">
        <v>1001</v>
      </c>
      <c r="F184" s="3">
        <v>1</v>
      </c>
      <c r="G184" s="3" t="s">
        <v>41</v>
      </c>
      <c r="H184" s="3" t="str">
        <f t="shared" si="14"/>
        <v>2013</v>
      </c>
      <c r="I184" s="3">
        <v>11</v>
      </c>
      <c r="J184" s="69"/>
      <c r="K184" t="s">
        <v>583</v>
      </c>
      <c r="L184" s="3" t="s">
        <v>318</v>
      </c>
      <c r="M184">
        <v>22.2</v>
      </c>
      <c r="N184" s="3">
        <v>305</v>
      </c>
      <c r="O184" s="3" t="str">
        <f t="shared" si="13"/>
        <v>2011</v>
      </c>
      <c r="P184" s="2">
        <v>556</v>
      </c>
    </row>
    <row r="185" spans="1:16" x14ac:dyDescent="0.35">
      <c r="A185" s="3">
        <v>2022</v>
      </c>
      <c r="B185" s="3">
        <v>11</v>
      </c>
      <c r="C185" s="3">
        <v>4</v>
      </c>
      <c r="D185" s="2">
        <v>104</v>
      </c>
      <c r="E185" s="14" t="s">
        <v>552</v>
      </c>
      <c r="F185" s="15">
        <v>4</v>
      </c>
      <c r="G185" s="3" t="s">
        <v>45</v>
      </c>
      <c r="H185" s="3" t="str">
        <f t="shared" si="14"/>
        <v>2011</v>
      </c>
      <c r="I185" s="3">
        <v>11</v>
      </c>
      <c r="J185" s="69"/>
      <c r="K185" s="3" t="s">
        <v>317</v>
      </c>
      <c r="L185" s="3" t="s">
        <v>317</v>
      </c>
      <c r="M185" s="3">
        <v>22.5</v>
      </c>
      <c r="N185" s="3">
        <v>307</v>
      </c>
      <c r="O185" s="3" t="str">
        <f t="shared" si="13"/>
        <v>2007</v>
      </c>
      <c r="P185" s="2">
        <v>104</v>
      </c>
    </row>
    <row r="186" spans="1:16" x14ac:dyDescent="0.35">
      <c r="A186" s="3">
        <v>2022</v>
      </c>
      <c r="B186" s="3">
        <v>11</v>
      </c>
      <c r="C186" s="3">
        <v>1</v>
      </c>
      <c r="D186" s="2">
        <v>366</v>
      </c>
      <c r="E186" s="3" t="s">
        <v>832</v>
      </c>
      <c r="F186" s="3">
        <v>4</v>
      </c>
      <c r="G186" s="3" t="s">
        <v>41</v>
      </c>
      <c r="H186" s="3" t="str">
        <f t="shared" si="14"/>
        <v>2013</v>
      </c>
      <c r="I186" s="3">
        <v>9</v>
      </c>
      <c r="J186" s="69"/>
      <c r="K186" s="3" t="s">
        <v>583</v>
      </c>
      <c r="L186" s="3" t="s">
        <v>318</v>
      </c>
      <c r="M186" s="3">
        <v>16.600000000000001</v>
      </c>
      <c r="N186" s="3">
        <v>308</v>
      </c>
      <c r="O186" s="3" t="str">
        <f t="shared" si="13"/>
        <v>2011</v>
      </c>
      <c r="P186" s="2">
        <v>366</v>
      </c>
    </row>
    <row r="187" spans="1:16" x14ac:dyDescent="0.35">
      <c r="A187" s="3">
        <v>2021</v>
      </c>
      <c r="B187" s="3">
        <v>10</v>
      </c>
      <c r="C187" s="3" t="s">
        <v>28</v>
      </c>
      <c r="D187" s="2">
        <v>32</v>
      </c>
      <c r="E187" s="3" t="s">
        <v>474</v>
      </c>
      <c r="F187" s="3">
        <v>4</v>
      </c>
      <c r="G187" s="3" t="s">
        <v>41</v>
      </c>
      <c r="H187" s="3" t="str">
        <f t="shared" si="14"/>
        <v>2013</v>
      </c>
      <c r="I187" s="3">
        <v>8</v>
      </c>
      <c r="J187" s="69"/>
      <c r="K187" s="3" t="s">
        <v>318</v>
      </c>
      <c r="L187" s="3" t="s">
        <v>318</v>
      </c>
      <c r="M187" s="3">
        <v>24.7</v>
      </c>
      <c r="N187" s="3">
        <v>309</v>
      </c>
      <c r="O187" s="3" t="str">
        <f t="shared" si="13"/>
        <v>2011</v>
      </c>
      <c r="P187" s="2">
        <v>32</v>
      </c>
    </row>
    <row r="188" spans="1:16" x14ac:dyDescent="0.35">
      <c r="A188" s="3" t="s">
        <v>28</v>
      </c>
      <c r="B188" s="3" t="s">
        <v>28</v>
      </c>
      <c r="C188" s="3" t="s">
        <v>28</v>
      </c>
      <c r="D188" s="2">
        <v>404</v>
      </c>
      <c r="E188" s="3" t="s">
        <v>869</v>
      </c>
      <c r="F188" s="3" t="s">
        <v>28</v>
      </c>
      <c r="G188" s="3" t="s">
        <v>28</v>
      </c>
      <c r="H188" s="3" t="b">
        <f t="shared" si="14"/>
        <v>0</v>
      </c>
      <c r="I188" s="3" t="e">
        <v>#VALUE!</v>
      </c>
      <c r="J188" s="69"/>
      <c r="K188" s="3" t="s">
        <v>28</v>
      </c>
      <c r="L188" s="3" t="s">
        <v>28</v>
      </c>
      <c r="M188" s="3">
        <v>17.399999999999999</v>
      </c>
      <c r="N188" s="3">
        <v>309</v>
      </c>
      <c r="O188" s="3" t="b">
        <f t="shared" si="13"/>
        <v>0</v>
      </c>
      <c r="P188" s="2">
        <v>404</v>
      </c>
    </row>
    <row r="189" spans="1:16" x14ac:dyDescent="0.35">
      <c r="A189" s="3">
        <v>2024</v>
      </c>
      <c r="B189" s="3">
        <v>1</v>
      </c>
      <c r="C189" s="3">
        <v>17</v>
      </c>
      <c r="D189" s="2">
        <v>554</v>
      </c>
      <c r="E189" s="3" t="s">
        <v>1000</v>
      </c>
      <c r="F189" s="3">
        <v>1</v>
      </c>
      <c r="G189" s="3" t="s">
        <v>41</v>
      </c>
      <c r="H189" s="3" t="str">
        <f t="shared" si="14"/>
        <v>2013</v>
      </c>
      <c r="I189" s="3">
        <v>11</v>
      </c>
      <c r="J189" s="69"/>
      <c r="K189" t="s">
        <v>49</v>
      </c>
      <c r="L189" s="3" t="s">
        <v>318</v>
      </c>
      <c r="M189">
        <v>22.6</v>
      </c>
      <c r="N189" s="3">
        <v>309</v>
      </c>
      <c r="O189" s="3" t="str">
        <f t="shared" si="13"/>
        <v>2011</v>
      </c>
      <c r="P189" s="2">
        <v>554</v>
      </c>
    </row>
    <row r="190" spans="1:16" x14ac:dyDescent="0.35">
      <c r="A190" s="3">
        <v>2017</v>
      </c>
      <c r="B190" s="3">
        <v>8</v>
      </c>
      <c r="C190" s="3">
        <v>8</v>
      </c>
      <c r="D190" s="2">
        <v>125</v>
      </c>
      <c r="E190" s="14" t="s">
        <v>570</v>
      </c>
      <c r="F190" s="15">
        <v>3</v>
      </c>
      <c r="G190" s="3" t="s">
        <v>45</v>
      </c>
      <c r="H190" s="3" t="str">
        <f t="shared" si="14"/>
        <v>2009</v>
      </c>
      <c r="I190" s="3">
        <v>8</v>
      </c>
      <c r="J190" s="69"/>
      <c r="K190" s="3" t="s">
        <v>512</v>
      </c>
      <c r="L190" s="3" t="s">
        <v>512</v>
      </c>
      <c r="M190" s="3">
        <v>21.2</v>
      </c>
      <c r="N190" s="3">
        <v>310</v>
      </c>
      <c r="O190" s="3" t="str">
        <f t="shared" si="13"/>
        <v>2007</v>
      </c>
      <c r="P190" s="2">
        <v>125</v>
      </c>
    </row>
    <row r="191" spans="1:16" x14ac:dyDescent="0.35">
      <c r="A191" s="3">
        <v>2016</v>
      </c>
      <c r="B191" s="3">
        <v>11</v>
      </c>
      <c r="C191" s="3">
        <v>7</v>
      </c>
      <c r="D191" s="2">
        <v>192</v>
      </c>
      <c r="E191" s="3" t="s">
        <v>643</v>
      </c>
      <c r="F191" s="3">
        <v>4</v>
      </c>
      <c r="G191" s="3" t="s">
        <v>45</v>
      </c>
      <c r="H191" s="3" t="str">
        <f t="shared" si="14"/>
        <v>2011</v>
      </c>
      <c r="I191" s="3">
        <v>5</v>
      </c>
      <c r="J191" s="69"/>
      <c r="K191" s="3" t="s">
        <v>644</v>
      </c>
      <c r="L191" s="3" t="s">
        <v>317</v>
      </c>
      <c r="M191" s="3">
        <v>22.3</v>
      </c>
      <c r="N191" s="3">
        <v>310</v>
      </c>
      <c r="O191" s="3" t="str">
        <f t="shared" si="13"/>
        <v>2007</v>
      </c>
      <c r="P191" s="2">
        <v>192</v>
      </c>
    </row>
    <row r="192" spans="1:16" x14ac:dyDescent="0.35">
      <c r="A192" s="3">
        <v>2023</v>
      </c>
      <c r="B192" s="3">
        <v>7</v>
      </c>
      <c r="C192" s="3">
        <v>17</v>
      </c>
      <c r="D192" s="2">
        <v>391</v>
      </c>
      <c r="E192" s="3" t="s">
        <v>856</v>
      </c>
      <c r="F192" s="3">
        <v>3</v>
      </c>
      <c r="G192" s="3" t="s">
        <v>45</v>
      </c>
      <c r="H192" s="3" t="str">
        <f t="shared" si="14"/>
        <v>2011</v>
      </c>
      <c r="I192" s="3">
        <v>12</v>
      </c>
      <c r="J192" s="69"/>
      <c r="K192" s="3" t="s">
        <v>632</v>
      </c>
      <c r="L192" s="3" t="s">
        <v>317</v>
      </c>
      <c r="M192" s="3">
        <v>20.100000000000001</v>
      </c>
      <c r="N192" s="3">
        <v>310</v>
      </c>
      <c r="O192" s="3" t="str">
        <f t="shared" si="13"/>
        <v>2007</v>
      </c>
      <c r="P192" s="2">
        <v>391</v>
      </c>
    </row>
    <row r="193" spans="1:16" x14ac:dyDescent="0.35">
      <c r="A193" s="3">
        <v>2023</v>
      </c>
      <c r="B193" s="3">
        <v>7</v>
      </c>
      <c r="C193" s="3">
        <v>21</v>
      </c>
      <c r="D193" s="2">
        <v>426</v>
      </c>
      <c r="E193" s="3" t="s">
        <v>887</v>
      </c>
      <c r="F193" s="3">
        <v>3</v>
      </c>
      <c r="G193" s="3" t="s">
        <v>20</v>
      </c>
      <c r="H193" s="3" t="str">
        <f t="shared" si="14"/>
        <v>2020</v>
      </c>
      <c r="I193" s="3">
        <v>3</v>
      </c>
      <c r="J193" s="69"/>
      <c r="K193" s="3" t="s">
        <v>231</v>
      </c>
      <c r="L193" s="3">
        <v>8</v>
      </c>
      <c r="M193" s="3">
        <v>2.7</v>
      </c>
      <c r="N193" s="3">
        <v>310</v>
      </c>
      <c r="O193" s="3" t="str">
        <f t="shared" si="13"/>
        <v>2018</v>
      </c>
      <c r="P193" s="2">
        <v>426</v>
      </c>
    </row>
    <row r="194" spans="1:16" x14ac:dyDescent="0.35">
      <c r="A194" s="3">
        <v>2024</v>
      </c>
      <c r="B194" s="3">
        <v>1</v>
      </c>
      <c r="C194" s="3">
        <v>16</v>
      </c>
      <c r="D194" s="2">
        <v>590</v>
      </c>
      <c r="E194" s="3" t="s">
        <v>1033</v>
      </c>
      <c r="F194" s="3">
        <v>1</v>
      </c>
      <c r="G194" s="3" t="s">
        <v>45</v>
      </c>
      <c r="H194" s="3" t="str">
        <f t="shared" si="14"/>
        <v>2011</v>
      </c>
      <c r="I194" s="3">
        <v>13</v>
      </c>
      <c r="J194" s="69"/>
      <c r="K194" t="s">
        <v>236</v>
      </c>
      <c r="L194" s="3" t="s">
        <v>317</v>
      </c>
      <c r="M194">
        <v>28.6</v>
      </c>
      <c r="N194" s="3">
        <v>310</v>
      </c>
      <c r="O194" s="3" t="str">
        <f t="shared" ref="O194:O257" si="15">IF(G194="PHD", "2007", IF(G194="TSL", "2011", IF(G194 = "SRS", "2018", IF(G194="WCA 3B", "2017", IF(G194="WCA 3A", "2021")))))</f>
        <v>2007</v>
      </c>
      <c r="P194" s="2">
        <v>590</v>
      </c>
    </row>
    <row r="195" spans="1:16" x14ac:dyDescent="0.35">
      <c r="A195" s="3">
        <v>2021</v>
      </c>
      <c r="B195" s="3">
        <v>10</v>
      </c>
      <c r="C195" s="3" t="s">
        <v>28</v>
      </c>
      <c r="D195" s="2">
        <v>15</v>
      </c>
      <c r="E195" s="3" t="s">
        <v>457</v>
      </c>
      <c r="F195" s="3">
        <v>4</v>
      </c>
      <c r="G195" s="3" t="s">
        <v>41</v>
      </c>
      <c r="H195" s="3" t="str">
        <f t="shared" si="14"/>
        <v>2013</v>
      </c>
      <c r="I195" s="3">
        <v>8</v>
      </c>
      <c r="J195" s="69"/>
      <c r="K195" s="3" t="s">
        <v>458</v>
      </c>
      <c r="L195" s="3" t="s">
        <v>458</v>
      </c>
      <c r="M195" s="3">
        <v>26.4</v>
      </c>
      <c r="N195" s="3">
        <v>313</v>
      </c>
      <c r="O195" s="3" t="str">
        <f t="shared" si="15"/>
        <v>2011</v>
      </c>
      <c r="P195" s="2">
        <v>15</v>
      </c>
    </row>
    <row r="196" spans="1:16" x14ac:dyDescent="0.35">
      <c r="A196" s="3">
        <v>2017</v>
      </c>
      <c r="B196" s="3">
        <v>8</v>
      </c>
      <c r="C196" s="3">
        <v>8</v>
      </c>
      <c r="D196" s="2">
        <v>73</v>
      </c>
      <c r="E196" s="14" t="s">
        <v>518</v>
      </c>
      <c r="F196" s="15">
        <v>3</v>
      </c>
      <c r="G196" s="3" t="s">
        <v>45</v>
      </c>
      <c r="H196" s="3" t="str">
        <f t="shared" si="14"/>
        <v>2009</v>
      </c>
      <c r="I196" s="3">
        <v>8</v>
      </c>
      <c r="J196" s="69"/>
      <c r="K196" s="3" t="s">
        <v>512</v>
      </c>
      <c r="L196" s="3" t="s">
        <v>512</v>
      </c>
      <c r="M196" s="3">
        <v>21.8</v>
      </c>
      <c r="N196" s="3">
        <v>313</v>
      </c>
      <c r="O196" s="3" t="str">
        <f t="shared" si="15"/>
        <v>2007</v>
      </c>
      <c r="P196" s="2">
        <v>73</v>
      </c>
    </row>
    <row r="197" spans="1:16" x14ac:dyDescent="0.35">
      <c r="A197" s="3">
        <v>2019</v>
      </c>
      <c r="B197" s="3">
        <v>2</v>
      </c>
      <c r="C197" s="3">
        <v>18</v>
      </c>
      <c r="D197" s="2">
        <v>161</v>
      </c>
      <c r="E197" s="3" t="s">
        <v>607</v>
      </c>
      <c r="F197" s="3">
        <v>1</v>
      </c>
      <c r="G197" s="3" t="s">
        <v>41</v>
      </c>
      <c r="H197" s="3" t="str">
        <f t="shared" si="14"/>
        <v>2013</v>
      </c>
      <c r="I197" s="3">
        <v>6</v>
      </c>
      <c r="J197" s="69"/>
      <c r="K197" s="3" t="s">
        <v>608</v>
      </c>
      <c r="L197" s="3" t="s">
        <v>318</v>
      </c>
      <c r="M197" s="3">
        <v>28.2</v>
      </c>
      <c r="N197" s="3">
        <v>313</v>
      </c>
      <c r="O197" s="3" t="str">
        <f t="shared" si="15"/>
        <v>2011</v>
      </c>
      <c r="P197" s="2">
        <v>161</v>
      </c>
    </row>
    <row r="198" spans="1:16" x14ac:dyDescent="0.35">
      <c r="A198" s="3">
        <v>2023</v>
      </c>
      <c r="B198" s="3">
        <v>8</v>
      </c>
      <c r="C198" s="3">
        <v>2</v>
      </c>
      <c r="D198" s="2">
        <v>433</v>
      </c>
      <c r="E198" s="3" t="s">
        <v>894</v>
      </c>
      <c r="F198" s="3">
        <v>3</v>
      </c>
      <c r="G198" s="3" t="s">
        <v>225</v>
      </c>
      <c r="H198" s="3" t="str">
        <f t="shared" si="14"/>
        <v>2022</v>
      </c>
      <c r="I198" s="3">
        <v>1</v>
      </c>
      <c r="J198" s="69"/>
      <c r="K198" s="3" t="s">
        <v>67</v>
      </c>
      <c r="L198" s="3">
        <v>2</v>
      </c>
      <c r="M198" s="3">
        <v>25.8</v>
      </c>
      <c r="N198" s="3">
        <v>313</v>
      </c>
      <c r="O198" s="3" t="str">
        <f t="shared" si="15"/>
        <v>2021</v>
      </c>
      <c r="P198" s="2">
        <v>433</v>
      </c>
    </row>
    <row r="199" spans="1:16" x14ac:dyDescent="0.35">
      <c r="A199" s="3">
        <v>2024</v>
      </c>
      <c r="B199" s="3">
        <v>3</v>
      </c>
      <c r="C199" s="3">
        <v>13</v>
      </c>
      <c r="D199" s="2">
        <v>675</v>
      </c>
      <c r="E199" s="3" t="s">
        <v>1097</v>
      </c>
      <c r="F199" s="3">
        <v>2</v>
      </c>
      <c r="G199" s="3" t="s">
        <v>226</v>
      </c>
      <c r="H199" s="3" t="str">
        <f t="shared" ref="H199:H262" si="16">IF(L199="A55","2009",IF(L199="A59","2009",IF(L199="A60","2010",IF(L199="A62","2011",IF(L199="CP","2013",IF(L199="MD","2012",IF(L199="TS","2013",IF(L199="DL","2018",IF(L199="SCU","2018",IF(L199="NCU","2018",IF(L199="C1C","2018",IF(L199="C1E","2018",IF(L199="RS1S","2018",IF(L199="C2B","2018",IF(L199="DB3","2018",IF(AND(L199=6,G199="SRS"),"2018",IF(AND(L199=7,G199="SRS"),"2020",IF(AND(L199=8,G199="SRS"),"2020",IF(L199=23,"2019",IF(AND(L199=7,G199="WCA 3B"),"2017",IF(AND(L199=8,G199="WCA 3B"),"2019",IF(L199=1,"2021",IF(L199=2,"2022",IF(L199=3,"2021",IF(L199=4,"2021",IF(L199=5,"2022",IF(AND(L199=6,G199="WCA 3A"),"2022",IF(L199=9,"2023",IF(L199=10,"2023",IF(L199=37,"2020"))))))))))))))))))))))))))))))</f>
        <v>2017</v>
      </c>
      <c r="I199" s="3">
        <v>7</v>
      </c>
      <c r="J199" s="69"/>
      <c r="K199" t="s">
        <v>783</v>
      </c>
      <c r="L199">
        <v>7</v>
      </c>
      <c r="M199">
        <v>26.6</v>
      </c>
      <c r="N199" s="3">
        <v>313</v>
      </c>
      <c r="O199" s="3" t="str">
        <f t="shared" si="15"/>
        <v>2017</v>
      </c>
      <c r="P199" s="2">
        <v>675</v>
      </c>
    </row>
    <row r="200" spans="1:16" x14ac:dyDescent="0.35">
      <c r="A200" s="3">
        <v>2024</v>
      </c>
      <c r="B200">
        <v>8</v>
      </c>
      <c r="C200" s="3">
        <v>9</v>
      </c>
      <c r="D200" s="2">
        <v>855</v>
      </c>
      <c r="E200" s="3" t="s">
        <v>312</v>
      </c>
      <c r="F200" s="3">
        <v>3</v>
      </c>
      <c r="G200" t="s">
        <v>41</v>
      </c>
      <c r="H200" s="3" t="str">
        <f t="shared" si="16"/>
        <v>2013</v>
      </c>
      <c r="I200" s="3">
        <v>11</v>
      </c>
      <c r="J200" s="69"/>
      <c r="K200" t="s">
        <v>42</v>
      </c>
      <c r="L200" t="s">
        <v>318</v>
      </c>
      <c r="M200">
        <v>25.9</v>
      </c>
      <c r="N200" s="3">
        <v>313</v>
      </c>
      <c r="O200" s="3" t="str">
        <f t="shared" si="15"/>
        <v>2011</v>
      </c>
      <c r="P200" s="2">
        <v>855</v>
      </c>
    </row>
    <row r="201" spans="1:16" x14ac:dyDescent="0.35">
      <c r="A201" s="3">
        <v>2017</v>
      </c>
      <c r="B201" s="3">
        <v>11</v>
      </c>
      <c r="C201" s="3">
        <v>8</v>
      </c>
      <c r="D201" s="2">
        <v>67</v>
      </c>
      <c r="E201" s="3" t="s">
        <v>511</v>
      </c>
      <c r="F201" s="3">
        <v>4</v>
      </c>
      <c r="G201" s="3" t="s">
        <v>45</v>
      </c>
      <c r="H201" s="3" t="str">
        <f t="shared" si="16"/>
        <v>2009</v>
      </c>
      <c r="I201" s="3">
        <v>8</v>
      </c>
      <c r="J201" s="69"/>
      <c r="K201" s="3" t="s">
        <v>512</v>
      </c>
      <c r="L201" s="3" t="s">
        <v>512</v>
      </c>
      <c r="M201" s="3">
        <v>2.2000000000000002</v>
      </c>
      <c r="N201" s="3">
        <v>314</v>
      </c>
      <c r="O201" s="3" t="str">
        <f t="shared" si="15"/>
        <v>2007</v>
      </c>
      <c r="P201" s="2">
        <v>67</v>
      </c>
    </row>
    <row r="202" spans="1:16" x14ac:dyDescent="0.35">
      <c r="A202" s="3">
        <v>2023</v>
      </c>
      <c r="B202" s="3">
        <v>1</v>
      </c>
      <c r="C202" s="3">
        <v>30</v>
      </c>
      <c r="D202" s="2">
        <v>101</v>
      </c>
      <c r="E202" s="14" t="s">
        <v>29</v>
      </c>
      <c r="F202" s="15">
        <v>1</v>
      </c>
      <c r="G202" s="3" t="s">
        <v>225</v>
      </c>
      <c r="H202" s="3" t="str">
        <f t="shared" si="16"/>
        <v>2021</v>
      </c>
      <c r="I202" s="3">
        <v>2</v>
      </c>
      <c r="J202" s="69"/>
      <c r="K202" s="3">
        <v>1</v>
      </c>
      <c r="L202" s="3">
        <v>1</v>
      </c>
      <c r="M202" s="3">
        <v>43.4</v>
      </c>
      <c r="N202" s="3">
        <v>315</v>
      </c>
      <c r="O202" s="3" t="str">
        <f t="shared" si="15"/>
        <v>2021</v>
      </c>
      <c r="P202" s="2">
        <v>101</v>
      </c>
    </row>
    <row r="203" spans="1:16" x14ac:dyDescent="0.35">
      <c r="A203" s="3">
        <v>2023</v>
      </c>
      <c r="B203" s="3">
        <v>11</v>
      </c>
      <c r="C203" s="3">
        <v>8</v>
      </c>
      <c r="D203" s="2">
        <v>526</v>
      </c>
      <c r="E203" s="3" t="s">
        <v>980</v>
      </c>
      <c r="F203" s="3">
        <v>4</v>
      </c>
      <c r="G203" s="3" t="s">
        <v>20</v>
      </c>
      <c r="H203" s="3" t="str">
        <f t="shared" si="16"/>
        <v>2020</v>
      </c>
      <c r="I203" s="3">
        <v>3</v>
      </c>
      <c r="J203" s="69"/>
      <c r="K203" s="3" t="s">
        <v>55</v>
      </c>
      <c r="L203" s="3">
        <v>8</v>
      </c>
      <c r="M203" s="3">
        <v>26.9</v>
      </c>
      <c r="N203" s="3">
        <v>315</v>
      </c>
      <c r="O203" s="3" t="str">
        <f t="shared" si="15"/>
        <v>2018</v>
      </c>
      <c r="P203" s="2">
        <v>526</v>
      </c>
    </row>
    <row r="204" spans="1:16" x14ac:dyDescent="0.35">
      <c r="A204" s="3">
        <v>2024</v>
      </c>
      <c r="B204" s="2">
        <v>8</v>
      </c>
      <c r="C204" s="3">
        <v>15</v>
      </c>
      <c r="D204" s="2">
        <v>774</v>
      </c>
      <c r="E204" s="3" t="s">
        <v>275</v>
      </c>
      <c r="F204" s="3">
        <v>3</v>
      </c>
      <c r="G204" s="3" t="s">
        <v>225</v>
      </c>
      <c r="H204" s="3" t="str">
        <f t="shared" si="16"/>
        <v>2021</v>
      </c>
      <c r="I204" s="3">
        <v>3</v>
      </c>
      <c r="J204" s="69"/>
      <c r="K204">
        <v>3</v>
      </c>
      <c r="L204">
        <v>3</v>
      </c>
      <c r="M204">
        <v>57.1</v>
      </c>
      <c r="N204" s="3">
        <v>315</v>
      </c>
      <c r="O204" s="3" t="str">
        <f t="shared" si="15"/>
        <v>2021</v>
      </c>
      <c r="P204" s="2">
        <v>774</v>
      </c>
    </row>
    <row r="205" spans="1:16" x14ac:dyDescent="0.35">
      <c r="A205" s="3">
        <v>2017</v>
      </c>
      <c r="B205" s="3">
        <v>8</v>
      </c>
      <c r="C205" s="3">
        <v>8</v>
      </c>
      <c r="D205" s="2">
        <v>75</v>
      </c>
      <c r="E205" s="14" t="s">
        <v>520</v>
      </c>
      <c r="F205" s="15">
        <v>3</v>
      </c>
      <c r="G205" s="3" t="s">
        <v>45</v>
      </c>
      <c r="H205" s="3" t="str">
        <f t="shared" si="16"/>
        <v>2009</v>
      </c>
      <c r="I205" s="3">
        <v>8</v>
      </c>
      <c r="J205" s="69"/>
      <c r="K205" s="3" t="s">
        <v>512</v>
      </c>
      <c r="L205" s="3" t="s">
        <v>512</v>
      </c>
      <c r="M205" s="3">
        <v>21.6</v>
      </c>
      <c r="N205" s="3">
        <v>316</v>
      </c>
      <c r="O205" s="3" t="str">
        <f t="shared" si="15"/>
        <v>2007</v>
      </c>
      <c r="P205" s="2">
        <v>75</v>
      </c>
    </row>
    <row r="206" spans="1:16" x14ac:dyDescent="0.35">
      <c r="A206" s="3">
        <v>2024</v>
      </c>
      <c r="B206" s="3">
        <v>8</v>
      </c>
      <c r="C206" s="3">
        <v>14</v>
      </c>
      <c r="D206" s="2">
        <v>722</v>
      </c>
      <c r="E206" s="3" t="s">
        <v>1138</v>
      </c>
      <c r="F206" s="3">
        <v>3</v>
      </c>
      <c r="G206" s="3" t="s">
        <v>225</v>
      </c>
      <c r="H206" s="3" t="str">
        <f t="shared" si="16"/>
        <v>2021</v>
      </c>
      <c r="I206" s="3">
        <v>3</v>
      </c>
      <c r="J206" s="69"/>
      <c r="K206" t="s">
        <v>1139</v>
      </c>
      <c r="L206">
        <v>4</v>
      </c>
      <c r="M206">
        <v>38.799999999999997</v>
      </c>
      <c r="N206" s="3">
        <v>316</v>
      </c>
      <c r="O206" s="3" t="str">
        <f t="shared" si="15"/>
        <v>2021</v>
      </c>
      <c r="P206" s="2">
        <v>722</v>
      </c>
    </row>
    <row r="207" spans="1:16" x14ac:dyDescent="0.35">
      <c r="A207" s="3">
        <v>2017</v>
      </c>
      <c r="B207" s="3">
        <v>11</v>
      </c>
      <c r="C207" s="3">
        <v>13</v>
      </c>
      <c r="D207" s="2">
        <v>66</v>
      </c>
      <c r="E207" s="3" t="s">
        <v>510</v>
      </c>
      <c r="F207" s="3">
        <v>4</v>
      </c>
      <c r="G207" s="3" t="s">
        <v>41</v>
      </c>
      <c r="H207" s="3" t="str">
        <f t="shared" si="16"/>
        <v>2013</v>
      </c>
      <c r="I207" s="3">
        <v>4</v>
      </c>
      <c r="J207" s="69"/>
      <c r="K207" s="3" t="s">
        <v>42</v>
      </c>
      <c r="L207" s="3" t="s">
        <v>318</v>
      </c>
      <c r="M207" s="3">
        <v>26.2</v>
      </c>
      <c r="N207" s="3">
        <v>317</v>
      </c>
      <c r="O207" s="3" t="str">
        <f t="shared" si="15"/>
        <v>2011</v>
      </c>
      <c r="P207" s="2">
        <v>66</v>
      </c>
    </row>
    <row r="208" spans="1:16" x14ac:dyDescent="0.35">
      <c r="A208" s="3">
        <v>2022</v>
      </c>
      <c r="B208" s="3">
        <v>11</v>
      </c>
      <c r="C208" s="3">
        <v>14</v>
      </c>
      <c r="D208" s="2">
        <v>119</v>
      </c>
      <c r="E208" s="14" t="s">
        <v>565</v>
      </c>
      <c r="F208" s="15">
        <v>4</v>
      </c>
      <c r="G208" s="3" t="s">
        <v>20</v>
      </c>
      <c r="H208" s="3" t="str">
        <f t="shared" si="16"/>
        <v>2020</v>
      </c>
      <c r="I208" s="3">
        <v>2</v>
      </c>
      <c r="J208" s="69"/>
      <c r="K208" s="3">
        <v>8</v>
      </c>
      <c r="L208" s="3">
        <v>8</v>
      </c>
      <c r="M208" s="3">
        <v>26.3</v>
      </c>
      <c r="N208" s="3">
        <v>317</v>
      </c>
      <c r="O208" s="3" t="str">
        <f t="shared" si="15"/>
        <v>2018</v>
      </c>
      <c r="P208" s="2">
        <v>119</v>
      </c>
    </row>
    <row r="209" spans="1:20" x14ac:dyDescent="0.35">
      <c r="A209" s="3">
        <v>2018</v>
      </c>
      <c r="B209" s="3">
        <v>8</v>
      </c>
      <c r="C209" s="3">
        <v>16</v>
      </c>
      <c r="D209" s="2">
        <v>331</v>
      </c>
      <c r="E209" s="3" t="s">
        <v>798</v>
      </c>
      <c r="F209" s="3">
        <v>3</v>
      </c>
      <c r="G209" s="3" t="s">
        <v>45</v>
      </c>
      <c r="H209" s="3" t="str">
        <f t="shared" si="16"/>
        <v>2011</v>
      </c>
      <c r="I209" s="3">
        <v>7</v>
      </c>
      <c r="J209" s="69"/>
      <c r="K209" s="3" t="s">
        <v>632</v>
      </c>
      <c r="L209" s="3" t="s">
        <v>317</v>
      </c>
      <c r="M209" s="3">
        <v>22.4</v>
      </c>
      <c r="N209" s="3">
        <v>317</v>
      </c>
      <c r="O209" s="3" t="str">
        <f t="shared" si="15"/>
        <v>2007</v>
      </c>
      <c r="P209" s="2">
        <v>331</v>
      </c>
    </row>
    <row r="210" spans="1:20" x14ac:dyDescent="0.35">
      <c r="A210" s="3">
        <v>2023</v>
      </c>
      <c r="B210" s="3">
        <v>7</v>
      </c>
      <c r="C210" s="3">
        <v>19</v>
      </c>
      <c r="D210" s="2">
        <v>376</v>
      </c>
      <c r="E210" s="3" t="s">
        <v>842</v>
      </c>
      <c r="F210" s="3">
        <v>3</v>
      </c>
      <c r="G210" s="3" t="s">
        <v>41</v>
      </c>
      <c r="H210" s="3" t="str">
        <f t="shared" si="16"/>
        <v>2012</v>
      </c>
      <c r="I210" s="3">
        <v>11</v>
      </c>
      <c r="J210" s="69"/>
      <c r="K210" s="3" t="s">
        <v>544</v>
      </c>
      <c r="L210" s="3" t="s">
        <v>461</v>
      </c>
      <c r="M210" s="3">
        <v>24.8</v>
      </c>
      <c r="N210" s="3">
        <v>317</v>
      </c>
      <c r="O210" s="3" t="str">
        <f t="shared" si="15"/>
        <v>2011</v>
      </c>
      <c r="P210" s="2">
        <v>376</v>
      </c>
    </row>
    <row r="211" spans="1:20" x14ac:dyDescent="0.35">
      <c r="A211" s="3">
        <v>2024</v>
      </c>
      <c r="B211" s="3">
        <v>2</v>
      </c>
      <c r="C211" s="3">
        <v>1</v>
      </c>
      <c r="D211" s="2">
        <v>625</v>
      </c>
      <c r="E211" s="3" t="s">
        <v>1064</v>
      </c>
      <c r="F211" s="3">
        <v>1</v>
      </c>
      <c r="G211" s="3" t="s">
        <v>226</v>
      </c>
      <c r="H211" s="3" t="str">
        <f t="shared" si="16"/>
        <v>2017</v>
      </c>
      <c r="I211" s="3">
        <v>7</v>
      </c>
      <c r="J211" s="69"/>
      <c r="K211" t="s">
        <v>64</v>
      </c>
      <c r="L211">
        <v>7</v>
      </c>
      <c r="M211">
        <v>27.7</v>
      </c>
      <c r="N211" s="3">
        <v>317</v>
      </c>
      <c r="O211" s="3" t="str">
        <f t="shared" si="15"/>
        <v>2017</v>
      </c>
      <c r="P211" s="2">
        <v>625</v>
      </c>
    </row>
    <row r="212" spans="1:20" x14ac:dyDescent="0.35">
      <c r="A212" s="3">
        <v>2024</v>
      </c>
      <c r="B212" s="3">
        <v>1</v>
      </c>
      <c r="C212" s="3">
        <v>30</v>
      </c>
      <c r="D212" s="2">
        <v>648</v>
      </c>
      <c r="E212" t="s">
        <v>144</v>
      </c>
      <c r="F212" s="3">
        <v>1</v>
      </c>
      <c r="G212" s="3" t="s">
        <v>225</v>
      </c>
      <c r="H212" s="3" t="str">
        <f t="shared" si="16"/>
        <v>2022</v>
      </c>
      <c r="I212" s="3">
        <v>2</v>
      </c>
      <c r="J212" s="69"/>
      <c r="K212" t="s">
        <v>58</v>
      </c>
      <c r="L212">
        <v>2</v>
      </c>
      <c r="M212">
        <v>27.3</v>
      </c>
      <c r="N212" s="3">
        <v>317</v>
      </c>
      <c r="O212" s="3" t="str">
        <f t="shared" si="15"/>
        <v>2021</v>
      </c>
      <c r="P212" s="2">
        <v>648</v>
      </c>
    </row>
    <row r="213" spans="1:20" x14ac:dyDescent="0.35">
      <c r="A213" s="3">
        <v>2024</v>
      </c>
      <c r="B213" s="3">
        <v>3</v>
      </c>
      <c r="C213" s="3">
        <v>13</v>
      </c>
      <c r="D213" s="2">
        <v>672</v>
      </c>
      <c r="E213" s="3" t="s">
        <v>1094</v>
      </c>
      <c r="F213" s="3">
        <v>2</v>
      </c>
      <c r="G213" s="3" t="s">
        <v>226</v>
      </c>
      <c r="H213" s="3" t="str">
        <f t="shared" si="16"/>
        <v>2017</v>
      </c>
      <c r="I213" s="3">
        <v>7</v>
      </c>
      <c r="J213" s="69"/>
      <c r="K213" t="s">
        <v>783</v>
      </c>
      <c r="L213">
        <v>7</v>
      </c>
      <c r="M213">
        <v>31.3</v>
      </c>
      <c r="N213" s="3">
        <v>317</v>
      </c>
      <c r="O213" s="3" t="str">
        <f t="shared" si="15"/>
        <v>2017</v>
      </c>
      <c r="P213" s="2">
        <v>672</v>
      </c>
    </row>
    <row r="214" spans="1:20" x14ac:dyDescent="0.35">
      <c r="A214" s="3">
        <v>2024</v>
      </c>
      <c r="B214" s="3">
        <v>1</v>
      </c>
      <c r="C214" s="3">
        <v>19</v>
      </c>
      <c r="D214" s="2">
        <v>591</v>
      </c>
      <c r="E214" s="3" t="s">
        <v>1034</v>
      </c>
      <c r="F214" s="3">
        <v>1</v>
      </c>
      <c r="G214" s="3" t="s">
        <v>41</v>
      </c>
      <c r="H214" s="3" t="str">
        <f t="shared" si="16"/>
        <v>2013</v>
      </c>
      <c r="I214" s="3">
        <v>11</v>
      </c>
      <c r="J214" s="69"/>
      <c r="K214" t="s">
        <v>1035</v>
      </c>
      <c r="L214" t="s">
        <v>318</v>
      </c>
      <c r="M214">
        <v>26.3</v>
      </c>
      <c r="N214" s="3">
        <v>318</v>
      </c>
      <c r="O214" s="3" t="str">
        <f t="shared" si="15"/>
        <v>2011</v>
      </c>
      <c r="P214" s="2">
        <v>591</v>
      </c>
    </row>
    <row r="215" spans="1:20" x14ac:dyDescent="0.35">
      <c r="A215" s="3">
        <v>2024</v>
      </c>
      <c r="B215" s="3">
        <v>2</v>
      </c>
      <c r="C215" s="3">
        <v>23</v>
      </c>
      <c r="D215" s="2">
        <v>630</v>
      </c>
      <c r="E215" s="3" t="s">
        <v>1068</v>
      </c>
      <c r="F215" s="3">
        <v>1</v>
      </c>
      <c r="G215" s="3" t="s">
        <v>225</v>
      </c>
      <c r="H215" s="3" t="str">
        <f t="shared" si="16"/>
        <v>2022</v>
      </c>
      <c r="I215" s="3">
        <v>2</v>
      </c>
      <c r="J215" s="69"/>
      <c r="K215" t="s">
        <v>21</v>
      </c>
      <c r="L215" s="3">
        <v>2</v>
      </c>
      <c r="M215">
        <v>30.9</v>
      </c>
      <c r="N215" s="3">
        <v>318</v>
      </c>
      <c r="O215" s="3" t="str">
        <f t="shared" si="15"/>
        <v>2021</v>
      </c>
      <c r="P215" s="2">
        <v>630</v>
      </c>
    </row>
    <row r="216" spans="1:20" x14ac:dyDescent="0.35">
      <c r="A216" s="3">
        <v>2012</v>
      </c>
      <c r="B216" s="3">
        <v>10</v>
      </c>
      <c r="C216" s="3">
        <v>5</v>
      </c>
      <c r="D216" s="2">
        <v>624</v>
      </c>
      <c r="E216" s="3" t="s">
        <v>1063</v>
      </c>
      <c r="F216" s="3">
        <v>4</v>
      </c>
      <c r="G216" s="3" t="s">
        <v>45</v>
      </c>
      <c r="H216" s="3" t="str">
        <f t="shared" si="16"/>
        <v>2009</v>
      </c>
      <c r="I216" s="3">
        <v>3</v>
      </c>
      <c r="J216" s="69"/>
      <c r="K216" t="s">
        <v>1062</v>
      </c>
      <c r="L216" s="3" t="s">
        <v>512</v>
      </c>
      <c r="M216">
        <v>24.9</v>
      </c>
      <c r="N216" s="3">
        <v>319</v>
      </c>
      <c r="O216" s="3" t="str">
        <f t="shared" si="15"/>
        <v>2007</v>
      </c>
      <c r="P216" s="2">
        <v>624</v>
      </c>
      <c r="T216">
        <v>6.94</v>
      </c>
    </row>
    <row r="217" spans="1:20" x14ac:dyDescent="0.35">
      <c r="A217" s="3">
        <v>2023</v>
      </c>
      <c r="B217" s="3">
        <v>10</v>
      </c>
      <c r="C217" s="3">
        <v>31</v>
      </c>
      <c r="D217" s="2">
        <v>544</v>
      </c>
      <c r="E217" s="3" t="s">
        <v>993</v>
      </c>
      <c r="F217" s="3">
        <v>4</v>
      </c>
      <c r="G217" s="3" t="s">
        <v>225</v>
      </c>
      <c r="H217" s="3" t="str">
        <f t="shared" si="16"/>
        <v>2022</v>
      </c>
      <c r="I217" s="3">
        <v>1</v>
      </c>
      <c r="J217" s="69"/>
      <c r="K217" t="s">
        <v>67</v>
      </c>
      <c r="L217" s="3">
        <v>2</v>
      </c>
      <c r="M217" s="3">
        <v>27</v>
      </c>
      <c r="N217" s="3">
        <v>319</v>
      </c>
      <c r="O217" s="3" t="str">
        <f t="shared" si="15"/>
        <v>2021</v>
      </c>
      <c r="P217" s="2">
        <v>544</v>
      </c>
    </row>
    <row r="218" spans="1:20" x14ac:dyDescent="0.35">
      <c r="A218" s="3">
        <v>2016</v>
      </c>
      <c r="B218" s="3">
        <v>9</v>
      </c>
      <c r="C218" s="3">
        <v>1</v>
      </c>
      <c r="D218" s="2">
        <v>237</v>
      </c>
      <c r="E218" s="3" t="s">
        <v>695</v>
      </c>
      <c r="F218" s="3">
        <v>3</v>
      </c>
      <c r="G218" s="3" t="s">
        <v>45</v>
      </c>
      <c r="H218" s="3" t="str">
        <f t="shared" si="16"/>
        <v>2011</v>
      </c>
      <c r="I218" s="3">
        <v>5</v>
      </c>
      <c r="J218" s="69"/>
      <c r="K218" s="3" t="s">
        <v>647</v>
      </c>
      <c r="L218" s="3" t="s">
        <v>317</v>
      </c>
      <c r="M218" s="3">
        <v>26.9</v>
      </c>
      <c r="N218" s="3">
        <v>320</v>
      </c>
      <c r="O218" s="3" t="str">
        <f t="shared" si="15"/>
        <v>2007</v>
      </c>
      <c r="P218" s="2">
        <v>237</v>
      </c>
    </row>
    <row r="219" spans="1:20" x14ac:dyDescent="0.35">
      <c r="A219" s="3">
        <v>2016</v>
      </c>
      <c r="B219" s="3">
        <v>9</v>
      </c>
      <c r="C219" s="3">
        <v>1</v>
      </c>
      <c r="D219" s="2">
        <v>265</v>
      </c>
      <c r="E219" s="3" t="s">
        <v>726</v>
      </c>
      <c r="F219" s="3">
        <v>3</v>
      </c>
      <c r="G219" s="3" t="s">
        <v>45</v>
      </c>
      <c r="H219" s="3" t="str">
        <f t="shared" si="16"/>
        <v>2011</v>
      </c>
      <c r="I219" s="3">
        <v>5</v>
      </c>
      <c r="J219" s="69"/>
      <c r="K219" s="3" t="s">
        <v>718</v>
      </c>
      <c r="L219" s="3" t="s">
        <v>317</v>
      </c>
      <c r="M219" s="3">
        <v>2.6</v>
      </c>
      <c r="N219" s="3">
        <v>320</v>
      </c>
      <c r="O219" s="3" t="str">
        <f t="shared" si="15"/>
        <v>2007</v>
      </c>
      <c r="P219" s="2">
        <v>265</v>
      </c>
    </row>
    <row r="220" spans="1:20" x14ac:dyDescent="0.35">
      <c r="A220" s="3">
        <v>2023</v>
      </c>
      <c r="B220" s="3">
        <v>8</v>
      </c>
      <c r="C220" s="3">
        <v>1</v>
      </c>
      <c r="D220" s="2">
        <v>427</v>
      </c>
      <c r="E220" s="3" t="s">
        <v>888</v>
      </c>
      <c r="F220" s="3">
        <v>3</v>
      </c>
      <c r="G220" s="3" t="s">
        <v>225</v>
      </c>
      <c r="H220" s="3" t="str">
        <f t="shared" si="16"/>
        <v>2022</v>
      </c>
      <c r="I220" s="3">
        <v>1</v>
      </c>
      <c r="J220" s="69"/>
      <c r="K220" s="3" t="s">
        <v>235</v>
      </c>
      <c r="L220" s="3">
        <v>5</v>
      </c>
      <c r="M220" s="3">
        <v>26.9</v>
      </c>
      <c r="N220" s="3">
        <v>320</v>
      </c>
      <c r="O220" s="3" t="str">
        <f t="shared" si="15"/>
        <v>2021</v>
      </c>
      <c r="P220" s="2">
        <v>427</v>
      </c>
    </row>
    <row r="221" spans="1:20" x14ac:dyDescent="0.35">
      <c r="A221" s="3">
        <v>2023</v>
      </c>
      <c r="B221" s="3">
        <v>11</v>
      </c>
      <c r="C221" s="3">
        <v>3</v>
      </c>
      <c r="D221" s="2">
        <v>507</v>
      </c>
      <c r="E221" s="3" t="s">
        <v>961</v>
      </c>
      <c r="F221" s="3">
        <v>4</v>
      </c>
      <c r="G221" s="3" t="s">
        <v>226</v>
      </c>
      <c r="H221" s="3" t="str">
        <f t="shared" si="16"/>
        <v>2017</v>
      </c>
      <c r="I221" s="3">
        <v>6</v>
      </c>
      <c r="J221" s="69"/>
      <c r="K221" s="3" t="s">
        <v>783</v>
      </c>
      <c r="L221" s="3">
        <v>7</v>
      </c>
      <c r="M221" s="3">
        <v>28.3</v>
      </c>
      <c r="N221" s="3">
        <v>320</v>
      </c>
      <c r="O221" s="3" t="str">
        <f t="shared" si="15"/>
        <v>2017</v>
      </c>
      <c r="P221" s="2">
        <v>507</v>
      </c>
    </row>
    <row r="222" spans="1:20" x14ac:dyDescent="0.35">
      <c r="A222" s="3">
        <v>2024</v>
      </c>
      <c r="B222" s="3">
        <v>8</v>
      </c>
      <c r="C222" s="3">
        <v>19</v>
      </c>
      <c r="D222" s="2">
        <v>747</v>
      </c>
      <c r="E222" s="3" t="s">
        <v>259</v>
      </c>
      <c r="F222" s="3">
        <v>3</v>
      </c>
      <c r="G222" s="3" t="s">
        <v>225</v>
      </c>
      <c r="H222" s="3" t="str">
        <f t="shared" si="16"/>
        <v>2021</v>
      </c>
      <c r="I222" s="3">
        <v>3</v>
      </c>
      <c r="J222" s="69"/>
      <c r="K222">
        <v>3</v>
      </c>
      <c r="L222">
        <v>3</v>
      </c>
      <c r="M222">
        <v>43</v>
      </c>
      <c r="N222" s="3">
        <v>320</v>
      </c>
      <c r="O222" s="3" t="str">
        <f t="shared" si="15"/>
        <v>2021</v>
      </c>
      <c r="P222" s="2">
        <v>747</v>
      </c>
    </row>
    <row r="223" spans="1:20" x14ac:dyDescent="0.35">
      <c r="A223" s="3">
        <v>2024</v>
      </c>
      <c r="B223" s="3">
        <v>2</v>
      </c>
      <c r="C223" s="3">
        <v>1</v>
      </c>
      <c r="D223" s="2">
        <v>626</v>
      </c>
      <c r="E223" s="3" t="s">
        <v>1065</v>
      </c>
      <c r="F223" s="3">
        <v>1</v>
      </c>
      <c r="G223" s="3" t="s">
        <v>226</v>
      </c>
      <c r="H223" s="3" t="str">
        <f t="shared" si="16"/>
        <v>2017</v>
      </c>
      <c r="I223" s="3">
        <v>7</v>
      </c>
      <c r="J223" s="69"/>
      <c r="K223" t="s">
        <v>64</v>
      </c>
      <c r="L223">
        <v>7</v>
      </c>
      <c r="M223">
        <v>26</v>
      </c>
      <c r="N223" s="3">
        <v>321</v>
      </c>
      <c r="O223" s="3" t="str">
        <f t="shared" si="15"/>
        <v>2017</v>
      </c>
      <c r="P223" s="2">
        <v>626</v>
      </c>
    </row>
    <row r="224" spans="1:20" x14ac:dyDescent="0.35">
      <c r="A224" s="3">
        <v>2016</v>
      </c>
      <c r="B224" s="3">
        <v>9</v>
      </c>
      <c r="C224" s="3">
        <v>1</v>
      </c>
      <c r="D224" s="2">
        <v>259</v>
      </c>
      <c r="E224" s="3" t="s">
        <v>720</v>
      </c>
      <c r="F224" s="3">
        <v>3</v>
      </c>
      <c r="G224" s="3" t="s">
        <v>45</v>
      </c>
      <c r="H224" s="3" t="str">
        <f t="shared" si="16"/>
        <v>2011</v>
      </c>
      <c r="I224" s="3">
        <v>5</v>
      </c>
      <c r="J224" s="69"/>
      <c r="K224" s="3" t="s">
        <v>718</v>
      </c>
      <c r="L224" s="3" t="s">
        <v>317</v>
      </c>
      <c r="M224" s="3">
        <v>24.4</v>
      </c>
      <c r="N224" s="3">
        <v>322</v>
      </c>
      <c r="O224" s="3" t="str">
        <f t="shared" si="15"/>
        <v>2007</v>
      </c>
      <c r="P224" s="2">
        <v>259</v>
      </c>
    </row>
    <row r="225" spans="1:20" x14ac:dyDescent="0.35">
      <c r="A225" s="3">
        <v>2024</v>
      </c>
      <c r="B225" s="3">
        <v>6</v>
      </c>
      <c r="C225" s="3">
        <v>19</v>
      </c>
      <c r="D225" s="2">
        <v>803</v>
      </c>
      <c r="E225" s="3" t="s">
        <v>292</v>
      </c>
      <c r="F225" s="3">
        <v>3</v>
      </c>
      <c r="G225" s="3" t="s">
        <v>225</v>
      </c>
      <c r="H225" s="3" t="str">
        <f t="shared" si="16"/>
        <v>2021</v>
      </c>
      <c r="I225" s="3">
        <v>3</v>
      </c>
      <c r="J225" s="69"/>
      <c r="K225" t="s">
        <v>1162</v>
      </c>
      <c r="L225">
        <v>3</v>
      </c>
      <c r="M225">
        <v>30.9</v>
      </c>
      <c r="N225" s="3">
        <v>322</v>
      </c>
      <c r="O225" s="3" t="str">
        <f t="shared" si="15"/>
        <v>2021</v>
      </c>
      <c r="P225" s="2">
        <v>803</v>
      </c>
    </row>
    <row r="226" spans="1:20" x14ac:dyDescent="0.35">
      <c r="A226" s="3">
        <v>2023</v>
      </c>
      <c r="B226" s="3">
        <v>2</v>
      </c>
      <c r="C226" s="3">
        <v>10</v>
      </c>
      <c r="D226" s="2">
        <v>142</v>
      </c>
      <c r="E226" s="14" t="s">
        <v>588</v>
      </c>
      <c r="F226" s="15">
        <v>1</v>
      </c>
      <c r="G226" s="3" t="s">
        <v>41</v>
      </c>
      <c r="H226" s="3" t="str">
        <f t="shared" si="16"/>
        <v>2013</v>
      </c>
      <c r="I226" s="3">
        <v>10</v>
      </c>
      <c r="J226" s="69"/>
      <c r="K226" s="3" t="s">
        <v>91</v>
      </c>
      <c r="L226" s="3" t="s">
        <v>318</v>
      </c>
      <c r="M226" s="3">
        <v>20.399999999999999</v>
      </c>
      <c r="N226" s="3">
        <v>323</v>
      </c>
      <c r="O226" s="3" t="str">
        <f t="shared" si="15"/>
        <v>2011</v>
      </c>
      <c r="P226" s="2">
        <v>142</v>
      </c>
    </row>
    <row r="227" spans="1:20" x14ac:dyDescent="0.35">
      <c r="A227" s="3">
        <v>2016</v>
      </c>
      <c r="B227" s="3">
        <v>9</v>
      </c>
      <c r="C227" s="3">
        <v>2</v>
      </c>
      <c r="D227" s="2">
        <v>217</v>
      </c>
      <c r="E227" s="3" t="s">
        <v>675</v>
      </c>
      <c r="F227" s="3">
        <v>3</v>
      </c>
      <c r="G227" s="3" t="s">
        <v>41</v>
      </c>
      <c r="H227" s="3" t="str">
        <f t="shared" si="16"/>
        <v>2013</v>
      </c>
      <c r="I227" s="3">
        <v>3</v>
      </c>
      <c r="J227" s="69"/>
      <c r="K227" s="3" t="s">
        <v>49</v>
      </c>
      <c r="L227" s="3" t="s">
        <v>318</v>
      </c>
      <c r="M227" s="3">
        <v>28.1</v>
      </c>
      <c r="N227" s="3">
        <v>323</v>
      </c>
      <c r="O227" s="3" t="str">
        <f t="shared" si="15"/>
        <v>2011</v>
      </c>
      <c r="P227" s="2">
        <v>217</v>
      </c>
    </row>
    <row r="228" spans="1:20" x14ac:dyDescent="0.35">
      <c r="A228" s="3">
        <v>2024</v>
      </c>
      <c r="B228" s="3">
        <v>1</v>
      </c>
      <c r="C228" s="3">
        <v>16</v>
      </c>
      <c r="D228" s="2">
        <v>571</v>
      </c>
      <c r="E228" s="3" t="s">
        <v>1015</v>
      </c>
      <c r="F228" s="3">
        <v>1</v>
      </c>
      <c r="G228" s="3" t="s">
        <v>45</v>
      </c>
      <c r="H228" s="3" t="str">
        <f t="shared" si="16"/>
        <v>2011</v>
      </c>
      <c r="I228" s="3">
        <v>13</v>
      </c>
      <c r="J228" s="69"/>
      <c r="K228" t="s">
        <v>615</v>
      </c>
      <c r="L228" s="3" t="s">
        <v>317</v>
      </c>
      <c r="M228">
        <v>33.700000000000003</v>
      </c>
      <c r="N228" s="3">
        <v>323</v>
      </c>
      <c r="O228" s="3" t="str">
        <f t="shared" si="15"/>
        <v>2007</v>
      </c>
      <c r="P228" s="2">
        <v>571</v>
      </c>
    </row>
    <row r="229" spans="1:20" x14ac:dyDescent="0.35">
      <c r="A229" s="3">
        <v>2021</v>
      </c>
      <c r="B229" s="3" t="s">
        <v>28</v>
      </c>
      <c r="C229" s="3" t="s">
        <v>28</v>
      </c>
      <c r="D229" s="2">
        <v>14</v>
      </c>
      <c r="E229" s="3" t="s">
        <v>456</v>
      </c>
      <c r="F229" s="3" t="s">
        <v>28</v>
      </c>
      <c r="G229" s="3" t="s">
        <v>45</v>
      </c>
      <c r="H229" s="3" t="str">
        <f t="shared" si="16"/>
        <v>2011</v>
      </c>
      <c r="I229" s="3">
        <v>10</v>
      </c>
      <c r="J229" s="69"/>
      <c r="K229" s="3" t="s">
        <v>317</v>
      </c>
      <c r="L229" s="3" t="s">
        <v>317</v>
      </c>
      <c r="M229" s="3">
        <v>26.6</v>
      </c>
      <c r="N229" s="3">
        <v>324</v>
      </c>
      <c r="O229" s="3" t="str">
        <f t="shared" si="15"/>
        <v>2007</v>
      </c>
      <c r="P229" s="2">
        <v>14</v>
      </c>
    </row>
    <row r="230" spans="1:20" x14ac:dyDescent="0.35">
      <c r="A230" s="3">
        <v>2021</v>
      </c>
      <c r="B230" s="3">
        <v>10</v>
      </c>
      <c r="C230" s="3">
        <v>11</v>
      </c>
      <c r="D230" s="2">
        <v>471</v>
      </c>
      <c r="E230" s="3" t="s">
        <v>926</v>
      </c>
      <c r="F230" s="3">
        <v>4</v>
      </c>
      <c r="G230" s="3" t="s">
        <v>226</v>
      </c>
      <c r="H230" s="3" t="str">
        <f t="shared" si="16"/>
        <v>2018</v>
      </c>
      <c r="I230" s="3">
        <v>3</v>
      </c>
      <c r="J230" s="69"/>
      <c r="K230" s="3" t="s">
        <v>51</v>
      </c>
      <c r="L230" s="3" t="s">
        <v>927</v>
      </c>
      <c r="M230" s="16">
        <v>25</v>
      </c>
      <c r="N230" s="3">
        <v>324</v>
      </c>
      <c r="O230" s="3" t="str">
        <f t="shared" si="15"/>
        <v>2017</v>
      </c>
      <c r="P230" s="2">
        <v>471</v>
      </c>
    </row>
    <row r="231" spans="1:20" x14ac:dyDescent="0.35">
      <c r="A231" s="3">
        <v>2023</v>
      </c>
      <c r="B231" s="3">
        <v>11</v>
      </c>
      <c r="C231" s="3">
        <v>17</v>
      </c>
      <c r="D231" s="2">
        <v>513</v>
      </c>
      <c r="E231" s="3" t="s">
        <v>966</v>
      </c>
      <c r="F231" s="3">
        <v>4</v>
      </c>
      <c r="G231" s="3" t="s">
        <v>225</v>
      </c>
      <c r="H231" s="3" t="str">
        <f t="shared" si="16"/>
        <v>2022</v>
      </c>
      <c r="I231" s="3">
        <v>1</v>
      </c>
      <c r="J231" s="69"/>
      <c r="K231" s="3" t="s">
        <v>896</v>
      </c>
      <c r="L231" s="3">
        <v>5</v>
      </c>
      <c r="M231" s="3">
        <v>37.1</v>
      </c>
      <c r="N231" s="3">
        <v>324</v>
      </c>
      <c r="O231" s="3" t="str">
        <f t="shared" si="15"/>
        <v>2021</v>
      </c>
      <c r="P231" s="2">
        <v>513</v>
      </c>
    </row>
    <row r="232" spans="1:20" x14ac:dyDescent="0.35">
      <c r="A232" s="3">
        <v>2024</v>
      </c>
      <c r="B232" s="3">
        <v>4</v>
      </c>
      <c r="C232" s="3">
        <v>8</v>
      </c>
      <c r="D232" s="2">
        <v>657</v>
      </c>
      <c r="E232" s="3" t="s">
        <v>1082</v>
      </c>
      <c r="F232" s="3">
        <v>2</v>
      </c>
      <c r="G232" s="3" t="s">
        <v>225</v>
      </c>
      <c r="H232" s="3" t="str">
        <f t="shared" si="16"/>
        <v>2021</v>
      </c>
      <c r="I232" s="3">
        <v>3</v>
      </c>
      <c r="J232" s="69"/>
      <c r="K232" t="s">
        <v>1076</v>
      </c>
      <c r="L232" s="3">
        <v>3</v>
      </c>
      <c r="M232">
        <v>18.899999999999999</v>
      </c>
      <c r="N232" s="3">
        <v>324</v>
      </c>
      <c r="O232" s="3" t="str">
        <f t="shared" si="15"/>
        <v>2021</v>
      </c>
      <c r="P232" s="2">
        <v>657</v>
      </c>
    </row>
    <row r="233" spans="1:20" x14ac:dyDescent="0.35">
      <c r="A233" s="3">
        <v>2019</v>
      </c>
      <c r="B233" s="3">
        <v>11</v>
      </c>
      <c r="C233" s="3">
        <v>27</v>
      </c>
      <c r="D233" s="2">
        <v>51</v>
      </c>
      <c r="E233" s="3" t="s">
        <v>494</v>
      </c>
      <c r="F233" s="3">
        <v>4</v>
      </c>
      <c r="G233" s="3" t="s">
        <v>45</v>
      </c>
      <c r="H233" s="3" t="str">
        <f t="shared" si="16"/>
        <v>2009</v>
      </c>
      <c r="I233" s="3">
        <v>10</v>
      </c>
      <c r="J233" s="69"/>
      <c r="K233" s="3" t="s">
        <v>488</v>
      </c>
      <c r="L233" s="3" t="s">
        <v>488</v>
      </c>
      <c r="M233" s="3">
        <v>25.7</v>
      </c>
      <c r="N233" s="3">
        <v>325</v>
      </c>
      <c r="O233" s="3" t="str">
        <f t="shared" si="15"/>
        <v>2007</v>
      </c>
      <c r="P233" s="2">
        <v>51</v>
      </c>
      <c r="T233">
        <v>7.63</v>
      </c>
    </row>
    <row r="234" spans="1:20" x14ac:dyDescent="0.35">
      <c r="A234" s="3">
        <v>2024</v>
      </c>
      <c r="B234" s="3">
        <v>3</v>
      </c>
      <c r="C234" s="3">
        <v>28</v>
      </c>
      <c r="D234" s="2">
        <v>661</v>
      </c>
      <c r="E234" s="3" t="s">
        <v>151</v>
      </c>
      <c r="F234" s="3">
        <v>2</v>
      </c>
      <c r="G234" s="3" t="s">
        <v>41</v>
      </c>
      <c r="H234" s="3" t="str">
        <f t="shared" si="16"/>
        <v>2013</v>
      </c>
      <c r="I234" s="3">
        <v>11</v>
      </c>
      <c r="J234" s="69"/>
      <c r="K234" t="s">
        <v>42</v>
      </c>
      <c r="L234" t="s">
        <v>318</v>
      </c>
      <c r="M234">
        <v>29.8</v>
      </c>
      <c r="N234" s="3">
        <v>325</v>
      </c>
      <c r="O234" s="3" t="str">
        <f t="shared" si="15"/>
        <v>2011</v>
      </c>
      <c r="P234" s="2">
        <v>661</v>
      </c>
    </row>
    <row r="235" spans="1:20" x14ac:dyDescent="0.35">
      <c r="A235" s="3">
        <v>2024</v>
      </c>
      <c r="B235" s="3">
        <v>8</v>
      </c>
      <c r="C235" s="3">
        <v>19</v>
      </c>
      <c r="D235" s="2">
        <v>756</v>
      </c>
      <c r="E235" s="3" t="s">
        <v>267</v>
      </c>
      <c r="F235" s="3">
        <v>3</v>
      </c>
      <c r="G235" s="3" t="s">
        <v>225</v>
      </c>
      <c r="H235" s="3" t="str">
        <f t="shared" si="16"/>
        <v>2021</v>
      </c>
      <c r="I235" s="3">
        <v>3</v>
      </c>
      <c r="J235" s="69"/>
      <c r="K235">
        <v>3</v>
      </c>
      <c r="L235">
        <v>3</v>
      </c>
      <c r="M235">
        <v>37.4</v>
      </c>
      <c r="N235" s="3">
        <v>325</v>
      </c>
      <c r="O235" s="3" t="str">
        <f t="shared" si="15"/>
        <v>2021</v>
      </c>
      <c r="P235" s="2">
        <v>756</v>
      </c>
    </row>
    <row r="236" spans="1:20" x14ac:dyDescent="0.35">
      <c r="A236" s="3">
        <v>2024</v>
      </c>
      <c r="B236">
        <v>8</v>
      </c>
      <c r="C236">
        <v>20</v>
      </c>
      <c r="D236" s="2">
        <v>833</v>
      </c>
      <c r="E236" s="3" t="s">
        <v>1184</v>
      </c>
      <c r="F236" s="3">
        <v>3</v>
      </c>
      <c r="G236" s="3" t="s">
        <v>226</v>
      </c>
      <c r="H236" s="3" t="str">
        <f t="shared" si="16"/>
        <v>2017</v>
      </c>
      <c r="I236" s="3">
        <v>7</v>
      </c>
      <c r="J236" s="69"/>
      <c r="K236" t="s">
        <v>64</v>
      </c>
      <c r="L236">
        <v>7</v>
      </c>
      <c r="M236">
        <v>28.8</v>
      </c>
      <c r="N236" s="3">
        <v>325</v>
      </c>
      <c r="O236" s="3" t="str">
        <f t="shared" si="15"/>
        <v>2017</v>
      </c>
      <c r="P236" s="2">
        <v>833</v>
      </c>
    </row>
    <row r="237" spans="1:20" x14ac:dyDescent="0.35">
      <c r="A237" s="3">
        <v>2024</v>
      </c>
      <c r="B237" s="3">
        <v>2</v>
      </c>
      <c r="C237" s="3">
        <v>23</v>
      </c>
      <c r="D237" s="2">
        <v>633</v>
      </c>
      <c r="E237" s="3" t="s">
        <v>1069</v>
      </c>
      <c r="F237" s="3">
        <v>1</v>
      </c>
      <c r="G237" s="3" t="s">
        <v>225</v>
      </c>
      <c r="H237" s="3" t="str">
        <f t="shared" si="16"/>
        <v>2022</v>
      </c>
      <c r="I237" s="3">
        <v>2</v>
      </c>
      <c r="J237" s="69"/>
      <c r="K237" t="s">
        <v>21</v>
      </c>
      <c r="L237" s="3">
        <v>2</v>
      </c>
      <c r="M237">
        <v>13.4</v>
      </c>
      <c r="N237" s="3">
        <v>326</v>
      </c>
      <c r="O237" s="3" t="str">
        <f t="shared" si="15"/>
        <v>2021</v>
      </c>
      <c r="P237" s="2">
        <v>633</v>
      </c>
    </row>
    <row r="238" spans="1:20" x14ac:dyDescent="0.35">
      <c r="A238" s="3">
        <v>2022</v>
      </c>
      <c r="B238" s="3">
        <v>11</v>
      </c>
      <c r="C238" s="3">
        <v>4</v>
      </c>
      <c r="D238" s="2">
        <v>105</v>
      </c>
      <c r="E238" s="14" t="s">
        <v>553</v>
      </c>
      <c r="F238" s="15">
        <v>4</v>
      </c>
      <c r="G238" s="3" t="s">
        <v>45</v>
      </c>
      <c r="H238" s="3" t="str">
        <f t="shared" si="16"/>
        <v>2011</v>
      </c>
      <c r="I238" s="3">
        <v>11</v>
      </c>
      <c r="J238" s="69"/>
      <c r="K238" s="3" t="s">
        <v>317</v>
      </c>
      <c r="L238" s="3" t="s">
        <v>317</v>
      </c>
      <c r="M238" s="3">
        <v>27.8</v>
      </c>
      <c r="N238" s="3">
        <v>327</v>
      </c>
      <c r="O238" s="3" t="str">
        <f t="shared" si="15"/>
        <v>2007</v>
      </c>
      <c r="P238" s="2">
        <v>105</v>
      </c>
    </row>
    <row r="239" spans="1:20" x14ac:dyDescent="0.35">
      <c r="A239" s="3">
        <v>2017</v>
      </c>
      <c r="B239" s="3">
        <v>8</v>
      </c>
      <c r="C239" s="3">
        <v>14</v>
      </c>
      <c r="D239" s="2">
        <v>131</v>
      </c>
      <c r="E239" s="14" t="s">
        <v>576</v>
      </c>
      <c r="F239" s="15">
        <v>3</v>
      </c>
      <c r="G239" s="3" t="s">
        <v>45</v>
      </c>
      <c r="H239" s="3" t="str">
        <f t="shared" si="16"/>
        <v>2011</v>
      </c>
      <c r="I239" s="3">
        <v>6</v>
      </c>
      <c r="J239" s="69"/>
      <c r="K239" s="3" t="s">
        <v>317</v>
      </c>
      <c r="L239" s="3" t="s">
        <v>317</v>
      </c>
      <c r="M239" s="3">
        <v>28.7</v>
      </c>
      <c r="N239" s="3">
        <v>327</v>
      </c>
      <c r="O239" s="3" t="str">
        <f t="shared" si="15"/>
        <v>2007</v>
      </c>
      <c r="P239" s="2">
        <v>131</v>
      </c>
    </row>
    <row r="240" spans="1:20" x14ac:dyDescent="0.35">
      <c r="A240" s="3">
        <v>2023</v>
      </c>
      <c r="B240" s="3">
        <v>7</v>
      </c>
      <c r="C240" s="3">
        <v>28</v>
      </c>
      <c r="D240" s="2">
        <v>436</v>
      </c>
      <c r="E240" s="3" t="s">
        <v>897</v>
      </c>
      <c r="F240" s="3">
        <v>3</v>
      </c>
      <c r="G240" s="3" t="s">
        <v>225</v>
      </c>
      <c r="H240" s="3" t="str">
        <f t="shared" si="16"/>
        <v>2021</v>
      </c>
      <c r="I240" s="3">
        <v>2</v>
      </c>
      <c r="J240" s="69"/>
      <c r="K240" s="3" t="s">
        <v>898</v>
      </c>
      <c r="L240" s="3">
        <v>4</v>
      </c>
      <c r="M240" s="3">
        <v>21.7</v>
      </c>
      <c r="N240" s="3">
        <v>327</v>
      </c>
      <c r="O240" s="3" t="str">
        <f t="shared" si="15"/>
        <v>2021</v>
      </c>
      <c r="P240" s="2">
        <v>436</v>
      </c>
    </row>
    <row r="241" spans="1:20" x14ac:dyDescent="0.35">
      <c r="A241" s="3">
        <v>2024</v>
      </c>
      <c r="B241" s="3">
        <v>4</v>
      </c>
      <c r="C241" s="3">
        <v>8</v>
      </c>
      <c r="D241" s="2">
        <v>658</v>
      </c>
      <c r="E241" s="3" t="s">
        <v>1083</v>
      </c>
      <c r="F241" s="3">
        <v>2</v>
      </c>
      <c r="G241" s="3" t="s">
        <v>225</v>
      </c>
      <c r="H241" s="3" t="str">
        <f t="shared" si="16"/>
        <v>2021</v>
      </c>
      <c r="I241" s="3">
        <v>3</v>
      </c>
      <c r="J241" s="69"/>
      <c r="K241" t="s">
        <v>1076</v>
      </c>
      <c r="L241" s="3">
        <v>3</v>
      </c>
      <c r="M241">
        <v>34.299999999999997</v>
      </c>
      <c r="N241" s="3">
        <v>328</v>
      </c>
      <c r="O241" s="3" t="str">
        <f t="shared" si="15"/>
        <v>2021</v>
      </c>
      <c r="P241" s="2">
        <v>658</v>
      </c>
    </row>
    <row r="242" spans="1:20" x14ac:dyDescent="0.35">
      <c r="A242" s="3">
        <v>2024</v>
      </c>
      <c r="B242" s="3">
        <v>3</v>
      </c>
      <c r="C242" s="3">
        <v>29</v>
      </c>
      <c r="D242" s="2">
        <v>664</v>
      </c>
      <c r="E242" s="3" t="s">
        <v>1085</v>
      </c>
      <c r="F242" s="3">
        <v>2</v>
      </c>
      <c r="G242" s="3" t="s">
        <v>41</v>
      </c>
      <c r="H242" s="3" t="str">
        <f t="shared" si="16"/>
        <v>2012</v>
      </c>
      <c r="I242" s="3">
        <v>12</v>
      </c>
      <c r="J242" s="69"/>
      <c r="K242" t="s">
        <v>551</v>
      </c>
      <c r="L242" t="s">
        <v>461</v>
      </c>
      <c r="M242">
        <v>42.7</v>
      </c>
      <c r="N242" s="3">
        <v>328</v>
      </c>
      <c r="O242" s="3" t="str">
        <f t="shared" si="15"/>
        <v>2011</v>
      </c>
      <c r="P242" s="2">
        <v>664</v>
      </c>
    </row>
    <row r="243" spans="1:20" x14ac:dyDescent="0.35">
      <c r="A243" s="3">
        <v>2024</v>
      </c>
      <c r="B243">
        <v>8</v>
      </c>
      <c r="C243" s="3">
        <v>15</v>
      </c>
      <c r="D243" s="2">
        <v>832</v>
      </c>
      <c r="E243" s="3" t="s">
        <v>1183</v>
      </c>
      <c r="F243" s="3">
        <v>3</v>
      </c>
      <c r="G243" s="3" t="s">
        <v>225</v>
      </c>
      <c r="H243" s="3" t="str">
        <f t="shared" si="16"/>
        <v>2021</v>
      </c>
      <c r="I243" s="3">
        <v>3</v>
      </c>
      <c r="J243" s="69"/>
      <c r="K243" t="s">
        <v>237</v>
      </c>
      <c r="L243">
        <v>3</v>
      </c>
      <c r="M243">
        <v>27</v>
      </c>
      <c r="N243" s="3">
        <v>328</v>
      </c>
      <c r="O243" s="3" t="str">
        <f t="shared" si="15"/>
        <v>2021</v>
      </c>
      <c r="P243" s="2">
        <v>832</v>
      </c>
    </row>
    <row r="244" spans="1:20" x14ac:dyDescent="0.35">
      <c r="A244" s="3">
        <v>2024</v>
      </c>
      <c r="B244" s="3">
        <v>2</v>
      </c>
      <c r="C244" s="3">
        <v>23</v>
      </c>
      <c r="D244" s="2">
        <v>632</v>
      </c>
      <c r="E244" s="3" t="s">
        <v>139</v>
      </c>
      <c r="F244" s="3">
        <v>1</v>
      </c>
      <c r="G244" s="3" t="s">
        <v>225</v>
      </c>
      <c r="H244" s="3" t="str">
        <f t="shared" si="16"/>
        <v>2022</v>
      </c>
      <c r="I244" s="3">
        <v>2</v>
      </c>
      <c r="J244" s="69"/>
      <c r="K244" t="s">
        <v>21</v>
      </c>
      <c r="L244" s="3">
        <v>2</v>
      </c>
      <c r="M244">
        <v>35.1</v>
      </c>
      <c r="N244" s="3">
        <v>329</v>
      </c>
      <c r="O244" s="3" t="str">
        <f t="shared" si="15"/>
        <v>2021</v>
      </c>
      <c r="P244" s="2">
        <v>632</v>
      </c>
    </row>
    <row r="245" spans="1:20" x14ac:dyDescent="0.35">
      <c r="A245" s="3">
        <v>2016</v>
      </c>
      <c r="B245" s="3">
        <v>11</v>
      </c>
      <c r="C245" s="3">
        <v>16</v>
      </c>
      <c r="D245" s="2">
        <v>202</v>
      </c>
      <c r="E245" s="3" t="s">
        <v>655</v>
      </c>
      <c r="F245" s="3">
        <v>4</v>
      </c>
      <c r="G245" s="3" t="s">
        <v>41</v>
      </c>
      <c r="H245" s="3" t="str">
        <f t="shared" si="16"/>
        <v>2013</v>
      </c>
      <c r="I245" s="3">
        <v>3</v>
      </c>
      <c r="J245" s="69"/>
      <c r="K245" s="3" t="s">
        <v>42</v>
      </c>
      <c r="L245" s="3" t="s">
        <v>318</v>
      </c>
      <c r="M245" s="3">
        <v>29.7</v>
      </c>
      <c r="N245" s="3">
        <v>330</v>
      </c>
      <c r="O245" s="3" t="str">
        <f t="shared" si="15"/>
        <v>2011</v>
      </c>
      <c r="P245" s="2">
        <v>202</v>
      </c>
    </row>
    <row r="246" spans="1:20" x14ac:dyDescent="0.35">
      <c r="A246" s="3">
        <v>2016</v>
      </c>
      <c r="B246" s="3">
        <v>11</v>
      </c>
      <c r="C246" s="3">
        <v>7</v>
      </c>
      <c r="D246" s="2">
        <v>211</v>
      </c>
      <c r="E246" s="3" t="s">
        <v>666</v>
      </c>
      <c r="F246" s="3">
        <v>4</v>
      </c>
      <c r="G246" s="3" t="s">
        <v>45</v>
      </c>
      <c r="H246" s="3" t="str">
        <f t="shared" si="16"/>
        <v>2009</v>
      </c>
      <c r="I246" s="3">
        <v>7</v>
      </c>
      <c r="J246" s="69"/>
      <c r="K246" s="3" t="s">
        <v>667</v>
      </c>
      <c r="L246" s="3" t="s">
        <v>512</v>
      </c>
      <c r="M246" s="3">
        <v>3.1</v>
      </c>
      <c r="N246" s="3">
        <v>330</v>
      </c>
      <c r="O246" s="3" t="str">
        <f t="shared" si="15"/>
        <v>2007</v>
      </c>
      <c r="P246" s="2">
        <v>211</v>
      </c>
    </row>
    <row r="247" spans="1:20" x14ac:dyDescent="0.35">
      <c r="A247" s="3">
        <v>2024</v>
      </c>
      <c r="B247" s="3">
        <v>1</v>
      </c>
      <c r="C247" s="3">
        <v>19</v>
      </c>
      <c r="D247" s="2">
        <v>597</v>
      </c>
      <c r="E247" s="3" t="s">
        <v>1041</v>
      </c>
      <c r="F247" s="3">
        <v>1</v>
      </c>
      <c r="G247" s="3" t="s">
        <v>41</v>
      </c>
      <c r="H247" s="3" t="str">
        <f t="shared" si="16"/>
        <v>2012</v>
      </c>
      <c r="I247" s="3">
        <v>12</v>
      </c>
      <c r="J247" s="69"/>
      <c r="K247" t="s">
        <v>541</v>
      </c>
      <c r="L247" s="3" t="s">
        <v>461</v>
      </c>
      <c r="M247">
        <v>32.9</v>
      </c>
      <c r="N247" s="3">
        <v>330</v>
      </c>
      <c r="O247" s="3" t="str">
        <f t="shared" si="15"/>
        <v>2011</v>
      </c>
      <c r="P247" s="2">
        <v>597</v>
      </c>
    </row>
    <row r="248" spans="1:20" x14ac:dyDescent="0.35">
      <c r="A248" s="3">
        <v>2023</v>
      </c>
      <c r="B248" s="3">
        <v>8</v>
      </c>
      <c r="C248" s="3">
        <v>2</v>
      </c>
      <c r="D248" s="2">
        <v>422</v>
      </c>
      <c r="E248" s="3" t="s">
        <v>883</v>
      </c>
      <c r="F248" s="3">
        <v>3</v>
      </c>
      <c r="G248" s="3" t="s">
        <v>226</v>
      </c>
      <c r="H248" s="3" t="str">
        <f t="shared" si="16"/>
        <v>2017</v>
      </c>
      <c r="I248" s="3">
        <v>6</v>
      </c>
      <c r="J248" s="69"/>
      <c r="K248" s="3" t="s">
        <v>64</v>
      </c>
      <c r="L248" s="3">
        <v>7</v>
      </c>
      <c r="M248" s="3">
        <v>32.9</v>
      </c>
      <c r="N248" s="3">
        <v>330.20000000000005</v>
      </c>
      <c r="O248" s="3" t="str">
        <f t="shared" si="15"/>
        <v>2017</v>
      </c>
      <c r="P248" s="2">
        <v>422</v>
      </c>
    </row>
    <row r="249" spans="1:20" x14ac:dyDescent="0.35">
      <c r="A249" s="3">
        <v>2024</v>
      </c>
      <c r="B249" s="3">
        <v>1</v>
      </c>
      <c r="C249" s="3">
        <v>30</v>
      </c>
      <c r="D249" s="2">
        <v>627</v>
      </c>
      <c r="E249" s="3" t="s">
        <v>1066</v>
      </c>
      <c r="F249" s="3">
        <v>1</v>
      </c>
      <c r="G249" s="3" t="s">
        <v>225</v>
      </c>
      <c r="H249" s="3" t="str">
        <f t="shared" si="16"/>
        <v>2022</v>
      </c>
      <c r="I249" s="3">
        <v>2</v>
      </c>
      <c r="J249" s="69"/>
      <c r="K249" t="s">
        <v>67</v>
      </c>
      <c r="L249">
        <v>2</v>
      </c>
      <c r="M249">
        <v>29.8</v>
      </c>
      <c r="N249" s="3">
        <v>332</v>
      </c>
      <c r="O249" s="3" t="str">
        <f t="shared" si="15"/>
        <v>2021</v>
      </c>
      <c r="P249" s="2">
        <v>627</v>
      </c>
    </row>
    <row r="250" spans="1:20" x14ac:dyDescent="0.35">
      <c r="A250" s="3">
        <v>2024</v>
      </c>
      <c r="B250" s="3">
        <v>1</v>
      </c>
      <c r="C250" s="3">
        <v>24</v>
      </c>
      <c r="D250" s="2">
        <v>573</v>
      </c>
      <c r="E250" s="3" t="s">
        <v>129</v>
      </c>
      <c r="F250" s="3">
        <v>1</v>
      </c>
      <c r="G250" s="3" t="s">
        <v>20</v>
      </c>
      <c r="H250" s="3" t="str">
        <f t="shared" si="16"/>
        <v>2019</v>
      </c>
      <c r="I250" s="3">
        <v>5</v>
      </c>
      <c r="J250" s="69"/>
      <c r="K250" t="s">
        <v>232</v>
      </c>
      <c r="L250">
        <v>23</v>
      </c>
      <c r="M250">
        <v>33.4</v>
      </c>
      <c r="N250" s="3">
        <v>333</v>
      </c>
      <c r="O250" s="3" t="str">
        <f t="shared" si="15"/>
        <v>2018</v>
      </c>
      <c r="P250" s="2">
        <v>573</v>
      </c>
    </row>
    <row r="251" spans="1:20" x14ac:dyDescent="0.35">
      <c r="A251" s="3">
        <v>2024</v>
      </c>
      <c r="B251" s="3">
        <v>1</v>
      </c>
      <c r="C251" s="3">
        <v>16</v>
      </c>
      <c r="D251" s="2">
        <v>594</v>
      </c>
      <c r="E251" s="3" t="s">
        <v>1038</v>
      </c>
      <c r="F251" s="3">
        <v>1</v>
      </c>
      <c r="G251" s="3" t="s">
        <v>45</v>
      </c>
      <c r="H251" s="3" t="str">
        <f t="shared" si="16"/>
        <v>2011</v>
      </c>
      <c r="I251" s="3">
        <v>13</v>
      </c>
      <c r="J251" s="69"/>
      <c r="K251" t="s">
        <v>990</v>
      </c>
      <c r="L251" s="3" t="s">
        <v>317</v>
      </c>
      <c r="M251">
        <v>30.6</v>
      </c>
      <c r="N251" s="3">
        <v>334</v>
      </c>
      <c r="O251" s="3" t="str">
        <f t="shared" si="15"/>
        <v>2007</v>
      </c>
      <c r="P251" s="2">
        <v>594</v>
      </c>
      <c r="T251">
        <v>7.89</v>
      </c>
    </row>
    <row r="252" spans="1:20" x14ac:dyDescent="0.35">
      <c r="A252" s="3">
        <v>2024</v>
      </c>
      <c r="B252" s="3">
        <v>8</v>
      </c>
      <c r="C252" s="3">
        <v>19</v>
      </c>
      <c r="D252" s="2">
        <v>745</v>
      </c>
      <c r="E252" s="3" t="s">
        <v>257</v>
      </c>
      <c r="F252" s="3">
        <v>3</v>
      </c>
      <c r="G252" s="3" t="s">
        <v>225</v>
      </c>
      <c r="H252" s="3" t="str">
        <f t="shared" si="16"/>
        <v>2021</v>
      </c>
      <c r="I252" s="3">
        <v>3</v>
      </c>
      <c r="J252" s="69"/>
      <c r="K252">
        <v>3</v>
      </c>
      <c r="L252">
        <v>3</v>
      </c>
      <c r="M252">
        <v>36.799999999999997</v>
      </c>
      <c r="N252" s="3">
        <v>334</v>
      </c>
      <c r="O252" s="3" t="str">
        <f t="shared" si="15"/>
        <v>2021</v>
      </c>
      <c r="P252" s="2">
        <v>745</v>
      </c>
    </row>
    <row r="253" spans="1:20" x14ac:dyDescent="0.35">
      <c r="A253" s="3">
        <v>2023</v>
      </c>
      <c r="B253" s="3">
        <v>7</v>
      </c>
      <c r="C253" s="3">
        <v>31</v>
      </c>
      <c r="D253" s="2">
        <v>451</v>
      </c>
      <c r="E253" s="3" t="s">
        <v>909</v>
      </c>
      <c r="F253" s="3">
        <v>3</v>
      </c>
      <c r="G253" s="3" t="s">
        <v>225</v>
      </c>
      <c r="H253" s="3" t="str">
        <f t="shared" si="16"/>
        <v>2021</v>
      </c>
      <c r="I253" s="3">
        <v>2</v>
      </c>
      <c r="J253" s="69"/>
      <c r="K253" s="3" t="s">
        <v>237</v>
      </c>
      <c r="L253" s="3">
        <v>3</v>
      </c>
      <c r="M253" s="3">
        <v>38.799999999999997</v>
      </c>
      <c r="N253" s="3">
        <v>335</v>
      </c>
      <c r="O253" s="3" t="str">
        <f t="shared" si="15"/>
        <v>2021</v>
      </c>
      <c r="P253" s="2">
        <v>451</v>
      </c>
    </row>
    <row r="254" spans="1:20" x14ac:dyDescent="0.35">
      <c r="A254" s="3">
        <v>2023</v>
      </c>
      <c r="B254" s="3">
        <v>8</v>
      </c>
      <c r="C254" s="3">
        <v>11</v>
      </c>
      <c r="D254" s="2">
        <v>505</v>
      </c>
      <c r="E254" s="3" t="s">
        <v>959</v>
      </c>
      <c r="F254" s="3">
        <v>3</v>
      </c>
      <c r="G254" s="3" t="s">
        <v>20</v>
      </c>
      <c r="H254" s="3" t="str">
        <f t="shared" si="16"/>
        <v>2020</v>
      </c>
      <c r="I254" s="3">
        <v>3</v>
      </c>
      <c r="J254" s="69"/>
      <c r="K254" s="3" t="s">
        <v>233</v>
      </c>
      <c r="L254" s="3">
        <v>37</v>
      </c>
      <c r="M254" s="3">
        <v>36.9</v>
      </c>
      <c r="N254" s="3">
        <v>335</v>
      </c>
      <c r="O254" s="3" t="str">
        <f t="shared" si="15"/>
        <v>2018</v>
      </c>
      <c r="P254" s="2">
        <v>505</v>
      </c>
    </row>
    <row r="255" spans="1:20" x14ac:dyDescent="0.35">
      <c r="A255" s="3">
        <v>2023</v>
      </c>
      <c r="B255" s="3">
        <v>11</v>
      </c>
      <c r="C255" s="3">
        <v>3</v>
      </c>
      <c r="D255" s="2">
        <v>533</v>
      </c>
      <c r="E255" s="3" t="s">
        <v>985</v>
      </c>
      <c r="F255" s="3">
        <v>4</v>
      </c>
      <c r="G255" s="3" t="s">
        <v>225</v>
      </c>
      <c r="H255" s="3" t="str">
        <f t="shared" si="16"/>
        <v>2022</v>
      </c>
      <c r="I255" s="3">
        <v>1</v>
      </c>
      <c r="J255" s="69"/>
      <c r="K255" s="3">
        <v>2</v>
      </c>
      <c r="L255" s="3">
        <v>2</v>
      </c>
      <c r="M255" s="3">
        <v>31.7</v>
      </c>
      <c r="N255" s="3">
        <v>335</v>
      </c>
      <c r="O255" s="3" t="str">
        <f t="shared" si="15"/>
        <v>2021</v>
      </c>
      <c r="P255" s="2">
        <v>533</v>
      </c>
    </row>
    <row r="256" spans="1:20" x14ac:dyDescent="0.35">
      <c r="A256" s="3">
        <v>2024</v>
      </c>
      <c r="B256" s="3">
        <v>4</v>
      </c>
      <c r="C256" s="3">
        <v>8</v>
      </c>
      <c r="D256" s="2">
        <v>676</v>
      </c>
      <c r="E256" s="3" t="s">
        <v>1098</v>
      </c>
      <c r="F256" s="3">
        <v>2</v>
      </c>
      <c r="G256" s="3" t="s">
        <v>225</v>
      </c>
      <c r="H256" s="3" t="str">
        <f t="shared" si="16"/>
        <v>2021</v>
      </c>
      <c r="I256" s="3">
        <v>3</v>
      </c>
      <c r="J256" s="69"/>
      <c r="K256" t="s">
        <v>237</v>
      </c>
      <c r="L256">
        <v>3</v>
      </c>
      <c r="M256">
        <v>39.1</v>
      </c>
      <c r="N256" s="3">
        <v>335</v>
      </c>
      <c r="O256" s="3" t="str">
        <f t="shared" si="15"/>
        <v>2021</v>
      </c>
      <c r="P256" s="2">
        <v>676</v>
      </c>
    </row>
    <row r="257" spans="1:20" x14ac:dyDescent="0.35">
      <c r="A257" s="3">
        <v>2024</v>
      </c>
      <c r="B257" s="3">
        <v>8</v>
      </c>
      <c r="C257" s="3">
        <v>20</v>
      </c>
      <c r="D257" s="2">
        <v>762</v>
      </c>
      <c r="E257" s="3" t="s">
        <v>1154</v>
      </c>
      <c r="F257" s="3">
        <v>3</v>
      </c>
      <c r="G257" s="3" t="s">
        <v>226</v>
      </c>
      <c r="H257" s="3" t="str">
        <f t="shared" si="16"/>
        <v>2017</v>
      </c>
      <c r="I257" s="3">
        <v>7</v>
      </c>
      <c r="J257" s="69"/>
      <c r="K257" s="6" t="s">
        <v>228</v>
      </c>
      <c r="L257">
        <v>7</v>
      </c>
      <c r="M257">
        <v>29.2</v>
      </c>
      <c r="N257" s="3">
        <v>335</v>
      </c>
      <c r="O257" s="3" t="str">
        <f t="shared" si="15"/>
        <v>2017</v>
      </c>
      <c r="P257" s="2">
        <v>762</v>
      </c>
    </row>
    <row r="258" spans="1:20" x14ac:dyDescent="0.35">
      <c r="A258" s="3">
        <v>2024</v>
      </c>
      <c r="B258" s="3">
        <v>6</v>
      </c>
      <c r="C258" s="3">
        <v>19</v>
      </c>
      <c r="D258" s="2">
        <v>802</v>
      </c>
      <c r="E258" s="3" t="s">
        <v>291</v>
      </c>
      <c r="F258" s="3">
        <v>3</v>
      </c>
      <c r="G258" s="3" t="s">
        <v>225</v>
      </c>
      <c r="H258" s="3" t="str">
        <f t="shared" si="16"/>
        <v>2021</v>
      </c>
      <c r="I258" s="3">
        <v>3</v>
      </c>
      <c r="J258" s="69"/>
      <c r="K258" t="s">
        <v>1162</v>
      </c>
      <c r="L258">
        <v>3</v>
      </c>
      <c r="M258">
        <v>33.4</v>
      </c>
      <c r="N258" s="3">
        <v>335</v>
      </c>
      <c r="O258" s="3" t="str">
        <f t="shared" ref="O258:O321" si="17">IF(G258="PHD", "2007", IF(G258="TSL", "2011", IF(G258 = "SRS", "2018", IF(G258="WCA 3B", "2017", IF(G258="WCA 3A", "2021")))))</f>
        <v>2021</v>
      </c>
      <c r="P258" s="2">
        <v>802</v>
      </c>
    </row>
    <row r="259" spans="1:20" x14ac:dyDescent="0.35">
      <c r="A259" s="3">
        <v>2024</v>
      </c>
      <c r="B259">
        <v>8</v>
      </c>
      <c r="C259" s="3">
        <v>19</v>
      </c>
      <c r="D259" s="2">
        <v>815</v>
      </c>
      <c r="E259" s="3" t="s">
        <v>1177</v>
      </c>
      <c r="F259" s="3">
        <v>3</v>
      </c>
      <c r="G259" s="3" t="s">
        <v>225</v>
      </c>
      <c r="H259" s="3" t="str">
        <f t="shared" si="16"/>
        <v>2021</v>
      </c>
      <c r="I259" s="3">
        <v>3</v>
      </c>
      <c r="J259" s="69"/>
      <c r="K259">
        <v>3</v>
      </c>
      <c r="L259">
        <v>3</v>
      </c>
      <c r="M259">
        <v>37.799999999999997</v>
      </c>
      <c r="N259" s="3">
        <v>335</v>
      </c>
      <c r="O259" s="3" t="str">
        <f t="shared" si="17"/>
        <v>2021</v>
      </c>
      <c r="P259" s="2">
        <v>815</v>
      </c>
    </row>
    <row r="260" spans="1:20" x14ac:dyDescent="0.35">
      <c r="A260" s="3">
        <v>2023</v>
      </c>
      <c r="B260" s="3">
        <v>11</v>
      </c>
      <c r="C260" s="3">
        <v>17</v>
      </c>
      <c r="D260" s="2">
        <v>512</v>
      </c>
      <c r="E260" s="3" t="s">
        <v>965</v>
      </c>
      <c r="F260" s="3">
        <v>4</v>
      </c>
      <c r="G260" s="3" t="s">
        <v>225</v>
      </c>
      <c r="H260" s="3" t="str">
        <f t="shared" si="16"/>
        <v>2022</v>
      </c>
      <c r="I260" s="3">
        <v>1</v>
      </c>
      <c r="J260" s="69"/>
      <c r="K260" s="3" t="s">
        <v>896</v>
      </c>
      <c r="L260" s="3">
        <v>5</v>
      </c>
      <c r="M260" s="3">
        <v>35.799999999999997</v>
      </c>
      <c r="N260" s="3">
        <v>337</v>
      </c>
      <c r="O260" s="3" t="str">
        <f t="shared" si="17"/>
        <v>2021</v>
      </c>
      <c r="P260" s="2">
        <v>512</v>
      </c>
    </row>
    <row r="261" spans="1:20" x14ac:dyDescent="0.35">
      <c r="A261" s="3">
        <v>2024</v>
      </c>
      <c r="B261" s="3">
        <v>8</v>
      </c>
      <c r="C261" s="3">
        <v>19</v>
      </c>
      <c r="D261" s="2">
        <v>809</v>
      </c>
      <c r="E261" s="3" t="s">
        <v>296</v>
      </c>
      <c r="F261" s="3">
        <v>3</v>
      </c>
      <c r="G261" s="3" t="s">
        <v>225</v>
      </c>
      <c r="H261" s="3" t="str">
        <f t="shared" si="16"/>
        <v>2021</v>
      </c>
      <c r="I261" s="3">
        <v>3</v>
      </c>
      <c r="J261" s="69"/>
      <c r="K261">
        <v>3</v>
      </c>
      <c r="L261">
        <v>3</v>
      </c>
      <c r="M261">
        <v>49.8</v>
      </c>
      <c r="N261" s="3">
        <v>337</v>
      </c>
      <c r="O261" s="3" t="str">
        <f t="shared" si="17"/>
        <v>2021</v>
      </c>
      <c r="P261" s="2">
        <v>809</v>
      </c>
    </row>
    <row r="262" spans="1:20" x14ac:dyDescent="0.35">
      <c r="A262" s="3">
        <v>2017</v>
      </c>
      <c r="B262" s="3">
        <v>8</v>
      </c>
      <c r="C262" s="3">
        <v>3</v>
      </c>
      <c r="D262" s="2">
        <v>139</v>
      </c>
      <c r="E262" s="14" t="s">
        <v>585</v>
      </c>
      <c r="F262" s="15">
        <v>3</v>
      </c>
      <c r="G262" s="3" t="s">
        <v>41</v>
      </c>
      <c r="H262" s="3" t="str">
        <f t="shared" si="16"/>
        <v>2013</v>
      </c>
      <c r="I262" s="3">
        <v>4</v>
      </c>
      <c r="J262" s="69"/>
      <c r="K262" s="3" t="s">
        <v>583</v>
      </c>
      <c r="L262" s="3" t="s">
        <v>318</v>
      </c>
      <c r="M262" s="3">
        <v>28.7</v>
      </c>
      <c r="N262" s="3">
        <v>338</v>
      </c>
      <c r="O262" s="3" t="str">
        <f t="shared" si="17"/>
        <v>2011</v>
      </c>
      <c r="P262" s="2">
        <v>139</v>
      </c>
      <c r="T262">
        <v>7.24</v>
      </c>
    </row>
    <row r="263" spans="1:20" x14ac:dyDescent="0.35">
      <c r="A263" s="3">
        <v>2017</v>
      </c>
      <c r="B263" s="3">
        <v>8</v>
      </c>
      <c r="C263" s="3">
        <v>3</v>
      </c>
      <c r="D263" s="2">
        <v>139</v>
      </c>
      <c r="E263" s="14" t="s">
        <v>585</v>
      </c>
      <c r="F263" s="15">
        <v>3</v>
      </c>
      <c r="G263" s="3" t="s">
        <v>41</v>
      </c>
      <c r="H263" s="3" t="str">
        <f t="shared" ref="H263:H326" si="18">IF(L263="A55","2009",IF(L263="A59","2009",IF(L263="A60","2010",IF(L263="A62","2011",IF(L263="CP","2013",IF(L263="MD","2012",IF(L263="TS","2013",IF(L263="DL","2018",IF(L263="SCU","2018",IF(L263="NCU","2018",IF(L263="C1C","2018",IF(L263="C1E","2018",IF(L263="RS1S","2018",IF(L263="C2B","2018",IF(L263="DB3","2018",IF(AND(L263=6,G263="SRS"),"2018",IF(AND(L263=7,G263="SRS"),"2020",IF(AND(L263=8,G263="SRS"),"2020",IF(L263=23,"2019",IF(AND(L263=7,G263="WCA 3B"),"2017",IF(AND(L263=8,G263="WCA 3B"),"2019",IF(L263=1,"2021",IF(L263=2,"2022",IF(L263=3,"2021",IF(L263=4,"2021",IF(L263=5,"2022",IF(AND(L263=6,G263="WCA 3A"),"2022",IF(L263=9,"2023",IF(L263=10,"2023",IF(L263=37,"2020"))))))))))))))))))))))))))))))</f>
        <v>2013</v>
      </c>
      <c r="I263" s="3">
        <v>4</v>
      </c>
      <c r="J263" s="69"/>
      <c r="K263" s="3" t="s">
        <v>583</v>
      </c>
      <c r="L263" s="3" t="s">
        <v>318</v>
      </c>
      <c r="M263" s="3">
        <v>28.7</v>
      </c>
      <c r="N263" s="3">
        <v>338</v>
      </c>
      <c r="O263" s="3" t="str">
        <f t="shared" si="17"/>
        <v>2011</v>
      </c>
      <c r="P263" s="2">
        <v>139</v>
      </c>
      <c r="T263">
        <v>6.79</v>
      </c>
    </row>
    <row r="264" spans="1:20" x14ac:dyDescent="0.35">
      <c r="A264" s="3">
        <v>2017</v>
      </c>
      <c r="B264" s="3">
        <v>8</v>
      </c>
      <c r="C264" s="3">
        <v>8</v>
      </c>
      <c r="D264" s="2">
        <v>84</v>
      </c>
      <c r="E264" s="14" t="s">
        <v>529</v>
      </c>
      <c r="F264" s="15">
        <v>3</v>
      </c>
      <c r="G264" s="3" t="s">
        <v>45</v>
      </c>
      <c r="H264" s="3" t="str">
        <f t="shared" si="18"/>
        <v>2009</v>
      </c>
      <c r="I264" s="3">
        <v>8</v>
      </c>
      <c r="J264" s="69"/>
      <c r="K264" s="3" t="s">
        <v>512</v>
      </c>
      <c r="L264" s="3" t="s">
        <v>512</v>
      </c>
      <c r="M264" s="3">
        <v>29.7</v>
      </c>
      <c r="N264" s="3">
        <v>338</v>
      </c>
      <c r="O264" s="3" t="str">
        <f t="shared" si="17"/>
        <v>2007</v>
      </c>
      <c r="P264" s="2">
        <v>84</v>
      </c>
    </row>
    <row r="265" spans="1:20" x14ac:dyDescent="0.35">
      <c r="A265" s="3">
        <v>2018</v>
      </c>
      <c r="B265" s="3">
        <v>8</v>
      </c>
      <c r="C265" s="3">
        <v>6</v>
      </c>
      <c r="D265" s="2">
        <v>273</v>
      </c>
      <c r="E265" s="3" t="s">
        <v>735</v>
      </c>
      <c r="F265" s="3">
        <v>3</v>
      </c>
      <c r="G265" s="3" t="s">
        <v>41</v>
      </c>
      <c r="H265" s="3" t="str">
        <f t="shared" si="18"/>
        <v>2012</v>
      </c>
      <c r="I265" s="3">
        <v>6</v>
      </c>
      <c r="J265" s="69"/>
      <c r="K265" s="3" t="s">
        <v>551</v>
      </c>
      <c r="L265" s="3" t="s">
        <v>461</v>
      </c>
      <c r="M265" s="3">
        <v>27.2</v>
      </c>
      <c r="N265" s="3">
        <v>338</v>
      </c>
      <c r="O265" s="3" t="str">
        <f t="shared" si="17"/>
        <v>2011</v>
      </c>
      <c r="P265" s="2">
        <v>273</v>
      </c>
    </row>
    <row r="266" spans="1:20" x14ac:dyDescent="0.35">
      <c r="A266" s="3">
        <v>2023</v>
      </c>
      <c r="B266" s="3">
        <v>7</v>
      </c>
      <c r="C266" s="3">
        <v>31</v>
      </c>
      <c r="D266" s="2">
        <v>457</v>
      </c>
      <c r="E266" s="3" t="s">
        <v>82</v>
      </c>
      <c r="F266" s="3">
        <v>3</v>
      </c>
      <c r="G266" s="3" t="s">
        <v>225</v>
      </c>
      <c r="H266" s="3" t="str">
        <f t="shared" si="18"/>
        <v>2022</v>
      </c>
      <c r="I266" s="3">
        <v>1</v>
      </c>
      <c r="J266" s="69"/>
      <c r="K266" s="3" t="s">
        <v>83</v>
      </c>
      <c r="L266" s="3">
        <v>2</v>
      </c>
      <c r="M266" s="3">
        <v>35.1</v>
      </c>
      <c r="N266" s="3">
        <v>338</v>
      </c>
      <c r="O266" s="3" t="str">
        <f t="shared" si="17"/>
        <v>2021</v>
      </c>
      <c r="P266" s="2">
        <v>457</v>
      </c>
    </row>
    <row r="267" spans="1:20" x14ac:dyDescent="0.35">
      <c r="A267" s="3">
        <v>2024</v>
      </c>
      <c r="B267" s="3">
        <v>1</v>
      </c>
      <c r="C267" s="3">
        <v>16</v>
      </c>
      <c r="D267" s="2">
        <v>593</v>
      </c>
      <c r="E267" s="3" t="s">
        <v>1037</v>
      </c>
      <c r="F267" s="3">
        <v>1</v>
      </c>
      <c r="G267" s="3" t="s">
        <v>45</v>
      </c>
      <c r="H267" s="3" t="str">
        <f t="shared" si="18"/>
        <v>2011</v>
      </c>
      <c r="I267" s="3">
        <v>13</v>
      </c>
      <c r="J267" s="69"/>
      <c r="K267" t="s">
        <v>990</v>
      </c>
      <c r="L267" s="3" t="s">
        <v>317</v>
      </c>
      <c r="M267">
        <v>36</v>
      </c>
      <c r="N267" s="3">
        <v>338</v>
      </c>
      <c r="O267" s="3" t="str">
        <f t="shared" si="17"/>
        <v>2007</v>
      </c>
      <c r="P267" s="2">
        <v>593</v>
      </c>
    </row>
    <row r="268" spans="1:20" x14ac:dyDescent="0.35">
      <c r="A268" s="3">
        <v>2024</v>
      </c>
      <c r="B268" s="3">
        <v>3</v>
      </c>
      <c r="C268" s="3">
        <v>24</v>
      </c>
      <c r="D268" s="2">
        <v>670</v>
      </c>
      <c r="E268" s="3" t="s">
        <v>1091</v>
      </c>
      <c r="F268" s="3">
        <v>2</v>
      </c>
      <c r="G268" s="3" t="s">
        <v>41</v>
      </c>
      <c r="H268" s="3" t="str">
        <f t="shared" si="18"/>
        <v>2012</v>
      </c>
      <c r="I268" s="3">
        <v>12</v>
      </c>
      <c r="J268" s="69"/>
      <c r="K268" t="s">
        <v>544</v>
      </c>
      <c r="L268" t="s">
        <v>461</v>
      </c>
      <c r="M268">
        <v>52.2</v>
      </c>
      <c r="N268" s="3">
        <v>338</v>
      </c>
      <c r="O268" s="3" t="str">
        <f t="shared" si="17"/>
        <v>2011</v>
      </c>
      <c r="P268" s="2">
        <v>670</v>
      </c>
    </row>
    <row r="269" spans="1:20" x14ac:dyDescent="0.35">
      <c r="A269" s="3">
        <v>2024</v>
      </c>
      <c r="B269" s="3">
        <v>1</v>
      </c>
      <c r="C269" s="3">
        <v>18</v>
      </c>
      <c r="D269" s="2">
        <v>557</v>
      </c>
      <c r="E269" s="3" t="s">
        <v>1002</v>
      </c>
      <c r="F269" s="3">
        <v>1</v>
      </c>
      <c r="G269" s="3" t="s">
        <v>41</v>
      </c>
      <c r="H269" s="3" t="str">
        <f t="shared" si="18"/>
        <v>2013</v>
      </c>
      <c r="I269" s="3">
        <v>11</v>
      </c>
      <c r="J269" s="69"/>
      <c r="K269" t="s">
        <v>583</v>
      </c>
      <c r="L269" s="3" t="s">
        <v>318</v>
      </c>
      <c r="M269">
        <v>33.5</v>
      </c>
      <c r="N269" s="3">
        <v>339</v>
      </c>
      <c r="O269" s="3" t="str">
        <f t="shared" si="17"/>
        <v>2011</v>
      </c>
      <c r="P269" s="2">
        <v>557</v>
      </c>
    </row>
    <row r="270" spans="1:20" x14ac:dyDescent="0.35">
      <c r="A270" s="3">
        <v>2024</v>
      </c>
      <c r="B270">
        <v>8</v>
      </c>
      <c r="C270" s="3">
        <v>19</v>
      </c>
      <c r="D270" s="2">
        <v>819</v>
      </c>
      <c r="E270" s="3" t="s">
        <v>1180</v>
      </c>
      <c r="F270" s="3">
        <v>3</v>
      </c>
      <c r="G270" s="3" t="s">
        <v>225</v>
      </c>
      <c r="H270" s="3" t="str">
        <f t="shared" si="18"/>
        <v>2021</v>
      </c>
      <c r="I270" s="3">
        <v>3</v>
      </c>
      <c r="J270" s="69"/>
      <c r="K270">
        <v>3</v>
      </c>
      <c r="L270">
        <v>3</v>
      </c>
      <c r="M270">
        <v>38.799999999999997</v>
      </c>
      <c r="N270" s="3">
        <v>339</v>
      </c>
      <c r="O270" s="3" t="str">
        <f t="shared" si="17"/>
        <v>2021</v>
      </c>
      <c r="P270" s="2">
        <v>819</v>
      </c>
    </row>
    <row r="271" spans="1:20" x14ac:dyDescent="0.35">
      <c r="A271" s="3">
        <v>2016</v>
      </c>
      <c r="B271" s="3">
        <v>9</v>
      </c>
      <c r="C271" s="3">
        <v>2</v>
      </c>
      <c r="D271" s="2">
        <v>283</v>
      </c>
      <c r="E271" s="3" t="s">
        <v>747</v>
      </c>
      <c r="F271" s="3">
        <v>3</v>
      </c>
      <c r="G271" s="3" t="s">
        <v>41</v>
      </c>
      <c r="H271" s="3" t="str">
        <f t="shared" si="18"/>
        <v>2013</v>
      </c>
      <c r="I271" s="3">
        <v>3</v>
      </c>
      <c r="J271" s="69"/>
      <c r="K271" s="3" t="s">
        <v>42</v>
      </c>
      <c r="L271" s="3" t="s">
        <v>318</v>
      </c>
      <c r="M271" s="3">
        <v>34.5</v>
      </c>
      <c r="N271" s="3">
        <v>340</v>
      </c>
      <c r="O271" s="3" t="str">
        <f t="shared" si="17"/>
        <v>2011</v>
      </c>
      <c r="P271" s="2">
        <v>283</v>
      </c>
    </row>
    <row r="272" spans="1:20" x14ac:dyDescent="0.35">
      <c r="A272" s="3">
        <v>2023</v>
      </c>
      <c r="B272" s="3">
        <v>7</v>
      </c>
      <c r="C272" s="3">
        <v>17</v>
      </c>
      <c r="D272" s="2">
        <v>399</v>
      </c>
      <c r="E272" s="3" t="s">
        <v>864</v>
      </c>
      <c r="F272" s="3">
        <v>3</v>
      </c>
      <c r="G272" s="3" t="s">
        <v>45</v>
      </c>
      <c r="H272" s="3" t="str">
        <f t="shared" si="18"/>
        <v>2011</v>
      </c>
      <c r="I272" s="3">
        <v>12</v>
      </c>
      <c r="J272" s="69"/>
      <c r="K272" s="3" t="s">
        <v>865</v>
      </c>
      <c r="L272" s="3" t="s">
        <v>317</v>
      </c>
      <c r="M272" s="3">
        <v>25.7</v>
      </c>
      <c r="N272" s="3">
        <v>340</v>
      </c>
      <c r="O272" s="3" t="str">
        <f t="shared" si="17"/>
        <v>2007</v>
      </c>
      <c r="P272" s="2">
        <v>399</v>
      </c>
    </row>
    <row r="273" spans="1:20" x14ac:dyDescent="0.35">
      <c r="A273" s="3">
        <v>2024</v>
      </c>
      <c r="B273" s="3">
        <v>3</v>
      </c>
      <c r="C273" s="3">
        <v>12</v>
      </c>
      <c r="D273" s="2">
        <v>684</v>
      </c>
      <c r="E273" s="3" t="s">
        <v>157</v>
      </c>
      <c r="F273" s="3">
        <v>2</v>
      </c>
      <c r="G273" s="3" t="s">
        <v>45</v>
      </c>
      <c r="H273" s="3" t="str">
        <f t="shared" si="18"/>
        <v>2011</v>
      </c>
      <c r="I273" s="3">
        <v>13</v>
      </c>
      <c r="J273" s="69"/>
      <c r="K273" t="s">
        <v>1105</v>
      </c>
      <c r="L273" t="s">
        <v>317</v>
      </c>
      <c r="M273">
        <v>36.4</v>
      </c>
      <c r="N273" s="3">
        <v>340</v>
      </c>
      <c r="O273" s="3" t="str">
        <f t="shared" si="17"/>
        <v>2007</v>
      </c>
      <c r="P273" s="2">
        <v>684</v>
      </c>
    </row>
    <row r="274" spans="1:20" x14ac:dyDescent="0.35">
      <c r="A274" s="3">
        <v>2019</v>
      </c>
      <c r="B274" s="3">
        <v>2</v>
      </c>
      <c r="C274" s="3">
        <v>18</v>
      </c>
      <c r="D274" s="2">
        <v>176</v>
      </c>
      <c r="E274" s="3" t="s">
        <v>626</v>
      </c>
      <c r="F274" s="3">
        <v>1</v>
      </c>
      <c r="G274" s="3" t="s">
        <v>41</v>
      </c>
      <c r="H274" s="3" t="str">
        <f t="shared" si="18"/>
        <v>2013</v>
      </c>
      <c r="I274" s="3">
        <v>6</v>
      </c>
      <c r="J274" s="69"/>
      <c r="K274" s="3" t="s">
        <v>42</v>
      </c>
      <c r="L274" s="3" t="s">
        <v>318</v>
      </c>
      <c r="M274" s="3">
        <v>34.9</v>
      </c>
      <c r="N274" s="3">
        <v>341</v>
      </c>
      <c r="O274" s="3" t="str">
        <f t="shared" si="17"/>
        <v>2011</v>
      </c>
      <c r="P274" s="2">
        <v>176</v>
      </c>
    </row>
    <row r="275" spans="1:20" x14ac:dyDescent="0.35">
      <c r="A275" s="3">
        <v>2023</v>
      </c>
      <c r="B275" s="3">
        <v>7</v>
      </c>
      <c r="C275" s="3">
        <v>17</v>
      </c>
      <c r="D275" s="2">
        <v>344</v>
      </c>
      <c r="E275" s="3" t="s">
        <v>810</v>
      </c>
      <c r="F275" s="3">
        <v>3</v>
      </c>
      <c r="G275" s="3" t="s">
        <v>41</v>
      </c>
      <c r="H275" s="3" t="str">
        <f t="shared" si="18"/>
        <v>2013</v>
      </c>
      <c r="I275" s="3">
        <v>10</v>
      </c>
      <c r="J275" s="69"/>
      <c r="K275" s="3" t="s">
        <v>546</v>
      </c>
      <c r="L275" s="3" t="s">
        <v>458</v>
      </c>
      <c r="M275" s="3">
        <v>2.6</v>
      </c>
      <c r="N275" s="3">
        <v>341</v>
      </c>
      <c r="O275" s="3" t="str">
        <f t="shared" si="17"/>
        <v>2011</v>
      </c>
      <c r="P275" s="2">
        <v>344</v>
      </c>
    </row>
    <row r="276" spans="1:20" x14ac:dyDescent="0.35">
      <c r="A276" s="3">
        <v>2023</v>
      </c>
      <c r="B276" s="3">
        <v>2</v>
      </c>
      <c r="C276" s="3">
        <v>10</v>
      </c>
      <c r="D276" s="2">
        <v>149</v>
      </c>
      <c r="E276" s="3" t="s">
        <v>594</v>
      </c>
      <c r="F276" s="3">
        <v>1</v>
      </c>
      <c r="G276" s="3" t="s">
        <v>41</v>
      </c>
      <c r="H276" s="3" t="str">
        <f t="shared" si="18"/>
        <v>2013</v>
      </c>
      <c r="I276" s="3">
        <v>10</v>
      </c>
      <c r="J276" s="69"/>
      <c r="K276" s="3" t="s">
        <v>91</v>
      </c>
      <c r="L276" s="3" t="s">
        <v>318</v>
      </c>
      <c r="M276" s="3">
        <v>80.400000000000006</v>
      </c>
      <c r="N276" s="3">
        <v>342</v>
      </c>
      <c r="O276" s="3" t="str">
        <f t="shared" si="17"/>
        <v>2011</v>
      </c>
      <c r="P276" s="2">
        <v>149</v>
      </c>
    </row>
    <row r="277" spans="1:20" x14ac:dyDescent="0.35">
      <c r="A277" s="3">
        <v>2024</v>
      </c>
      <c r="B277" s="3">
        <v>8</v>
      </c>
      <c r="C277" s="3">
        <v>19</v>
      </c>
      <c r="D277" s="2">
        <v>780</v>
      </c>
      <c r="E277" s="3" t="s">
        <v>1163</v>
      </c>
      <c r="F277" s="3">
        <v>3</v>
      </c>
      <c r="G277" s="3" t="s">
        <v>225</v>
      </c>
      <c r="H277" s="3" t="str">
        <f t="shared" si="18"/>
        <v>2021</v>
      </c>
      <c r="I277" s="3">
        <v>3</v>
      </c>
      <c r="J277" s="69"/>
      <c r="K277">
        <v>3</v>
      </c>
      <c r="L277">
        <v>3</v>
      </c>
      <c r="M277">
        <v>35.299999999999997</v>
      </c>
      <c r="N277" s="3">
        <v>342</v>
      </c>
      <c r="O277" s="3" t="str">
        <f t="shared" si="17"/>
        <v>2021</v>
      </c>
      <c r="P277" s="2">
        <v>780</v>
      </c>
    </row>
    <row r="278" spans="1:20" x14ac:dyDescent="0.35">
      <c r="A278" s="3">
        <v>2024</v>
      </c>
      <c r="B278" s="3">
        <v>2</v>
      </c>
      <c r="C278" s="3">
        <v>23</v>
      </c>
      <c r="D278" s="2">
        <v>637</v>
      </c>
      <c r="E278" s="3" t="s">
        <v>1073</v>
      </c>
      <c r="F278" s="3">
        <v>1</v>
      </c>
      <c r="G278" s="3" t="s">
        <v>225</v>
      </c>
      <c r="H278" s="3" t="str">
        <f t="shared" si="18"/>
        <v>2022</v>
      </c>
      <c r="I278" s="3">
        <v>2</v>
      </c>
      <c r="J278" s="69"/>
      <c r="K278" t="s">
        <v>21</v>
      </c>
      <c r="L278" s="3">
        <v>2</v>
      </c>
      <c r="M278">
        <v>42.1</v>
      </c>
      <c r="N278" s="3">
        <v>343</v>
      </c>
      <c r="O278" s="3" t="str">
        <f t="shared" si="17"/>
        <v>2021</v>
      </c>
      <c r="P278" s="2">
        <v>637</v>
      </c>
    </row>
    <row r="279" spans="1:20" x14ac:dyDescent="0.35">
      <c r="A279" s="3">
        <v>2023</v>
      </c>
      <c r="B279" s="3">
        <v>11</v>
      </c>
      <c r="C279" s="3">
        <v>2</v>
      </c>
      <c r="D279" s="2">
        <v>527</v>
      </c>
      <c r="E279" s="3" t="s">
        <v>981</v>
      </c>
      <c r="F279" s="3">
        <v>4</v>
      </c>
      <c r="G279" s="3" t="s">
        <v>45</v>
      </c>
      <c r="H279" s="3" t="str">
        <f t="shared" si="18"/>
        <v>2011</v>
      </c>
      <c r="I279" s="3">
        <v>12</v>
      </c>
      <c r="J279" s="69"/>
      <c r="K279" s="3" t="s">
        <v>615</v>
      </c>
      <c r="L279" s="3" t="s">
        <v>317</v>
      </c>
      <c r="M279" s="3">
        <v>26.4</v>
      </c>
      <c r="N279" s="3">
        <v>344</v>
      </c>
      <c r="O279" s="3" t="str">
        <f t="shared" si="17"/>
        <v>2007</v>
      </c>
      <c r="P279" s="2">
        <v>527</v>
      </c>
    </row>
    <row r="280" spans="1:20" x14ac:dyDescent="0.35">
      <c r="A280" s="3">
        <v>2024</v>
      </c>
      <c r="B280" s="3">
        <v>1</v>
      </c>
      <c r="C280" s="3">
        <v>14</v>
      </c>
      <c r="D280" s="2">
        <v>610</v>
      </c>
      <c r="E280" s="3" t="s">
        <v>1052</v>
      </c>
      <c r="F280" s="3">
        <v>1</v>
      </c>
      <c r="G280" s="3" t="s">
        <v>45</v>
      </c>
      <c r="H280" s="3" t="str">
        <f t="shared" si="18"/>
        <v>2011</v>
      </c>
      <c r="I280" s="3">
        <v>13</v>
      </c>
      <c r="J280" s="69"/>
      <c r="K280" t="s">
        <v>977</v>
      </c>
      <c r="L280" s="3" t="s">
        <v>317</v>
      </c>
      <c r="M280">
        <v>34.4</v>
      </c>
      <c r="N280" s="3">
        <v>344</v>
      </c>
      <c r="O280" s="3" t="str">
        <f t="shared" si="17"/>
        <v>2007</v>
      </c>
      <c r="P280" s="2">
        <v>610</v>
      </c>
    </row>
    <row r="281" spans="1:20" x14ac:dyDescent="0.35">
      <c r="A281" s="3">
        <v>2023</v>
      </c>
      <c r="B281" s="3">
        <v>7</v>
      </c>
      <c r="C281" s="3">
        <v>17</v>
      </c>
      <c r="D281" s="2">
        <v>395</v>
      </c>
      <c r="E281" s="3" t="s">
        <v>860</v>
      </c>
      <c r="F281" s="3">
        <v>3</v>
      </c>
      <c r="G281" s="3" t="s">
        <v>45</v>
      </c>
      <c r="H281" s="3" t="str">
        <f t="shared" si="18"/>
        <v>2011</v>
      </c>
      <c r="I281" s="3">
        <v>12</v>
      </c>
      <c r="J281" s="69"/>
      <c r="K281" s="3" t="s">
        <v>632</v>
      </c>
      <c r="L281" s="3" t="s">
        <v>317</v>
      </c>
      <c r="M281" s="3">
        <v>26.2</v>
      </c>
      <c r="N281" s="3">
        <v>345</v>
      </c>
      <c r="O281" s="3" t="str">
        <f t="shared" si="17"/>
        <v>2007</v>
      </c>
      <c r="P281" s="2">
        <v>395</v>
      </c>
      <c r="Q281" s="2"/>
      <c r="T281">
        <v>7.67</v>
      </c>
    </row>
    <row r="282" spans="1:20" x14ac:dyDescent="0.35">
      <c r="A282" s="3">
        <v>2017</v>
      </c>
      <c r="B282" s="3">
        <v>11</v>
      </c>
      <c r="C282" s="3">
        <v>9</v>
      </c>
      <c r="D282" s="2">
        <v>82</v>
      </c>
      <c r="E282" s="14" t="s">
        <v>527</v>
      </c>
      <c r="F282" s="15">
        <v>4</v>
      </c>
      <c r="G282" s="3" t="s">
        <v>45</v>
      </c>
      <c r="H282" s="3" t="str">
        <f t="shared" si="18"/>
        <v>2011</v>
      </c>
      <c r="I282" s="3">
        <v>6</v>
      </c>
      <c r="J282" s="69"/>
      <c r="K282" s="3" t="s">
        <v>317</v>
      </c>
      <c r="L282" s="3" t="s">
        <v>317</v>
      </c>
      <c r="M282" s="3">
        <v>29.4</v>
      </c>
      <c r="N282" s="3">
        <v>345</v>
      </c>
      <c r="O282" s="3" t="str">
        <f t="shared" si="17"/>
        <v>2007</v>
      </c>
      <c r="P282" s="2">
        <v>82</v>
      </c>
    </row>
    <row r="283" spans="1:20" x14ac:dyDescent="0.35">
      <c r="A283" s="3">
        <v>2024</v>
      </c>
      <c r="B283" s="3">
        <v>1</v>
      </c>
      <c r="C283" s="3">
        <v>19</v>
      </c>
      <c r="D283" s="2">
        <v>580</v>
      </c>
      <c r="E283" s="3" t="s">
        <v>1024</v>
      </c>
      <c r="F283" s="3">
        <v>1</v>
      </c>
      <c r="G283" s="3" t="s">
        <v>41</v>
      </c>
      <c r="H283" s="3" t="str">
        <f t="shared" si="18"/>
        <v>2013</v>
      </c>
      <c r="I283" s="3">
        <v>11</v>
      </c>
      <c r="J283" s="69"/>
      <c r="K283" t="s">
        <v>42</v>
      </c>
      <c r="L283" s="3" t="s">
        <v>318</v>
      </c>
      <c r="M283">
        <v>41</v>
      </c>
      <c r="N283" s="3">
        <v>345</v>
      </c>
      <c r="O283" s="3" t="str">
        <f t="shared" si="17"/>
        <v>2011</v>
      </c>
      <c r="P283" s="2">
        <v>580</v>
      </c>
    </row>
    <row r="284" spans="1:20" x14ac:dyDescent="0.35">
      <c r="A284" s="3">
        <v>2019</v>
      </c>
      <c r="B284" s="3">
        <v>2</v>
      </c>
      <c r="C284" s="3">
        <v>21</v>
      </c>
      <c r="D284" s="2">
        <v>156</v>
      </c>
      <c r="E284" s="3" t="s">
        <v>601</v>
      </c>
      <c r="F284" s="3">
        <v>1</v>
      </c>
      <c r="G284" s="3" t="s">
        <v>45</v>
      </c>
      <c r="H284" s="3" t="str">
        <f t="shared" si="18"/>
        <v>2011</v>
      </c>
      <c r="I284" s="3">
        <v>8</v>
      </c>
      <c r="J284" s="69"/>
      <c r="K284" s="3" t="s">
        <v>602</v>
      </c>
      <c r="L284" s="3" t="s">
        <v>317</v>
      </c>
      <c r="M284" s="3">
        <v>37.5</v>
      </c>
      <c r="N284" s="3">
        <v>346</v>
      </c>
      <c r="O284" s="3" t="str">
        <f t="shared" si="17"/>
        <v>2007</v>
      </c>
      <c r="P284" s="2">
        <v>156</v>
      </c>
    </row>
    <row r="285" spans="1:20" x14ac:dyDescent="0.35">
      <c r="A285" s="3">
        <v>2024</v>
      </c>
      <c r="B285" s="3">
        <v>3</v>
      </c>
      <c r="C285" s="3">
        <v>28</v>
      </c>
      <c r="D285" s="2">
        <v>655</v>
      </c>
      <c r="E285" s="3" t="s">
        <v>147</v>
      </c>
      <c r="F285" s="3">
        <v>2</v>
      </c>
      <c r="G285" s="3" t="s">
        <v>41</v>
      </c>
      <c r="H285" s="3" t="str">
        <f t="shared" si="18"/>
        <v>2013</v>
      </c>
      <c r="I285" s="3">
        <v>11</v>
      </c>
      <c r="J285" s="69"/>
      <c r="K285" t="s">
        <v>49</v>
      </c>
      <c r="L285" t="s">
        <v>318</v>
      </c>
      <c r="M285">
        <v>35.6</v>
      </c>
      <c r="N285" s="3">
        <v>346</v>
      </c>
      <c r="O285" s="3" t="str">
        <f t="shared" si="17"/>
        <v>2011</v>
      </c>
      <c r="P285" s="2">
        <v>655</v>
      </c>
    </row>
    <row r="286" spans="1:20" x14ac:dyDescent="0.35">
      <c r="A286" s="3">
        <v>2023</v>
      </c>
      <c r="B286" s="3">
        <v>7</v>
      </c>
      <c r="C286" s="3">
        <v>17</v>
      </c>
      <c r="D286" s="2">
        <v>379</v>
      </c>
      <c r="E286" s="3" t="s">
        <v>845</v>
      </c>
      <c r="F286" s="3">
        <v>3</v>
      </c>
      <c r="G286" s="3" t="s">
        <v>45</v>
      </c>
      <c r="H286" s="3" t="str">
        <f t="shared" si="18"/>
        <v>2011</v>
      </c>
      <c r="I286" s="3">
        <v>12</v>
      </c>
      <c r="J286" s="69"/>
      <c r="K286" s="3" t="s">
        <v>46</v>
      </c>
      <c r="L286" s="3" t="s">
        <v>317</v>
      </c>
      <c r="M286" s="3">
        <v>31.6</v>
      </c>
      <c r="N286" s="3">
        <v>347</v>
      </c>
      <c r="O286" s="3" t="str">
        <f t="shared" si="17"/>
        <v>2007</v>
      </c>
      <c r="P286" s="2">
        <v>379</v>
      </c>
    </row>
    <row r="287" spans="1:20" x14ac:dyDescent="0.35">
      <c r="A287" s="3">
        <v>2024</v>
      </c>
      <c r="B287" s="3">
        <v>3</v>
      </c>
      <c r="C287" s="3">
        <v>13</v>
      </c>
      <c r="D287" s="2">
        <v>668</v>
      </c>
      <c r="E287" s="3" t="s">
        <v>1087</v>
      </c>
      <c r="F287" s="3">
        <v>2</v>
      </c>
      <c r="G287" s="3" t="s">
        <v>226</v>
      </c>
      <c r="H287" s="3" t="str">
        <f t="shared" si="18"/>
        <v>2017</v>
      </c>
      <c r="I287" s="3">
        <v>7</v>
      </c>
      <c r="J287" s="69"/>
      <c r="K287" t="s">
        <v>1088</v>
      </c>
      <c r="L287">
        <v>7</v>
      </c>
      <c r="M287">
        <v>38.299999999999997</v>
      </c>
      <c r="N287" s="3">
        <v>347</v>
      </c>
      <c r="O287" s="3" t="str">
        <f t="shared" si="17"/>
        <v>2017</v>
      </c>
      <c r="P287" s="2">
        <v>668</v>
      </c>
    </row>
    <row r="288" spans="1:20" x14ac:dyDescent="0.35">
      <c r="A288" s="3">
        <v>2024</v>
      </c>
      <c r="B288" s="3">
        <v>8</v>
      </c>
      <c r="C288" s="3">
        <v>8</v>
      </c>
      <c r="D288" s="2">
        <v>706</v>
      </c>
      <c r="E288" s="3" t="s">
        <v>1123</v>
      </c>
      <c r="F288" s="3">
        <v>3</v>
      </c>
      <c r="G288" s="3" t="s">
        <v>45</v>
      </c>
      <c r="H288" s="3" t="str">
        <f t="shared" si="18"/>
        <v>2011</v>
      </c>
      <c r="I288" s="3">
        <v>13</v>
      </c>
      <c r="J288" s="69"/>
      <c r="K288" t="s">
        <v>632</v>
      </c>
      <c r="L288" t="s">
        <v>317</v>
      </c>
      <c r="M288">
        <v>33.4</v>
      </c>
      <c r="N288" s="3">
        <v>348</v>
      </c>
      <c r="O288" s="3" t="str">
        <f t="shared" si="17"/>
        <v>2007</v>
      </c>
      <c r="P288" s="2">
        <v>706</v>
      </c>
      <c r="T288">
        <v>8.1199999999999992</v>
      </c>
    </row>
    <row r="289" spans="1:16" x14ac:dyDescent="0.35">
      <c r="A289" s="3">
        <v>2016</v>
      </c>
      <c r="B289" s="3">
        <v>9</v>
      </c>
      <c r="C289" s="3">
        <v>1</v>
      </c>
      <c r="D289" s="2">
        <v>260</v>
      </c>
      <c r="E289" s="3" t="s">
        <v>721</v>
      </c>
      <c r="F289" s="3">
        <v>3</v>
      </c>
      <c r="G289" s="3" t="s">
        <v>45</v>
      </c>
      <c r="H289" s="3" t="str">
        <f t="shared" si="18"/>
        <v>2011</v>
      </c>
      <c r="I289" s="3">
        <v>5</v>
      </c>
      <c r="J289" s="69"/>
      <c r="K289" s="3" t="s">
        <v>718</v>
      </c>
      <c r="L289" s="3" t="s">
        <v>317</v>
      </c>
      <c r="M289" s="3">
        <v>37.200000000000003</v>
      </c>
      <c r="N289" s="3">
        <v>349</v>
      </c>
      <c r="O289" s="3" t="str">
        <f t="shared" si="17"/>
        <v>2007</v>
      </c>
      <c r="P289" s="2">
        <v>260</v>
      </c>
    </row>
    <row r="290" spans="1:16" x14ac:dyDescent="0.35">
      <c r="A290" s="3">
        <v>2024</v>
      </c>
      <c r="B290" s="3">
        <v>6</v>
      </c>
      <c r="C290" s="3">
        <v>19</v>
      </c>
      <c r="D290" s="2">
        <v>801</v>
      </c>
      <c r="E290" s="3" t="s">
        <v>1173</v>
      </c>
      <c r="F290" s="3">
        <v>3</v>
      </c>
      <c r="G290" s="3" t="s">
        <v>225</v>
      </c>
      <c r="H290" s="3" t="str">
        <f t="shared" si="18"/>
        <v>2021</v>
      </c>
      <c r="I290" s="3">
        <v>3</v>
      </c>
      <c r="J290" s="69"/>
      <c r="K290" t="s">
        <v>1162</v>
      </c>
      <c r="L290">
        <v>3</v>
      </c>
      <c r="M290">
        <v>45.8</v>
      </c>
      <c r="N290" s="3">
        <v>349</v>
      </c>
      <c r="O290" s="3" t="str">
        <f t="shared" si="17"/>
        <v>2021</v>
      </c>
      <c r="P290" s="2">
        <v>801</v>
      </c>
    </row>
    <row r="291" spans="1:16" x14ac:dyDescent="0.35">
      <c r="A291" s="3">
        <v>2019</v>
      </c>
      <c r="B291" s="3">
        <v>8</v>
      </c>
      <c r="C291" s="3">
        <v>5</v>
      </c>
      <c r="D291" s="2">
        <v>311</v>
      </c>
      <c r="E291" s="3" t="s">
        <v>777</v>
      </c>
      <c r="F291" s="3">
        <v>3</v>
      </c>
      <c r="G291" s="3" t="s">
        <v>20</v>
      </c>
      <c r="H291" s="3" t="str">
        <f t="shared" si="18"/>
        <v>2018</v>
      </c>
      <c r="I291" s="3">
        <v>1</v>
      </c>
      <c r="J291" s="69"/>
      <c r="K291" s="3" t="s">
        <v>778</v>
      </c>
      <c r="L291" s="3">
        <v>6</v>
      </c>
      <c r="M291" s="3">
        <v>38.200000000000003</v>
      </c>
      <c r="N291" s="3">
        <v>350</v>
      </c>
      <c r="O291" s="3" t="str">
        <f t="shared" si="17"/>
        <v>2018</v>
      </c>
      <c r="P291" s="2">
        <v>311</v>
      </c>
    </row>
    <row r="292" spans="1:16" x14ac:dyDescent="0.35">
      <c r="A292" s="3">
        <v>2024</v>
      </c>
      <c r="B292" s="3">
        <v>1</v>
      </c>
      <c r="C292" s="3">
        <v>18</v>
      </c>
      <c r="D292" s="2">
        <v>559</v>
      </c>
      <c r="E292" s="3" t="s">
        <v>1004</v>
      </c>
      <c r="F292" s="3">
        <v>1</v>
      </c>
      <c r="G292" s="3" t="s">
        <v>41</v>
      </c>
      <c r="H292" s="3" t="str">
        <f t="shared" si="18"/>
        <v>2012</v>
      </c>
      <c r="I292" s="3">
        <v>12</v>
      </c>
      <c r="J292" s="69"/>
      <c r="K292" t="s">
        <v>541</v>
      </c>
      <c r="L292" s="3" t="s">
        <v>461</v>
      </c>
      <c r="M292">
        <v>31.1</v>
      </c>
      <c r="N292" s="3">
        <v>350</v>
      </c>
      <c r="O292" s="3" t="str">
        <f t="shared" si="17"/>
        <v>2011</v>
      </c>
      <c r="P292" s="2">
        <v>559</v>
      </c>
    </row>
    <row r="293" spans="1:16" x14ac:dyDescent="0.35">
      <c r="A293" s="3">
        <v>2024</v>
      </c>
      <c r="B293" s="3">
        <v>8</v>
      </c>
      <c r="C293" s="3">
        <v>19</v>
      </c>
      <c r="D293" s="2">
        <v>790</v>
      </c>
      <c r="E293" s="3" t="s">
        <v>1170</v>
      </c>
      <c r="F293" s="3">
        <v>3</v>
      </c>
      <c r="G293" s="3" t="s">
        <v>225</v>
      </c>
      <c r="H293" s="3" t="str">
        <f t="shared" si="18"/>
        <v>2021</v>
      </c>
      <c r="I293" s="3">
        <v>3</v>
      </c>
      <c r="J293" s="69"/>
      <c r="K293">
        <v>3</v>
      </c>
      <c r="L293">
        <v>3</v>
      </c>
      <c r="M293">
        <v>64.099999999999994</v>
      </c>
      <c r="N293" s="3">
        <v>350</v>
      </c>
      <c r="O293" s="3" t="str">
        <f t="shared" si="17"/>
        <v>2021</v>
      </c>
      <c r="P293" s="2">
        <v>790</v>
      </c>
    </row>
    <row r="294" spans="1:16" x14ac:dyDescent="0.35">
      <c r="A294" s="3">
        <v>2023</v>
      </c>
      <c r="B294" s="3">
        <v>7</v>
      </c>
      <c r="C294" s="3">
        <v>17</v>
      </c>
      <c r="D294" s="2">
        <v>397</v>
      </c>
      <c r="E294" s="3" t="s">
        <v>862</v>
      </c>
      <c r="F294" s="3">
        <v>3</v>
      </c>
      <c r="G294" s="3" t="s">
        <v>45</v>
      </c>
      <c r="H294" s="3" t="str">
        <f t="shared" si="18"/>
        <v>2011</v>
      </c>
      <c r="I294" s="3">
        <v>12</v>
      </c>
      <c r="J294" s="69"/>
      <c r="K294" s="3" t="s">
        <v>632</v>
      </c>
      <c r="L294" s="3" t="s">
        <v>317</v>
      </c>
      <c r="M294" s="3">
        <v>31.2</v>
      </c>
      <c r="N294" s="3">
        <v>351</v>
      </c>
      <c r="O294" s="3" t="str">
        <f t="shared" si="17"/>
        <v>2007</v>
      </c>
      <c r="P294" s="2">
        <v>397</v>
      </c>
    </row>
    <row r="295" spans="1:16" x14ac:dyDescent="0.35">
      <c r="A295" s="3">
        <v>2024</v>
      </c>
      <c r="B295" s="3">
        <v>1</v>
      </c>
      <c r="C295" s="3">
        <v>19</v>
      </c>
      <c r="D295" s="2">
        <v>579</v>
      </c>
      <c r="E295" s="3" t="s">
        <v>1023</v>
      </c>
      <c r="F295" s="3">
        <v>1</v>
      </c>
      <c r="G295" s="3" t="s">
        <v>41</v>
      </c>
      <c r="H295" s="3" t="str">
        <f t="shared" si="18"/>
        <v>2013</v>
      </c>
      <c r="I295" s="3">
        <v>11</v>
      </c>
      <c r="J295" s="69"/>
      <c r="K295" t="s">
        <v>42</v>
      </c>
      <c r="L295" s="3" t="s">
        <v>318</v>
      </c>
      <c r="M295">
        <v>38</v>
      </c>
      <c r="N295" s="3">
        <v>351</v>
      </c>
      <c r="O295" s="3" t="str">
        <f t="shared" si="17"/>
        <v>2011</v>
      </c>
      <c r="P295" s="2">
        <v>579</v>
      </c>
    </row>
    <row r="296" spans="1:16" x14ac:dyDescent="0.35">
      <c r="A296" s="3">
        <v>2021</v>
      </c>
      <c r="B296" s="3" t="s">
        <v>28</v>
      </c>
      <c r="C296" s="3" t="s">
        <v>28</v>
      </c>
      <c r="D296" s="2">
        <v>12</v>
      </c>
      <c r="E296" s="3" t="s">
        <v>454</v>
      </c>
      <c r="F296" s="3" t="s">
        <v>28</v>
      </c>
      <c r="G296" s="3" t="s">
        <v>45</v>
      </c>
      <c r="H296" s="3" t="str">
        <f t="shared" si="18"/>
        <v>2011</v>
      </c>
      <c r="I296" s="3">
        <v>10</v>
      </c>
      <c r="J296" s="69"/>
      <c r="K296" s="3" t="s">
        <v>317</v>
      </c>
      <c r="L296" s="3" t="s">
        <v>317</v>
      </c>
      <c r="M296" s="3">
        <v>39.6</v>
      </c>
      <c r="N296" s="3">
        <v>352</v>
      </c>
      <c r="O296" s="3" t="str">
        <f t="shared" si="17"/>
        <v>2007</v>
      </c>
      <c r="P296" s="2">
        <v>12</v>
      </c>
    </row>
    <row r="297" spans="1:16" x14ac:dyDescent="0.35">
      <c r="A297" s="3">
        <v>2024</v>
      </c>
      <c r="B297" s="3">
        <v>1</v>
      </c>
      <c r="C297" s="3">
        <v>22</v>
      </c>
      <c r="D297" s="2">
        <v>602</v>
      </c>
      <c r="E297" s="3" t="s">
        <v>132</v>
      </c>
      <c r="F297" s="3">
        <v>1</v>
      </c>
      <c r="G297" s="3" t="s">
        <v>20</v>
      </c>
      <c r="H297" s="3" t="str">
        <f t="shared" si="18"/>
        <v>2020</v>
      </c>
      <c r="I297" s="3">
        <v>4</v>
      </c>
      <c r="J297" s="69"/>
      <c r="K297" t="s">
        <v>233</v>
      </c>
      <c r="L297">
        <v>37</v>
      </c>
      <c r="M297">
        <v>42.6</v>
      </c>
      <c r="N297" s="3">
        <v>352</v>
      </c>
      <c r="O297" s="3" t="str">
        <f t="shared" si="17"/>
        <v>2018</v>
      </c>
      <c r="P297" s="2">
        <v>602</v>
      </c>
    </row>
    <row r="298" spans="1:16" x14ac:dyDescent="0.35">
      <c r="A298" s="3">
        <v>2016</v>
      </c>
      <c r="B298" s="3">
        <v>9</v>
      </c>
      <c r="C298" s="3">
        <v>2</v>
      </c>
      <c r="D298" s="2">
        <v>291</v>
      </c>
      <c r="E298" s="3" t="s">
        <v>757</v>
      </c>
      <c r="F298" s="3">
        <v>3</v>
      </c>
      <c r="G298" s="3" t="s">
        <v>41</v>
      </c>
      <c r="H298" s="3" t="str">
        <f t="shared" si="18"/>
        <v>2013</v>
      </c>
      <c r="I298" s="3">
        <v>3</v>
      </c>
      <c r="J298" s="69"/>
      <c r="K298" s="3" t="s">
        <v>42</v>
      </c>
      <c r="L298" s="3" t="s">
        <v>318</v>
      </c>
      <c r="M298" s="3">
        <v>37.299999999999997</v>
      </c>
      <c r="N298" s="3">
        <v>353</v>
      </c>
      <c r="O298" s="3" t="str">
        <f t="shared" si="17"/>
        <v>2011</v>
      </c>
      <c r="P298" s="2">
        <v>291</v>
      </c>
    </row>
    <row r="299" spans="1:16" x14ac:dyDescent="0.35">
      <c r="A299" s="3">
        <v>2024</v>
      </c>
      <c r="B299" s="3">
        <v>1</v>
      </c>
      <c r="C299" s="3">
        <v>17</v>
      </c>
      <c r="D299" s="2">
        <v>567</v>
      </c>
      <c r="E299" s="3" t="s">
        <v>1012</v>
      </c>
      <c r="F299" s="3">
        <v>1</v>
      </c>
      <c r="G299" s="3" t="s">
        <v>41</v>
      </c>
      <c r="H299" s="3" t="str">
        <f t="shared" si="18"/>
        <v>2013</v>
      </c>
      <c r="I299" s="3">
        <v>11</v>
      </c>
      <c r="J299" s="69"/>
      <c r="K299" t="s">
        <v>42</v>
      </c>
      <c r="L299" s="3" t="s">
        <v>318</v>
      </c>
      <c r="M299">
        <v>40.9</v>
      </c>
      <c r="N299" s="3">
        <v>353</v>
      </c>
      <c r="O299" s="3" t="str">
        <f t="shared" si="17"/>
        <v>2011</v>
      </c>
      <c r="P299" s="2">
        <v>567</v>
      </c>
    </row>
    <row r="300" spans="1:16" x14ac:dyDescent="0.35">
      <c r="A300" s="3">
        <v>2019</v>
      </c>
      <c r="B300" s="3">
        <v>11</v>
      </c>
      <c r="C300" s="3">
        <v>27</v>
      </c>
      <c r="D300" s="2">
        <v>46</v>
      </c>
      <c r="E300" s="3" t="s">
        <v>489</v>
      </c>
      <c r="F300" s="3">
        <v>4</v>
      </c>
      <c r="G300" s="3" t="s">
        <v>45</v>
      </c>
      <c r="H300" s="3" t="str">
        <f t="shared" si="18"/>
        <v>2009</v>
      </c>
      <c r="I300" s="3">
        <v>10</v>
      </c>
      <c r="J300" s="69"/>
      <c r="K300" s="3" t="s">
        <v>488</v>
      </c>
      <c r="L300" s="3" t="s">
        <v>488</v>
      </c>
      <c r="M300" s="3">
        <v>44.2</v>
      </c>
      <c r="N300" s="3">
        <v>354</v>
      </c>
      <c r="O300" s="3" t="str">
        <f t="shared" si="17"/>
        <v>2007</v>
      </c>
      <c r="P300" s="2">
        <v>46</v>
      </c>
    </row>
    <row r="301" spans="1:16" x14ac:dyDescent="0.35">
      <c r="A301" s="3">
        <v>2018</v>
      </c>
      <c r="B301" s="3">
        <v>8</v>
      </c>
      <c r="C301" s="3">
        <v>16</v>
      </c>
      <c r="D301" s="2">
        <v>332</v>
      </c>
      <c r="E301" s="3" t="s">
        <v>799</v>
      </c>
      <c r="F301" s="3">
        <v>3</v>
      </c>
      <c r="G301" s="3" t="s">
        <v>45</v>
      </c>
      <c r="H301" s="3" t="str">
        <f t="shared" si="18"/>
        <v>2011</v>
      </c>
      <c r="I301" s="3">
        <v>7</v>
      </c>
      <c r="J301" s="69"/>
      <c r="K301" s="3" t="s">
        <v>632</v>
      </c>
      <c r="L301" s="3" t="s">
        <v>317</v>
      </c>
      <c r="M301" s="3">
        <v>32.6</v>
      </c>
      <c r="N301" s="3">
        <v>354</v>
      </c>
      <c r="O301" s="3" t="str">
        <f t="shared" si="17"/>
        <v>2007</v>
      </c>
      <c r="P301" s="2">
        <v>332</v>
      </c>
    </row>
    <row r="302" spans="1:16" x14ac:dyDescent="0.35">
      <c r="A302" s="3">
        <v>2024</v>
      </c>
      <c r="B302" s="3">
        <v>1</v>
      </c>
      <c r="C302" s="3">
        <v>24</v>
      </c>
      <c r="D302" s="2">
        <v>550</v>
      </c>
      <c r="E302" s="3" t="s">
        <v>997</v>
      </c>
      <c r="F302" s="3">
        <v>1</v>
      </c>
      <c r="G302" s="3" t="s">
        <v>20</v>
      </c>
      <c r="H302" s="3" t="str">
        <f t="shared" si="18"/>
        <v>2018</v>
      </c>
      <c r="I302" s="3">
        <v>6</v>
      </c>
      <c r="J302" s="69"/>
      <c r="K302" t="s">
        <v>998</v>
      </c>
      <c r="L302">
        <v>6</v>
      </c>
      <c r="M302">
        <v>44.9</v>
      </c>
      <c r="N302" s="3">
        <v>354</v>
      </c>
      <c r="O302" s="3" t="str">
        <f t="shared" si="17"/>
        <v>2018</v>
      </c>
      <c r="P302" s="2">
        <v>550</v>
      </c>
    </row>
    <row r="303" spans="1:16" x14ac:dyDescent="0.35">
      <c r="A303" s="3">
        <v>2024</v>
      </c>
      <c r="B303" s="3">
        <v>8</v>
      </c>
      <c r="C303" s="3">
        <v>13</v>
      </c>
      <c r="D303" s="2">
        <v>759</v>
      </c>
      <c r="E303" s="3" t="s">
        <v>1152</v>
      </c>
      <c r="F303" s="3">
        <v>3</v>
      </c>
      <c r="G303" s="3" t="s">
        <v>225</v>
      </c>
      <c r="H303" s="3" t="str">
        <f t="shared" si="18"/>
        <v>2021</v>
      </c>
      <c r="I303" s="3">
        <v>3</v>
      </c>
      <c r="J303" s="69"/>
      <c r="K303" s="6" t="s">
        <v>1076</v>
      </c>
      <c r="L303">
        <v>3</v>
      </c>
      <c r="M303">
        <v>39.9</v>
      </c>
      <c r="N303" s="3">
        <v>354</v>
      </c>
      <c r="O303" s="3" t="str">
        <f t="shared" si="17"/>
        <v>2021</v>
      </c>
      <c r="P303" s="2">
        <v>759</v>
      </c>
    </row>
    <row r="304" spans="1:16" x14ac:dyDescent="0.35">
      <c r="A304" s="3">
        <v>2022</v>
      </c>
      <c r="B304" s="3">
        <v>3</v>
      </c>
      <c r="C304" s="3" t="s">
        <v>28</v>
      </c>
      <c r="D304" s="2">
        <v>8</v>
      </c>
      <c r="E304" s="3" t="s">
        <v>451</v>
      </c>
      <c r="F304" s="3">
        <v>2</v>
      </c>
      <c r="G304" s="3" t="s">
        <v>20</v>
      </c>
      <c r="H304" s="3" t="str">
        <f t="shared" si="18"/>
        <v>2019</v>
      </c>
      <c r="I304" s="3">
        <v>3</v>
      </c>
      <c r="J304" s="69"/>
      <c r="K304" s="3">
        <v>23</v>
      </c>
      <c r="L304" s="3">
        <v>23</v>
      </c>
      <c r="M304" s="3">
        <v>39.5</v>
      </c>
      <c r="N304" s="3">
        <v>355</v>
      </c>
      <c r="O304" s="3" t="str">
        <f t="shared" si="17"/>
        <v>2018</v>
      </c>
      <c r="P304" s="2">
        <v>8</v>
      </c>
    </row>
    <row r="305" spans="1:16" x14ac:dyDescent="0.35">
      <c r="A305" s="3">
        <v>2022</v>
      </c>
      <c r="B305" s="3">
        <v>11</v>
      </c>
      <c r="C305" s="3">
        <v>7</v>
      </c>
      <c r="D305" s="2">
        <v>117</v>
      </c>
      <c r="E305" s="14" t="s">
        <v>563</v>
      </c>
      <c r="F305" s="15">
        <v>4</v>
      </c>
      <c r="G305" s="3" t="s">
        <v>41</v>
      </c>
      <c r="H305" s="3" t="str">
        <f t="shared" si="18"/>
        <v>2012</v>
      </c>
      <c r="I305" s="3">
        <v>10</v>
      </c>
      <c r="J305" s="69"/>
      <c r="K305" s="3" t="s">
        <v>461</v>
      </c>
      <c r="L305" s="3" t="s">
        <v>461</v>
      </c>
      <c r="M305" s="3">
        <v>36.1</v>
      </c>
      <c r="N305" s="3">
        <v>355</v>
      </c>
      <c r="O305" s="3" t="str">
        <f t="shared" si="17"/>
        <v>2011</v>
      </c>
      <c r="P305" s="2">
        <v>117</v>
      </c>
    </row>
    <row r="306" spans="1:16" x14ac:dyDescent="0.35">
      <c r="A306" s="3">
        <v>2016</v>
      </c>
      <c r="B306" s="3">
        <v>11</v>
      </c>
      <c r="C306" s="3">
        <v>16</v>
      </c>
      <c r="D306" s="2">
        <v>180</v>
      </c>
      <c r="E306" s="3" t="s">
        <v>630</v>
      </c>
      <c r="F306" s="3">
        <v>4</v>
      </c>
      <c r="G306" s="3" t="s">
        <v>41</v>
      </c>
      <c r="H306" s="3" t="str">
        <f t="shared" si="18"/>
        <v>2013</v>
      </c>
      <c r="I306" s="3">
        <v>3</v>
      </c>
      <c r="J306" s="69"/>
      <c r="K306" s="3" t="s">
        <v>49</v>
      </c>
      <c r="L306" s="3" t="s">
        <v>318</v>
      </c>
      <c r="M306" s="3">
        <v>37.1</v>
      </c>
      <c r="N306" s="3">
        <v>355</v>
      </c>
      <c r="O306" s="3" t="str">
        <f t="shared" si="17"/>
        <v>2011</v>
      </c>
      <c r="P306" s="2">
        <v>180</v>
      </c>
    </row>
    <row r="307" spans="1:16" x14ac:dyDescent="0.35">
      <c r="A307" s="3">
        <v>2023</v>
      </c>
      <c r="B307" s="3">
        <v>7</v>
      </c>
      <c r="C307" s="3">
        <v>17</v>
      </c>
      <c r="D307" s="2">
        <v>389</v>
      </c>
      <c r="E307" s="3" t="s">
        <v>854</v>
      </c>
      <c r="F307" s="3">
        <v>3</v>
      </c>
      <c r="G307" s="3" t="s">
        <v>45</v>
      </c>
      <c r="H307" s="3" t="str">
        <f t="shared" si="18"/>
        <v>2011</v>
      </c>
      <c r="I307" s="3">
        <v>12</v>
      </c>
      <c r="J307" s="69"/>
      <c r="K307" s="3" t="s">
        <v>632</v>
      </c>
      <c r="L307" s="3" t="s">
        <v>317</v>
      </c>
      <c r="M307" s="3">
        <v>31.8</v>
      </c>
      <c r="N307" s="3">
        <v>355</v>
      </c>
      <c r="O307" s="3" t="str">
        <f t="shared" si="17"/>
        <v>2007</v>
      </c>
      <c r="P307" s="2">
        <v>389</v>
      </c>
    </row>
    <row r="308" spans="1:16" x14ac:dyDescent="0.35">
      <c r="A308" s="3">
        <v>2024</v>
      </c>
      <c r="B308" s="3">
        <v>3</v>
      </c>
      <c r="C308" s="3">
        <v>12</v>
      </c>
      <c r="D308" s="2">
        <v>686</v>
      </c>
      <c r="E308" s="3" t="s">
        <v>1107</v>
      </c>
      <c r="F308" s="3">
        <v>2</v>
      </c>
      <c r="G308" s="3" t="s">
        <v>45</v>
      </c>
      <c r="H308" s="3" t="str">
        <f t="shared" si="18"/>
        <v>2011</v>
      </c>
      <c r="I308" s="3">
        <v>13</v>
      </c>
      <c r="J308" s="69"/>
      <c r="K308" t="s">
        <v>1105</v>
      </c>
      <c r="L308" t="s">
        <v>317</v>
      </c>
      <c r="M308">
        <v>39.799999999999997</v>
      </c>
      <c r="N308" s="3">
        <v>355</v>
      </c>
      <c r="O308" s="3" t="str">
        <f t="shared" si="17"/>
        <v>2007</v>
      </c>
      <c r="P308" s="2">
        <v>686</v>
      </c>
    </row>
    <row r="309" spans="1:16" x14ac:dyDescent="0.35">
      <c r="A309" s="3">
        <v>2024</v>
      </c>
      <c r="B309" s="3">
        <v>8</v>
      </c>
      <c r="C309" s="3">
        <v>6</v>
      </c>
      <c r="D309" s="2">
        <v>704</v>
      </c>
      <c r="E309" s="3" t="s">
        <v>240</v>
      </c>
      <c r="F309" s="3">
        <v>3</v>
      </c>
      <c r="G309" s="3" t="s">
        <v>20</v>
      </c>
      <c r="H309" s="3" t="str">
        <f t="shared" si="18"/>
        <v>2020</v>
      </c>
      <c r="I309" s="3">
        <v>4</v>
      </c>
      <c r="J309" s="69"/>
      <c r="K309" t="s">
        <v>233</v>
      </c>
      <c r="L309">
        <v>37</v>
      </c>
      <c r="M309">
        <v>34.6</v>
      </c>
      <c r="N309" s="3">
        <v>355</v>
      </c>
      <c r="O309" s="3" t="str">
        <f t="shared" si="17"/>
        <v>2018</v>
      </c>
      <c r="P309" s="2">
        <v>704</v>
      </c>
    </row>
    <row r="310" spans="1:16" x14ac:dyDescent="0.35">
      <c r="A310" s="3">
        <v>2019</v>
      </c>
      <c r="B310" s="3">
        <v>8</v>
      </c>
      <c r="C310" s="3">
        <v>9</v>
      </c>
      <c r="D310" s="2">
        <v>314</v>
      </c>
      <c r="E310" s="3" t="s">
        <v>781</v>
      </c>
      <c r="F310" s="3">
        <v>3</v>
      </c>
      <c r="G310" s="3" t="s">
        <v>45</v>
      </c>
      <c r="H310" s="3" t="str">
        <f t="shared" si="18"/>
        <v>2011</v>
      </c>
      <c r="I310" s="3">
        <v>8</v>
      </c>
      <c r="J310" s="69"/>
      <c r="K310" s="3" t="s">
        <v>317</v>
      </c>
      <c r="L310" s="3" t="s">
        <v>317</v>
      </c>
      <c r="M310" s="3">
        <v>27.6</v>
      </c>
      <c r="N310" s="3">
        <v>356</v>
      </c>
      <c r="O310" s="3" t="str">
        <f t="shared" si="17"/>
        <v>2007</v>
      </c>
      <c r="P310" s="2">
        <v>314</v>
      </c>
    </row>
    <row r="311" spans="1:16" x14ac:dyDescent="0.35">
      <c r="A311" s="3">
        <v>2018</v>
      </c>
      <c r="B311" s="3">
        <v>8</v>
      </c>
      <c r="C311" s="3">
        <v>16</v>
      </c>
      <c r="D311" s="2">
        <v>327</v>
      </c>
      <c r="E311" s="3" t="s">
        <v>794</v>
      </c>
      <c r="F311" s="3">
        <v>3</v>
      </c>
      <c r="G311" s="3" t="s">
        <v>45</v>
      </c>
      <c r="H311" s="3" t="str">
        <f t="shared" si="18"/>
        <v>2011</v>
      </c>
      <c r="I311" s="3">
        <v>7</v>
      </c>
      <c r="J311" s="69"/>
      <c r="K311" s="3" t="s">
        <v>647</v>
      </c>
      <c r="L311" s="3" t="s">
        <v>317</v>
      </c>
      <c r="M311" s="3">
        <v>37.799999999999997</v>
      </c>
      <c r="N311" s="3">
        <v>356</v>
      </c>
      <c r="O311" s="3" t="str">
        <f t="shared" si="17"/>
        <v>2007</v>
      </c>
      <c r="P311" s="2">
        <v>327</v>
      </c>
    </row>
    <row r="312" spans="1:16" x14ac:dyDescent="0.35">
      <c r="A312" s="3">
        <v>2023</v>
      </c>
      <c r="B312" s="3">
        <v>11</v>
      </c>
      <c r="C312" s="3">
        <v>7</v>
      </c>
      <c r="D312" s="2">
        <v>503</v>
      </c>
      <c r="E312" s="3" t="s">
        <v>957</v>
      </c>
      <c r="F312" s="3">
        <v>4</v>
      </c>
      <c r="G312" s="3" t="s">
        <v>41</v>
      </c>
      <c r="H312" s="3" t="str">
        <f t="shared" si="18"/>
        <v>2012</v>
      </c>
      <c r="I312" s="3">
        <v>11</v>
      </c>
      <c r="J312" s="69"/>
      <c r="K312" s="3" t="s">
        <v>958</v>
      </c>
      <c r="L312" s="3" t="s">
        <v>461</v>
      </c>
      <c r="M312" s="3">
        <v>34.5</v>
      </c>
      <c r="N312" s="3">
        <v>357</v>
      </c>
      <c r="O312" s="3" t="str">
        <f t="shared" si="17"/>
        <v>2011</v>
      </c>
      <c r="P312" s="2">
        <v>503</v>
      </c>
    </row>
    <row r="313" spans="1:16" x14ac:dyDescent="0.35">
      <c r="A313" s="3">
        <v>2024</v>
      </c>
      <c r="B313" s="3">
        <v>8</v>
      </c>
      <c r="C313" s="3">
        <v>19</v>
      </c>
      <c r="D313" s="2">
        <v>743</v>
      </c>
      <c r="E313" s="3" t="s">
        <v>255</v>
      </c>
      <c r="F313" s="3">
        <v>3</v>
      </c>
      <c r="G313" s="3" t="s">
        <v>225</v>
      </c>
      <c r="H313" s="3" t="str">
        <f t="shared" si="18"/>
        <v>2021</v>
      </c>
      <c r="I313" s="3">
        <v>3</v>
      </c>
      <c r="J313" s="69"/>
      <c r="K313">
        <v>3</v>
      </c>
      <c r="L313">
        <v>3</v>
      </c>
      <c r="M313">
        <v>45.2</v>
      </c>
      <c r="N313" s="3">
        <v>357</v>
      </c>
      <c r="O313" s="3" t="str">
        <f t="shared" si="17"/>
        <v>2021</v>
      </c>
      <c r="P313" s="2">
        <v>743</v>
      </c>
    </row>
    <row r="314" spans="1:16" x14ac:dyDescent="0.35">
      <c r="A314" s="3">
        <v>2017</v>
      </c>
      <c r="B314" s="3">
        <v>11</v>
      </c>
      <c r="C314" s="3">
        <v>9</v>
      </c>
      <c r="D314" s="2">
        <v>80</v>
      </c>
      <c r="E314" s="14" t="s">
        <v>525</v>
      </c>
      <c r="F314" s="15">
        <v>4</v>
      </c>
      <c r="G314" s="3" t="s">
        <v>45</v>
      </c>
      <c r="H314" s="3" t="str">
        <f t="shared" si="18"/>
        <v>2011</v>
      </c>
      <c r="I314" s="3">
        <v>6</v>
      </c>
      <c r="J314" s="69"/>
      <c r="K314" s="3" t="s">
        <v>317</v>
      </c>
      <c r="L314" s="3" t="s">
        <v>317</v>
      </c>
      <c r="M314" s="3">
        <v>37.9</v>
      </c>
      <c r="N314" s="3">
        <v>358</v>
      </c>
      <c r="O314" s="3" t="str">
        <f t="shared" si="17"/>
        <v>2007</v>
      </c>
      <c r="P314" s="2">
        <v>80</v>
      </c>
    </row>
    <row r="315" spans="1:16" x14ac:dyDescent="0.35">
      <c r="A315" s="3">
        <v>2019</v>
      </c>
      <c r="B315" s="3">
        <v>8</v>
      </c>
      <c r="C315" s="3">
        <v>6</v>
      </c>
      <c r="D315" s="2">
        <v>316</v>
      </c>
      <c r="E315" s="3" t="s">
        <v>37</v>
      </c>
      <c r="F315" s="3">
        <v>3</v>
      </c>
      <c r="G315" s="3" t="s">
        <v>226</v>
      </c>
      <c r="H315" s="3" t="str">
        <f t="shared" si="18"/>
        <v>2017</v>
      </c>
      <c r="I315" s="3">
        <v>2</v>
      </c>
      <c r="J315" s="69"/>
      <c r="K315" s="3" t="s">
        <v>783</v>
      </c>
      <c r="L315" s="3">
        <v>7</v>
      </c>
      <c r="M315" s="3">
        <v>37.299999999999997</v>
      </c>
      <c r="N315" s="3">
        <v>360</v>
      </c>
      <c r="O315" s="3" t="str">
        <f t="shared" si="17"/>
        <v>2017</v>
      </c>
      <c r="P315" s="2">
        <v>316</v>
      </c>
    </row>
    <row r="316" spans="1:16" x14ac:dyDescent="0.35">
      <c r="A316" s="3">
        <v>2024</v>
      </c>
      <c r="B316" s="3">
        <v>8</v>
      </c>
      <c r="C316" s="3">
        <v>13</v>
      </c>
      <c r="D316" s="2">
        <v>716</v>
      </c>
      <c r="E316" s="3" t="s">
        <v>1132</v>
      </c>
      <c r="F316" s="3">
        <v>3</v>
      </c>
      <c r="G316" s="3" t="s">
        <v>225</v>
      </c>
      <c r="H316" s="3" t="str">
        <f t="shared" si="18"/>
        <v>2022</v>
      </c>
      <c r="I316" s="3">
        <v>2</v>
      </c>
      <c r="J316" s="69"/>
      <c r="K316" t="s">
        <v>67</v>
      </c>
      <c r="L316">
        <v>2</v>
      </c>
      <c r="M316">
        <v>43.8</v>
      </c>
      <c r="N316" s="3">
        <v>360</v>
      </c>
      <c r="O316" s="3" t="str">
        <f t="shared" si="17"/>
        <v>2021</v>
      </c>
      <c r="P316" s="2">
        <v>716</v>
      </c>
    </row>
    <row r="317" spans="1:16" x14ac:dyDescent="0.35">
      <c r="A317" s="3">
        <v>2016</v>
      </c>
      <c r="B317" s="3">
        <v>9</v>
      </c>
      <c r="C317" s="3">
        <v>1</v>
      </c>
      <c r="D317" s="2">
        <v>238</v>
      </c>
      <c r="E317" s="3" t="s">
        <v>696</v>
      </c>
      <c r="F317" s="3">
        <v>3</v>
      </c>
      <c r="G317" s="3" t="s">
        <v>45</v>
      </c>
      <c r="H317" s="3" t="str">
        <f t="shared" si="18"/>
        <v>2011</v>
      </c>
      <c r="I317" s="3">
        <v>5</v>
      </c>
      <c r="J317" s="69"/>
      <c r="K317" s="3" t="s">
        <v>647</v>
      </c>
      <c r="L317" s="3" t="s">
        <v>317</v>
      </c>
      <c r="M317" s="3">
        <v>42.3</v>
      </c>
      <c r="N317" s="3">
        <v>361</v>
      </c>
      <c r="O317" s="3" t="str">
        <f t="shared" si="17"/>
        <v>2007</v>
      </c>
      <c r="P317" s="2">
        <v>238</v>
      </c>
    </row>
    <row r="318" spans="1:16" x14ac:dyDescent="0.35">
      <c r="A318" s="3">
        <v>2024</v>
      </c>
      <c r="B318" s="3">
        <v>8</v>
      </c>
      <c r="C318" s="3">
        <v>8</v>
      </c>
      <c r="D318" s="2">
        <v>707</v>
      </c>
      <c r="E318" s="3" t="s">
        <v>1124</v>
      </c>
      <c r="F318" s="3">
        <v>3</v>
      </c>
      <c r="G318" s="3" t="s">
        <v>45</v>
      </c>
      <c r="H318" s="3" t="str">
        <f t="shared" si="18"/>
        <v>2011</v>
      </c>
      <c r="I318" s="3">
        <v>13</v>
      </c>
      <c r="J318" s="69"/>
      <c r="K318" t="s">
        <v>632</v>
      </c>
      <c r="L318" t="s">
        <v>317</v>
      </c>
      <c r="M318">
        <v>42.8</v>
      </c>
      <c r="N318" s="3">
        <v>362</v>
      </c>
      <c r="O318" s="3" t="str">
        <f t="shared" si="17"/>
        <v>2007</v>
      </c>
      <c r="P318" s="2">
        <v>707</v>
      </c>
    </row>
    <row r="319" spans="1:16" x14ac:dyDescent="0.35">
      <c r="A319" s="3">
        <v>2023</v>
      </c>
      <c r="B319" s="3">
        <v>7</v>
      </c>
      <c r="C319" s="3">
        <v>17</v>
      </c>
      <c r="D319" s="2">
        <v>384</v>
      </c>
      <c r="E319" s="3" t="s">
        <v>849</v>
      </c>
      <c r="F319" s="3">
        <v>3</v>
      </c>
      <c r="G319" s="3" t="s">
        <v>45</v>
      </c>
      <c r="H319" s="3" t="str">
        <f t="shared" si="18"/>
        <v>2011</v>
      </c>
      <c r="I319" s="3">
        <v>12</v>
      </c>
      <c r="J319" s="69"/>
      <c r="K319" s="3" t="s">
        <v>46</v>
      </c>
      <c r="L319" s="3" t="s">
        <v>317</v>
      </c>
      <c r="M319" s="3">
        <v>32.1</v>
      </c>
      <c r="N319" s="3">
        <v>363</v>
      </c>
      <c r="O319" s="3" t="str">
        <f t="shared" si="17"/>
        <v>2007</v>
      </c>
      <c r="P319" s="2">
        <v>384</v>
      </c>
    </row>
    <row r="320" spans="1:16" x14ac:dyDescent="0.35">
      <c r="A320" s="3">
        <v>2023</v>
      </c>
      <c r="B320" s="3">
        <v>11</v>
      </c>
      <c r="C320" s="3">
        <v>2</v>
      </c>
      <c r="D320" s="2">
        <v>524</v>
      </c>
      <c r="E320" s="3" t="s">
        <v>976</v>
      </c>
      <c r="F320" s="3">
        <v>4</v>
      </c>
      <c r="G320" s="3" t="s">
        <v>45</v>
      </c>
      <c r="H320" s="3" t="str">
        <f t="shared" si="18"/>
        <v>2011</v>
      </c>
      <c r="I320" s="3">
        <v>12</v>
      </c>
      <c r="J320" s="69"/>
      <c r="K320" s="3" t="s">
        <v>977</v>
      </c>
      <c r="L320" s="3" t="s">
        <v>317</v>
      </c>
      <c r="M320" s="3">
        <v>37.9</v>
      </c>
      <c r="N320" s="3">
        <v>363</v>
      </c>
      <c r="O320" s="3" t="str">
        <f t="shared" si="17"/>
        <v>2007</v>
      </c>
      <c r="P320" s="2">
        <v>524</v>
      </c>
    </row>
    <row r="321" spans="1:16" x14ac:dyDescent="0.35">
      <c r="A321" s="3">
        <v>2024</v>
      </c>
      <c r="B321" s="3">
        <v>1</v>
      </c>
      <c r="C321" s="3">
        <v>18</v>
      </c>
      <c r="D321" s="2">
        <v>560</v>
      </c>
      <c r="E321" s="3" t="s">
        <v>1005</v>
      </c>
      <c r="F321" s="3">
        <v>1</v>
      </c>
      <c r="G321" s="3" t="s">
        <v>41</v>
      </c>
      <c r="H321" s="3" t="str">
        <f t="shared" si="18"/>
        <v>2012</v>
      </c>
      <c r="I321" s="3">
        <v>12</v>
      </c>
      <c r="J321" s="69"/>
      <c r="K321" t="s">
        <v>541</v>
      </c>
      <c r="L321" s="3" t="s">
        <v>461</v>
      </c>
      <c r="M321">
        <v>35.299999999999997</v>
      </c>
      <c r="N321" s="3">
        <v>363</v>
      </c>
      <c r="O321" s="3" t="str">
        <f t="shared" si="17"/>
        <v>2011</v>
      </c>
      <c r="P321" s="2">
        <v>560</v>
      </c>
    </row>
    <row r="322" spans="1:16" x14ac:dyDescent="0.35">
      <c r="A322" s="3">
        <v>2024</v>
      </c>
      <c r="B322" s="3">
        <v>8</v>
      </c>
      <c r="C322" s="3">
        <v>20</v>
      </c>
      <c r="D322" s="2">
        <v>724</v>
      </c>
      <c r="E322" s="3" t="s">
        <v>1140</v>
      </c>
      <c r="F322" s="3">
        <v>3</v>
      </c>
      <c r="G322" s="3" t="s">
        <v>226</v>
      </c>
      <c r="H322" s="3" t="str">
        <f t="shared" si="18"/>
        <v>2017</v>
      </c>
      <c r="I322" s="3">
        <v>7</v>
      </c>
      <c r="J322" s="69"/>
      <c r="K322" t="s">
        <v>783</v>
      </c>
      <c r="L322">
        <v>7</v>
      </c>
      <c r="M322">
        <v>40.700000000000003</v>
      </c>
      <c r="N322" s="3">
        <v>363</v>
      </c>
      <c r="O322" s="3" t="str">
        <f t="shared" ref="O322:O385" si="19">IF(G322="PHD", "2007", IF(G322="TSL", "2011", IF(G322 = "SRS", "2018", IF(G322="WCA 3B", "2017", IF(G322="WCA 3A", "2021")))))</f>
        <v>2017</v>
      </c>
      <c r="P322" s="2">
        <v>724</v>
      </c>
    </row>
    <row r="323" spans="1:16" x14ac:dyDescent="0.35">
      <c r="A323" s="3">
        <v>2023</v>
      </c>
      <c r="B323" s="3">
        <v>8</v>
      </c>
      <c r="C323" s="3">
        <v>2</v>
      </c>
      <c r="D323" s="2">
        <v>423</v>
      </c>
      <c r="E323" s="3" t="s">
        <v>884</v>
      </c>
      <c r="F323" s="3">
        <v>3</v>
      </c>
      <c r="G323" s="3" t="s">
        <v>226</v>
      </c>
      <c r="H323" s="3" t="str">
        <f t="shared" si="18"/>
        <v>2017</v>
      </c>
      <c r="I323" s="3">
        <v>6</v>
      </c>
      <c r="J323" s="69"/>
      <c r="K323" s="3" t="s">
        <v>64</v>
      </c>
      <c r="L323" s="3">
        <v>7</v>
      </c>
      <c r="M323" s="3">
        <v>36.4</v>
      </c>
      <c r="N323" s="3">
        <v>363.2</v>
      </c>
      <c r="O323" s="3" t="str">
        <f t="shared" si="19"/>
        <v>2017</v>
      </c>
      <c r="P323" s="2">
        <v>423</v>
      </c>
    </row>
    <row r="324" spans="1:16" x14ac:dyDescent="0.35">
      <c r="A324" s="3">
        <v>2022</v>
      </c>
      <c r="B324" s="3">
        <v>1</v>
      </c>
      <c r="C324" s="3" t="s">
        <v>28</v>
      </c>
      <c r="D324" s="2">
        <v>24</v>
      </c>
      <c r="E324" s="3" t="s">
        <v>466</v>
      </c>
      <c r="F324" s="3">
        <v>1</v>
      </c>
      <c r="G324" s="3" t="s">
        <v>20</v>
      </c>
      <c r="H324" s="3" t="str">
        <f t="shared" si="18"/>
        <v>2019</v>
      </c>
      <c r="I324" s="3">
        <v>3</v>
      </c>
      <c r="J324" s="69"/>
      <c r="K324" s="3">
        <v>23</v>
      </c>
      <c r="L324" s="3">
        <v>23</v>
      </c>
      <c r="M324" s="3">
        <v>44.1</v>
      </c>
      <c r="N324" s="3">
        <v>364</v>
      </c>
      <c r="O324" s="3" t="str">
        <f t="shared" si="19"/>
        <v>2018</v>
      </c>
      <c r="P324" s="2">
        <v>24</v>
      </c>
    </row>
    <row r="325" spans="1:16" x14ac:dyDescent="0.35">
      <c r="A325" s="3">
        <v>2023</v>
      </c>
      <c r="B325" s="3">
        <v>7</v>
      </c>
      <c r="C325" s="3">
        <v>28</v>
      </c>
      <c r="D325" s="2">
        <v>438</v>
      </c>
      <c r="E325" s="3" t="s">
        <v>900</v>
      </c>
      <c r="F325" s="3">
        <v>3</v>
      </c>
      <c r="G325" s="3" t="s">
        <v>225</v>
      </c>
      <c r="H325" s="3" t="str">
        <f t="shared" si="18"/>
        <v>2021</v>
      </c>
      <c r="I325" s="3">
        <v>2</v>
      </c>
      <c r="J325" s="69"/>
      <c r="K325" s="3" t="s">
        <v>898</v>
      </c>
      <c r="L325" s="3">
        <v>4</v>
      </c>
      <c r="M325" s="3">
        <v>51.1</v>
      </c>
      <c r="N325" s="3">
        <v>364</v>
      </c>
      <c r="O325" s="3" t="str">
        <f t="shared" si="19"/>
        <v>2021</v>
      </c>
      <c r="P325" s="2">
        <v>438</v>
      </c>
    </row>
    <row r="326" spans="1:16" x14ac:dyDescent="0.35">
      <c r="A326" s="3">
        <v>2024</v>
      </c>
      <c r="B326" s="3">
        <v>8</v>
      </c>
      <c r="C326" s="3">
        <v>7</v>
      </c>
      <c r="D326" s="2">
        <v>806</v>
      </c>
      <c r="E326" s="3" t="s">
        <v>293</v>
      </c>
      <c r="F326" s="3">
        <v>3</v>
      </c>
      <c r="G326" s="3" t="s">
        <v>20</v>
      </c>
      <c r="H326" s="3" t="str">
        <f t="shared" si="18"/>
        <v>2018</v>
      </c>
      <c r="I326" s="3">
        <v>6</v>
      </c>
      <c r="J326" s="69"/>
      <c r="K326" t="s">
        <v>234</v>
      </c>
      <c r="L326">
        <v>6</v>
      </c>
      <c r="M326">
        <v>40.200000000000003</v>
      </c>
      <c r="N326" s="3">
        <v>364</v>
      </c>
      <c r="O326" s="3" t="str">
        <f t="shared" si="19"/>
        <v>2018</v>
      </c>
      <c r="P326" s="2">
        <v>806</v>
      </c>
    </row>
    <row r="327" spans="1:16" x14ac:dyDescent="0.35">
      <c r="A327" s="3">
        <v>2024</v>
      </c>
      <c r="B327">
        <v>8</v>
      </c>
      <c r="C327" s="3">
        <v>19</v>
      </c>
      <c r="D327" s="2">
        <v>813</v>
      </c>
      <c r="E327" s="3" t="s">
        <v>299</v>
      </c>
      <c r="F327" s="3">
        <v>3</v>
      </c>
      <c r="G327" s="3" t="s">
        <v>225</v>
      </c>
      <c r="H327" s="3" t="str">
        <f t="shared" ref="H327:H390" si="20">IF(L327="A55","2009",IF(L327="A59","2009",IF(L327="A60","2010",IF(L327="A62","2011",IF(L327="CP","2013",IF(L327="MD","2012",IF(L327="TS","2013",IF(L327="DL","2018",IF(L327="SCU","2018",IF(L327="NCU","2018",IF(L327="C1C","2018",IF(L327="C1E","2018",IF(L327="RS1S","2018",IF(L327="C2B","2018",IF(L327="DB3","2018",IF(AND(L327=6,G327="SRS"),"2018",IF(AND(L327=7,G327="SRS"),"2020",IF(AND(L327=8,G327="SRS"),"2020",IF(L327=23,"2019",IF(AND(L327=7,G327="WCA 3B"),"2017",IF(AND(L327=8,G327="WCA 3B"),"2019",IF(L327=1,"2021",IF(L327=2,"2022",IF(L327=3,"2021",IF(L327=4,"2021",IF(L327=5,"2022",IF(AND(L327=6,G327="WCA 3A"),"2022",IF(L327=9,"2023",IF(L327=10,"2023",IF(L327=37,"2020"))))))))))))))))))))))))))))))</f>
        <v>2021</v>
      </c>
      <c r="I327" s="3">
        <v>3</v>
      </c>
      <c r="J327" s="69"/>
      <c r="K327">
        <v>3</v>
      </c>
      <c r="L327">
        <v>3</v>
      </c>
      <c r="M327">
        <v>58.9</v>
      </c>
      <c r="N327" s="3">
        <v>364</v>
      </c>
      <c r="O327" s="3" t="str">
        <f t="shared" si="19"/>
        <v>2021</v>
      </c>
      <c r="P327" s="2">
        <v>813</v>
      </c>
    </row>
    <row r="328" spans="1:16" x14ac:dyDescent="0.35">
      <c r="A328" s="3">
        <v>2021</v>
      </c>
      <c r="B328" s="3">
        <v>10</v>
      </c>
      <c r="C328" s="3" t="s">
        <v>28</v>
      </c>
      <c r="D328" s="2">
        <v>35</v>
      </c>
      <c r="E328" s="3" t="s">
        <v>477</v>
      </c>
      <c r="F328" s="3">
        <v>4</v>
      </c>
      <c r="G328" s="3" t="s">
        <v>41</v>
      </c>
      <c r="H328" s="3" t="str">
        <f t="shared" si="20"/>
        <v>2012</v>
      </c>
      <c r="I328" s="3">
        <v>9</v>
      </c>
      <c r="J328" s="69"/>
      <c r="K328" s="3" t="s">
        <v>461</v>
      </c>
      <c r="L328" s="3" t="s">
        <v>461</v>
      </c>
      <c r="M328" s="3">
        <v>56.2</v>
      </c>
      <c r="N328" s="3">
        <v>365</v>
      </c>
      <c r="O328" s="3" t="str">
        <f t="shared" si="19"/>
        <v>2011</v>
      </c>
      <c r="P328" s="2">
        <v>35</v>
      </c>
    </row>
    <row r="329" spans="1:16" x14ac:dyDescent="0.35">
      <c r="A329" s="3">
        <v>2024</v>
      </c>
      <c r="B329" s="3">
        <v>4</v>
      </c>
      <c r="C329" s="3">
        <v>8</v>
      </c>
      <c r="D329" s="2">
        <v>677</v>
      </c>
      <c r="E329" s="3" t="s">
        <v>155</v>
      </c>
      <c r="F329" s="3">
        <v>2</v>
      </c>
      <c r="G329" s="3" t="s">
        <v>225</v>
      </c>
      <c r="H329" s="3" t="str">
        <f t="shared" si="20"/>
        <v>2021</v>
      </c>
      <c r="I329" s="3">
        <v>3</v>
      </c>
      <c r="J329" s="69"/>
      <c r="K329" t="s">
        <v>237</v>
      </c>
      <c r="L329">
        <v>3</v>
      </c>
      <c r="M329">
        <v>45.8</v>
      </c>
      <c r="N329" s="3">
        <v>365</v>
      </c>
      <c r="O329" s="3" t="str">
        <f t="shared" si="19"/>
        <v>2021</v>
      </c>
      <c r="P329" s="2">
        <v>677</v>
      </c>
    </row>
    <row r="330" spans="1:16" x14ac:dyDescent="0.35">
      <c r="A330" s="3">
        <v>2023</v>
      </c>
      <c r="B330" s="3">
        <v>7</v>
      </c>
      <c r="C330" s="3">
        <v>18</v>
      </c>
      <c r="D330" s="2">
        <v>343</v>
      </c>
      <c r="E330" s="3" t="s">
        <v>809</v>
      </c>
      <c r="F330" s="3">
        <v>3</v>
      </c>
      <c r="G330" s="3" t="s">
        <v>45</v>
      </c>
      <c r="H330" s="3" t="str">
        <f t="shared" si="20"/>
        <v>2009</v>
      </c>
      <c r="I330" s="3">
        <v>14</v>
      </c>
      <c r="J330" s="69"/>
      <c r="K330" s="3" t="s">
        <v>742</v>
      </c>
      <c r="L330" s="3" t="s">
        <v>488</v>
      </c>
      <c r="M330" s="3">
        <v>34.1</v>
      </c>
      <c r="N330" s="3">
        <v>366</v>
      </c>
      <c r="O330" s="3" t="str">
        <f t="shared" si="19"/>
        <v>2007</v>
      </c>
      <c r="P330" s="2">
        <v>343</v>
      </c>
    </row>
    <row r="331" spans="1:16" x14ac:dyDescent="0.35">
      <c r="A331" s="3">
        <v>2021</v>
      </c>
      <c r="B331" s="3">
        <v>4</v>
      </c>
      <c r="C331" s="3">
        <v>13</v>
      </c>
      <c r="D331" s="2">
        <v>493</v>
      </c>
      <c r="E331" s="3" t="s">
        <v>947</v>
      </c>
      <c r="F331" s="3">
        <v>2</v>
      </c>
      <c r="G331" s="3" t="s">
        <v>226</v>
      </c>
      <c r="H331" s="3" t="str">
        <f t="shared" si="20"/>
        <v>2018</v>
      </c>
      <c r="I331" s="3">
        <v>3</v>
      </c>
      <c r="J331" s="69"/>
      <c r="K331" s="3" t="s">
        <v>51</v>
      </c>
      <c r="L331" s="3" t="s">
        <v>942</v>
      </c>
      <c r="M331" s="16">
        <v>50</v>
      </c>
      <c r="N331" s="3">
        <v>367</v>
      </c>
      <c r="O331" s="3" t="str">
        <f t="shared" si="19"/>
        <v>2017</v>
      </c>
      <c r="P331" s="2">
        <v>493</v>
      </c>
    </row>
    <row r="332" spans="1:16" x14ac:dyDescent="0.35">
      <c r="A332" s="3">
        <v>2024</v>
      </c>
      <c r="B332" s="3">
        <v>4</v>
      </c>
      <c r="C332" s="3">
        <v>8</v>
      </c>
      <c r="D332" s="2">
        <v>678</v>
      </c>
      <c r="E332" s="3" t="s">
        <v>1099</v>
      </c>
      <c r="F332" s="3">
        <v>2</v>
      </c>
      <c r="G332" s="3" t="s">
        <v>225</v>
      </c>
      <c r="H332" s="3" t="str">
        <f t="shared" si="20"/>
        <v>2021</v>
      </c>
      <c r="I332" s="3">
        <v>3</v>
      </c>
      <c r="J332" s="69"/>
      <c r="K332" t="s">
        <v>237</v>
      </c>
      <c r="L332">
        <v>3</v>
      </c>
      <c r="M332">
        <v>46.9</v>
      </c>
      <c r="N332" s="3">
        <v>367</v>
      </c>
      <c r="O332" s="3" t="str">
        <f t="shared" si="19"/>
        <v>2021</v>
      </c>
      <c r="P332" s="2">
        <v>678</v>
      </c>
    </row>
    <row r="333" spans="1:16" x14ac:dyDescent="0.35">
      <c r="A333" s="3">
        <v>2019</v>
      </c>
      <c r="B333" s="3">
        <v>2</v>
      </c>
      <c r="C333" s="3">
        <v>21</v>
      </c>
      <c r="D333" s="2">
        <v>166</v>
      </c>
      <c r="E333" s="3" t="s">
        <v>614</v>
      </c>
      <c r="F333" s="3">
        <v>1</v>
      </c>
      <c r="G333" s="3" t="s">
        <v>45</v>
      </c>
      <c r="H333" s="3" t="str">
        <f t="shared" si="20"/>
        <v>2011</v>
      </c>
      <c r="I333" s="3">
        <v>8</v>
      </c>
      <c r="J333" s="69"/>
      <c r="K333" s="3" t="s">
        <v>615</v>
      </c>
      <c r="L333" s="3" t="s">
        <v>317</v>
      </c>
      <c r="M333" s="3">
        <v>38.6</v>
      </c>
      <c r="N333" s="3">
        <v>368</v>
      </c>
      <c r="O333" s="3" t="str">
        <f t="shared" si="19"/>
        <v>2007</v>
      </c>
      <c r="P333" s="2">
        <v>166</v>
      </c>
    </row>
    <row r="334" spans="1:16" x14ac:dyDescent="0.35">
      <c r="A334" s="3">
        <v>2019</v>
      </c>
      <c r="B334" s="3">
        <v>10</v>
      </c>
      <c r="C334" s="3">
        <v>29</v>
      </c>
      <c r="D334" s="2">
        <v>407</v>
      </c>
      <c r="E334" s="3" t="s">
        <v>871</v>
      </c>
      <c r="F334" s="3">
        <v>4</v>
      </c>
      <c r="G334" s="3" t="s">
        <v>226</v>
      </c>
      <c r="H334" s="3" t="str">
        <f t="shared" si="20"/>
        <v>2017</v>
      </c>
      <c r="I334" s="3">
        <v>2</v>
      </c>
      <c r="J334" s="69"/>
      <c r="K334" s="3">
        <v>7</v>
      </c>
      <c r="L334" s="3">
        <v>7</v>
      </c>
      <c r="M334" s="3">
        <v>25.4</v>
      </c>
      <c r="N334" s="3">
        <v>368</v>
      </c>
      <c r="O334" s="3" t="str">
        <f t="shared" si="19"/>
        <v>2017</v>
      </c>
      <c r="P334" s="2">
        <v>407</v>
      </c>
    </row>
    <row r="335" spans="1:16" x14ac:dyDescent="0.35">
      <c r="A335" s="3">
        <v>2010</v>
      </c>
      <c r="B335" s="3">
        <v>10</v>
      </c>
      <c r="C335" s="3">
        <v>5</v>
      </c>
      <c r="D335" s="2">
        <v>623</v>
      </c>
      <c r="E335" s="3" t="s">
        <v>1061</v>
      </c>
      <c r="F335" s="3">
        <v>4</v>
      </c>
      <c r="G335" s="3" t="s">
        <v>45</v>
      </c>
      <c r="H335" s="3" t="str">
        <f t="shared" si="20"/>
        <v>2009</v>
      </c>
      <c r="I335" s="3">
        <v>1</v>
      </c>
      <c r="J335" s="69"/>
      <c r="K335" t="s">
        <v>1062</v>
      </c>
      <c r="L335" s="3" t="s">
        <v>512</v>
      </c>
      <c r="M335">
        <v>37.799999999999997</v>
      </c>
      <c r="N335" s="3">
        <v>368</v>
      </c>
      <c r="O335" s="3" t="str">
        <f t="shared" si="19"/>
        <v>2007</v>
      </c>
      <c r="P335" s="2">
        <v>623</v>
      </c>
    </row>
    <row r="336" spans="1:16" x14ac:dyDescent="0.35">
      <c r="A336" s="3">
        <v>2023</v>
      </c>
      <c r="B336" s="3">
        <v>11</v>
      </c>
      <c r="C336" s="3">
        <v>3</v>
      </c>
      <c r="D336" s="2">
        <v>531</v>
      </c>
      <c r="E336" s="3" t="s">
        <v>983</v>
      </c>
      <c r="F336" s="3">
        <v>4</v>
      </c>
      <c r="G336" s="3" t="s">
        <v>225</v>
      </c>
      <c r="H336" s="3" t="str">
        <f t="shared" si="20"/>
        <v>2022</v>
      </c>
      <c r="I336" s="3">
        <v>1</v>
      </c>
      <c r="J336" s="69"/>
      <c r="K336" s="3">
        <v>2</v>
      </c>
      <c r="L336" s="3">
        <v>2</v>
      </c>
      <c r="M336" s="3">
        <v>43.8</v>
      </c>
      <c r="N336" s="3">
        <v>369</v>
      </c>
      <c r="O336" s="3" t="str">
        <f t="shared" si="19"/>
        <v>2021</v>
      </c>
      <c r="P336" s="2">
        <v>531</v>
      </c>
    </row>
    <row r="337" spans="1:16" x14ac:dyDescent="0.35">
      <c r="A337" s="3">
        <v>2022</v>
      </c>
      <c r="B337" s="3">
        <v>11</v>
      </c>
      <c r="C337" s="3">
        <v>1</v>
      </c>
      <c r="D337" s="2">
        <v>369</v>
      </c>
      <c r="E337" s="3" t="s">
        <v>835</v>
      </c>
      <c r="F337" s="3">
        <v>4</v>
      </c>
      <c r="G337" s="3" t="s">
        <v>41</v>
      </c>
      <c r="H337" s="3" t="str">
        <f t="shared" si="20"/>
        <v>2013</v>
      </c>
      <c r="I337" s="3">
        <v>9</v>
      </c>
      <c r="J337" s="69"/>
      <c r="K337" s="3" t="s">
        <v>49</v>
      </c>
      <c r="L337" s="3" t="s">
        <v>318</v>
      </c>
      <c r="M337" s="3">
        <v>3.5</v>
      </c>
      <c r="N337" s="3">
        <v>370</v>
      </c>
      <c r="O337" s="3" t="str">
        <f t="shared" si="19"/>
        <v>2011</v>
      </c>
      <c r="P337" s="2">
        <v>369</v>
      </c>
    </row>
    <row r="338" spans="1:16" x14ac:dyDescent="0.35">
      <c r="A338" s="3">
        <v>2024</v>
      </c>
      <c r="B338" s="3">
        <v>1</v>
      </c>
      <c r="C338" s="3">
        <v>25</v>
      </c>
      <c r="D338" s="2">
        <v>601</v>
      </c>
      <c r="E338" s="3" t="s">
        <v>1045</v>
      </c>
      <c r="F338" s="3">
        <v>1</v>
      </c>
      <c r="G338" s="3" t="s">
        <v>226</v>
      </c>
      <c r="H338" s="3" t="str">
        <f t="shared" si="20"/>
        <v>2017</v>
      </c>
      <c r="I338" s="3">
        <v>7</v>
      </c>
      <c r="J338" s="69"/>
      <c r="K338" t="s">
        <v>228</v>
      </c>
      <c r="L338">
        <v>7</v>
      </c>
      <c r="M338">
        <v>44</v>
      </c>
      <c r="N338" s="3">
        <v>370</v>
      </c>
      <c r="O338" s="3" t="str">
        <f t="shared" si="19"/>
        <v>2017</v>
      </c>
      <c r="P338" s="2">
        <v>601</v>
      </c>
    </row>
    <row r="339" spans="1:16" x14ac:dyDescent="0.35">
      <c r="A339" s="3">
        <v>2024</v>
      </c>
      <c r="B339" s="3">
        <v>8</v>
      </c>
      <c r="C339" s="3">
        <v>19</v>
      </c>
      <c r="D339" s="2">
        <v>789</v>
      </c>
      <c r="E339" s="3" t="s">
        <v>1169</v>
      </c>
      <c r="F339" s="3">
        <v>3</v>
      </c>
      <c r="G339" s="3" t="s">
        <v>225</v>
      </c>
      <c r="H339" s="3" t="str">
        <f t="shared" si="20"/>
        <v>2021</v>
      </c>
      <c r="I339" s="3">
        <v>3</v>
      </c>
      <c r="J339" s="69"/>
      <c r="K339">
        <v>3</v>
      </c>
      <c r="L339">
        <v>3</v>
      </c>
      <c r="M339">
        <v>57.3</v>
      </c>
      <c r="N339" s="3">
        <v>370</v>
      </c>
      <c r="O339" s="3" t="str">
        <f t="shared" si="19"/>
        <v>2021</v>
      </c>
      <c r="P339" s="2">
        <v>789</v>
      </c>
    </row>
    <row r="340" spans="1:16" x14ac:dyDescent="0.35">
      <c r="A340" s="3">
        <v>2017</v>
      </c>
      <c r="B340" s="3">
        <v>8</v>
      </c>
      <c r="C340" s="3">
        <v>14</v>
      </c>
      <c r="D340" s="2">
        <v>90</v>
      </c>
      <c r="E340" s="14" t="s">
        <v>535</v>
      </c>
      <c r="F340" s="15">
        <v>3</v>
      </c>
      <c r="G340" s="3" t="s">
        <v>45</v>
      </c>
      <c r="H340" s="3" t="str">
        <f t="shared" si="20"/>
        <v>2011</v>
      </c>
      <c r="I340" s="3">
        <v>6</v>
      </c>
      <c r="J340" s="69"/>
      <c r="K340" s="3" t="s">
        <v>317</v>
      </c>
      <c r="L340" s="3" t="s">
        <v>317</v>
      </c>
      <c r="M340" s="3">
        <v>42.2</v>
      </c>
      <c r="N340" s="3">
        <v>371</v>
      </c>
      <c r="O340" s="3" t="str">
        <f t="shared" si="19"/>
        <v>2007</v>
      </c>
      <c r="P340" s="2">
        <v>90</v>
      </c>
    </row>
    <row r="341" spans="1:16" x14ac:dyDescent="0.35">
      <c r="A341" s="3">
        <v>2024</v>
      </c>
      <c r="B341" s="3">
        <v>2</v>
      </c>
      <c r="C341" s="3">
        <v>23</v>
      </c>
      <c r="D341" s="2">
        <v>645</v>
      </c>
      <c r="E341" s="3" t="s">
        <v>142</v>
      </c>
      <c r="F341" s="3">
        <v>1</v>
      </c>
      <c r="G341" s="3" t="s">
        <v>225</v>
      </c>
      <c r="H341" s="3" t="str">
        <f t="shared" si="20"/>
        <v>2022</v>
      </c>
      <c r="I341" s="3">
        <v>2</v>
      </c>
      <c r="J341" s="69"/>
      <c r="K341" t="s">
        <v>21</v>
      </c>
      <c r="L341" s="3">
        <v>2</v>
      </c>
      <c r="M341">
        <v>46.1</v>
      </c>
      <c r="N341" s="3">
        <v>371</v>
      </c>
      <c r="O341" s="3" t="str">
        <f t="shared" si="19"/>
        <v>2021</v>
      </c>
      <c r="P341" s="2">
        <v>645</v>
      </c>
    </row>
    <row r="342" spans="1:16" x14ac:dyDescent="0.35">
      <c r="A342" s="3">
        <v>2024</v>
      </c>
      <c r="B342" s="3">
        <v>8</v>
      </c>
      <c r="C342" s="3">
        <v>8</v>
      </c>
      <c r="D342" s="2">
        <v>702</v>
      </c>
      <c r="E342" s="3" t="s">
        <v>1121</v>
      </c>
      <c r="F342" s="3">
        <v>3</v>
      </c>
      <c r="G342" s="3" t="s">
        <v>45</v>
      </c>
      <c r="H342" s="3" t="str">
        <f t="shared" si="20"/>
        <v>2011</v>
      </c>
      <c r="I342" s="3">
        <v>13</v>
      </c>
      <c r="J342" s="69"/>
      <c r="K342" t="s">
        <v>46</v>
      </c>
      <c r="L342" t="s">
        <v>317</v>
      </c>
      <c r="M342">
        <v>41.5</v>
      </c>
      <c r="N342" s="3">
        <v>371</v>
      </c>
      <c r="O342" s="3" t="str">
        <f t="shared" si="19"/>
        <v>2007</v>
      </c>
      <c r="P342" s="2">
        <v>702</v>
      </c>
    </row>
    <row r="343" spans="1:16" x14ac:dyDescent="0.35">
      <c r="A343" s="3">
        <v>2024</v>
      </c>
      <c r="B343" s="3">
        <v>8</v>
      </c>
      <c r="C343" s="3">
        <v>19</v>
      </c>
      <c r="D343" s="2">
        <v>746</v>
      </c>
      <c r="E343" s="3" t="s">
        <v>258</v>
      </c>
      <c r="F343" s="3">
        <v>3</v>
      </c>
      <c r="G343" s="3" t="s">
        <v>225</v>
      </c>
      <c r="H343" s="3" t="str">
        <f t="shared" si="20"/>
        <v>2021</v>
      </c>
      <c r="I343" s="3">
        <v>3</v>
      </c>
      <c r="J343" s="69"/>
      <c r="K343">
        <v>3</v>
      </c>
      <c r="L343">
        <v>3</v>
      </c>
      <c r="M343">
        <v>49.9</v>
      </c>
      <c r="N343" s="3">
        <v>371</v>
      </c>
      <c r="O343" s="3" t="str">
        <f t="shared" si="19"/>
        <v>2021</v>
      </c>
      <c r="P343" s="2">
        <v>746</v>
      </c>
    </row>
    <row r="344" spans="1:16" x14ac:dyDescent="0.35">
      <c r="A344" s="3">
        <v>2024</v>
      </c>
      <c r="B344">
        <v>8</v>
      </c>
      <c r="C344" s="3">
        <v>19</v>
      </c>
      <c r="D344" s="2">
        <v>816</v>
      </c>
      <c r="E344" s="3" t="s">
        <v>1178</v>
      </c>
      <c r="F344" s="3">
        <v>3</v>
      </c>
      <c r="G344" s="3" t="s">
        <v>225</v>
      </c>
      <c r="H344" s="3" t="str">
        <f t="shared" si="20"/>
        <v>2021</v>
      </c>
      <c r="I344" s="3">
        <v>3</v>
      </c>
      <c r="J344" s="69"/>
      <c r="K344">
        <v>3</v>
      </c>
      <c r="L344">
        <v>3</v>
      </c>
      <c r="M344">
        <v>53.4</v>
      </c>
      <c r="N344" s="3">
        <v>371</v>
      </c>
      <c r="O344" s="3" t="str">
        <f t="shared" si="19"/>
        <v>2021</v>
      </c>
      <c r="P344" s="2">
        <v>816</v>
      </c>
    </row>
    <row r="345" spans="1:16" x14ac:dyDescent="0.35">
      <c r="A345" s="3">
        <v>2024</v>
      </c>
      <c r="B345" s="3">
        <v>8</v>
      </c>
      <c r="C345" s="3">
        <v>19</v>
      </c>
      <c r="D345" s="2">
        <v>784</v>
      </c>
      <c r="E345" s="3" t="s">
        <v>280</v>
      </c>
      <c r="F345" s="3">
        <v>3</v>
      </c>
      <c r="G345" s="3" t="s">
        <v>225</v>
      </c>
      <c r="H345" s="3" t="str">
        <f t="shared" si="20"/>
        <v>2021</v>
      </c>
      <c r="I345" s="3">
        <v>3</v>
      </c>
      <c r="J345" s="69"/>
      <c r="K345">
        <v>3</v>
      </c>
      <c r="L345">
        <v>3</v>
      </c>
      <c r="M345">
        <v>52.1</v>
      </c>
      <c r="N345" s="3">
        <v>372</v>
      </c>
      <c r="O345" s="3" t="str">
        <f t="shared" si="19"/>
        <v>2021</v>
      </c>
      <c r="P345" s="2">
        <v>784</v>
      </c>
    </row>
    <row r="346" spans="1:16" x14ac:dyDescent="0.35">
      <c r="A346" s="3">
        <v>2021</v>
      </c>
      <c r="B346" s="3">
        <v>10</v>
      </c>
      <c r="C346" s="3" t="s">
        <v>28</v>
      </c>
      <c r="D346" s="2">
        <v>29</v>
      </c>
      <c r="E346" s="3" t="s">
        <v>471</v>
      </c>
      <c r="F346" s="3">
        <v>4</v>
      </c>
      <c r="G346" s="3" t="s">
        <v>41</v>
      </c>
      <c r="H346" s="3" t="str">
        <f t="shared" si="20"/>
        <v>2013</v>
      </c>
      <c r="I346" s="3">
        <v>8</v>
      </c>
      <c r="J346" s="69"/>
      <c r="K346" s="3" t="s">
        <v>318</v>
      </c>
      <c r="L346" s="3" t="s">
        <v>318</v>
      </c>
      <c r="M346" s="3">
        <v>41.3</v>
      </c>
      <c r="N346" s="3">
        <v>373</v>
      </c>
      <c r="O346" s="3" t="str">
        <f t="shared" si="19"/>
        <v>2011</v>
      </c>
      <c r="P346" s="2">
        <v>29</v>
      </c>
    </row>
    <row r="347" spans="1:16" x14ac:dyDescent="0.35">
      <c r="A347" s="3">
        <v>2023</v>
      </c>
      <c r="B347" s="3">
        <v>7</v>
      </c>
      <c r="C347" s="3">
        <v>21</v>
      </c>
      <c r="D347" s="2">
        <v>446</v>
      </c>
      <c r="E347" s="3" t="s">
        <v>906</v>
      </c>
      <c r="F347" s="3">
        <v>3</v>
      </c>
      <c r="G347" s="3" t="s">
        <v>20</v>
      </c>
      <c r="H347" s="3" t="str">
        <f t="shared" si="20"/>
        <v>2020</v>
      </c>
      <c r="I347" s="3">
        <v>3</v>
      </c>
      <c r="J347" s="69"/>
      <c r="K347" s="3" t="s">
        <v>70</v>
      </c>
      <c r="L347" s="3">
        <v>37</v>
      </c>
      <c r="M347" s="3">
        <v>4.2</v>
      </c>
      <c r="N347" s="3">
        <v>373</v>
      </c>
      <c r="O347" s="3" t="str">
        <f t="shared" si="19"/>
        <v>2018</v>
      </c>
      <c r="P347" s="2">
        <v>446</v>
      </c>
    </row>
    <row r="348" spans="1:16" x14ac:dyDescent="0.35">
      <c r="A348" s="3">
        <v>2023</v>
      </c>
      <c r="B348" s="3">
        <v>10</v>
      </c>
      <c r="C348" s="3">
        <v>31</v>
      </c>
      <c r="D348" s="2">
        <v>504</v>
      </c>
      <c r="E348" s="3" t="s">
        <v>114</v>
      </c>
      <c r="F348" s="3">
        <v>4</v>
      </c>
      <c r="G348" s="3" t="s">
        <v>225</v>
      </c>
      <c r="H348" s="3" t="str">
        <f t="shared" si="20"/>
        <v>2022</v>
      </c>
      <c r="I348" s="3">
        <v>1</v>
      </c>
      <c r="J348" s="69"/>
      <c r="K348" s="3">
        <v>2</v>
      </c>
      <c r="L348" s="3">
        <v>2</v>
      </c>
      <c r="M348" s="3">
        <v>44</v>
      </c>
      <c r="N348" s="3">
        <v>373</v>
      </c>
      <c r="O348" s="3" t="str">
        <f t="shared" si="19"/>
        <v>2021</v>
      </c>
      <c r="P348" s="2">
        <v>504</v>
      </c>
    </row>
    <row r="349" spans="1:16" x14ac:dyDescent="0.35">
      <c r="A349" s="3">
        <v>2024</v>
      </c>
      <c r="B349" s="3">
        <v>8</v>
      </c>
      <c r="C349" s="3">
        <v>15</v>
      </c>
      <c r="D349" s="2">
        <v>735</v>
      </c>
      <c r="E349" s="3" t="s">
        <v>1146</v>
      </c>
      <c r="F349" s="3">
        <v>3</v>
      </c>
      <c r="G349" s="3" t="s">
        <v>225</v>
      </c>
      <c r="H349" s="3" t="str">
        <f t="shared" si="20"/>
        <v>2021</v>
      </c>
      <c r="I349" s="3">
        <v>3</v>
      </c>
      <c r="J349" s="69"/>
      <c r="K349">
        <v>3</v>
      </c>
      <c r="L349">
        <v>3</v>
      </c>
      <c r="M349">
        <v>50.7</v>
      </c>
      <c r="N349" s="3">
        <v>373</v>
      </c>
      <c r="O349" s="3" t="str">
        <f t="shared" si="19"/>
        <v>2021</v>
      </c>
      <c r="P349" s="2">
        <v>735</v>
      </c>
    </row>
    <row r="350" spans="1:16" x14ac:dyDescent="0.35">
      <c r="A350" s="3">
        <v>2024</v>
      </c>
      <c r="B350">
        <v>8</v>
      </c>
      <c r="C350" s="3">
        <v>9</v>
      </c>
      <c r="D350" s="2">
        <v>861</v>
      </c>
      <c r="E350" s="3" t="s">
        <v>1188</v>
      </c>
      <c r="F350" s="3">
        <v>3</v>
      </c>
      <c r="G350" t="s">
        <v>41</v>
      </c>
      <c r="H350" s="3" t="str">
        <f t="shared" si="20"/>
        <v>2013</v>
      </c>
      <c r="I350" s="3">
        <v>11</v>
      </c>
      <c r="J350" s="69"/>
      <c r="K350" t="s">
        <v>42</v>
      </c>
      <c r="L350" t="s">
        <v>318</v>
      </c>
      <c r="M350">
        <v>39.799999999999997</v>
      </c>
      <c r="N350" s="3">
        <v>373</v>
      </c>
      <c r="O350" s="3" t="str">
        <f t="shared" si="19"/>
        <v>2011</v>
      </c>
      <c r="P350" s="2">
        <v>861</v>
      </c>
    </row>
    <row r="351" spans="1:16" x14ac:dyDescent="0.35">
      <c r="A351" s="3">
        <v>2023</v>
      </c>
      <c r="B351" s="3">
        <v>7</v>
      </c>
      <c r="C351" s="3">
        <v>17</v>
      </c>
      <c r="D351" s="2">
        <v>394</v>
      </c>
      <c r="E351" s="3" t="s">
        <v>859</v>
      </c>
      <c r="F351" s="3">
        <v>3</v>
      </c>
      <c r="G351" s="3" t="s">
        <v>45</v>
      </c>
      <c r="H351" s="3" t="str">
        <f t="shared" si="20"/>
        <v>2011</v>
      </c>
      <c r="I351" s="3">
        <v>12</v>
      </c>
      <c r="J351" s="69"/>
      <c r="K351" s="3" t="s">
        <v>632</v>
      </c>
      <c r="L351" s="3" t="s">
        <v>317</v>
      </c>
      <c r="M351" s="3">
        <v>35.799999999999997</v>
      </c>
      <c r="N351" s="3">
        <v>374</v>
      </c>
      <c r="O351" s="3" t="str">
        <f t="shared" si="19"/>
        <v>2007</v>
      </c>
      <c r="P351" s="2">
        <v>394</v>
      </c>
    </row>
    <row r="352" spans="1:16" x14ac:dyDescent="0.35">
      <c r="A352" s="3">
        <v>2019</v>
      </c>
      <c r="B352" s="3">
        <v>2</v>
      </c>
      <c r="C352" s="3">
        <v>19</v>
      </c>
      <c r="D352" s="2">
        <v>150</v>
      </c>
      <c r="E352" s="3" t="s">
        <v>595</v>
      </c>
      <c r="F352" s="3">
        <v>1</v>
      </c>
      <c r="G352" s="3" t="s">
        <v>41</v>
      </c>
      <c r="H352" s="3" t="str">
        <f t="shared" si="20"/>
        <v>2012</v>
      </c>
      <c r="I352" s="3">
        <v>7</v>
      </c>
      <c r="J352" s="69"/>
      <c r="K352" s="3" t="s">
        <v>541</v>
      </c>
      <c r="L352" s="3" t="s">
        <v>461</v>
      </c>
      <c r="M352" s="3">
        <v>43.7</v>
      </c>
      <c r="N352" s="3">
        <v>376</v>
      </c>
      <c r="O352" s="3" t="str">
        <f t="shared" si="19"/>
        <v>2011</v>
      </c>
      <c r="P352" s="2">
        <v>150</v>
      </c>
    </row>
    <row r="353" spans="1:20" x14ac:dyDescent="0.35">
      <c r="A353" s="3">
        <v>2019</v>
      </c>
      <c r="B353" s="3">
        <v>8</v>
      </c>
      <c r="C353" s="3">
        <v>9</v>
      </c>
      <c r="D353" s="2">
        <v>315</v>
      </c>
      <c r="E353" s="3" t="s">
        <v>782</v>
      </c>
      <c r="F353" s="3">
        <v>3</v>
      </c>
      <c r="G353" s="3" t="s">
        <v>45</v>
      </c>
      <c r="H353" s="3" t="str">
        <f t="shared" si="20"/>
        <v>2011</v>
      </c>
      <c r="I353" s="3">
        <v>8</v>
      </c>
      <c r="J353" s="69"/>
      <c r="K353" s="3" t="s">
        <v>317</v>
      </c>
      <c r="L353" s="3" t="s">
        <v>317</v>
      </c>
      <c r="M353" s="3">
        <v>31.7</v>
      </c>
      <c r="N353" s="3">
        <v>376</v>
      </c>
      <c r="O353" s="3" t="str">
        <f t="shared" si="19"/>
        <v>2007</v>
      </c>
      <c r="P353" s="2">
        <v>315</v>
      </c>
    </row>
    <row r="354" spans="1:20" x14ac:dyDescent="0.35">
      <c r="A354" s="3">
        <v>2024</v>
      </c>
      <c r="B354" s="3">
        <v>8</v>
      </c>
      <c r="C354" s="3">
        <v>15</v>
      </c>
      <c r="D354" s="2">
        <v>731</v>
      </c>
      <c r="E354" s="3" t="s">
        <v>247</v>
      </c>
      <c r="F354" s="3">
        <v>3</v>
      </c>
      <c r="G354" s="3" t="s">
        <v>225</v>
      </c>
      <c r="H354" s="3" t="str">
        <f t="shared" si="20"/>
        <v>2021</v>
      </c>
      <c r="I354" s="3">
        <v>3</v>
      </c>
      <c r="J354" s="69"/>
      <c r="K354">
        <v>3</v>
      </c>
      <c r="L354">
        <v>3</v>
      </c>
      <c r="M354">
        <v>68.7</v>
      </c>
      <c r="N354" s="3">
        <v>376</v>
      </c>
      <c r="O354" s="3" t="str">
        <f t="shared" si="19"/>
        <v>2021</v>
      </c>
      <c r="P354" s="2">
        <v>731</v>
      </c>
    </row>
    <row r="355" spans="1:20" x14ac:dyDescent="0.35">
      <c r="A355" s="3">
        <v>2023</v>
      </c>
      <c r="B355" s="3">
        <v>7</v>
      </c>
      <c r="C355" s="3">
        <v>17</v>
      </c>
      <c r="D355" s="2">
        <v>383</v>
      </c>
      <c r="E355" s="3" t="s">
        <v>848</v>
      </c>
      <c r="F355" s="3">
        <v>3</v>
      </c>
      <c r="G355" s="3" t="s">
        <v>45</v>
      </c>
      <c r="H355" s="3" t="str">
        <f t="shared" si="20"/>
        <v>2011</v>
      </c>
      <c r="I355" s="3">
        <v>12</v>
      </c>
      <c r="J355" s="69"/>
      <c r="K355" s="3" t="s">
        <v>46</v>
      </c>
      <c r="L355" s="3" t="s">
        <v>317</v>
      </c>
      <c r="M355" s="3">
        <v>40.1</v>
      </c>
      <c r="N355" s="3">
        <v>377</v>
      </c>
      <c r="O355" s="3" t="str">
        <f t="shared" si="19"/>
        <v>2007</v>
      </c>
      <c r="P355" s="2">
        <v>383</v>
      </c>
    </row>
    <row r="356" spans="1:20" x14ac:dyDescent="0.35">
      <c r="A356" s="3">
        <v>2024</v>
      </c>
      <c r="B356" s="3">
        <v>3</v>
      </c>
      <c r="C356" s="3">
        <v>28</v>
      </c>
      <c r="D356" s="2">
        <v>660</v>
      </c>
      <c r="E356" s="3" t="s">
        <v>150</v>
      </c>
      <c r="F356" s="3">
        <v>2</v>
      </c>
      <c r="G356" s="3" t="s">
        <v>41</v>
      </c>
      <c r="H356" s="3" t="str">
        <f t="shared" si="20"/>
        <v>2013</v>
      </c>
      <c r="I356" s="3">
        <v>11</v>
      </c>
      <c r="J356" s="69"/>
      <c r="K356" t="s">
        <v>42</v>
      </c>
      <c r="L356" t="s">
        <v>318</v>
      </c>
      <c r="M356">
        <v>49.2</v>
      </c>
      <c r="N356" s="3">
        <v>377</v>
      </c>
      <c r="O356" s="3" t="str">
        <f t="shared" si="19"/>
        <v>2011</v>
      </c>
      <c r="P356" s="2">
        <v>660</v>
      </c>
    </row>
    <row r="357" spans="1:20" x14ac:dyDescent="0.35">
      <c r="A357" s="3">
        <v>2023</v>
      </c>
      <c r="B357" s="3">
        <v>2</v>
      </c>
      <c r="C357" s="3">
        <v>12</v>
      </c>
      <c r="D357" s="2">
        <v>114</v>
      </c>
      <c r="E357" s="14" t="s">
        <v>88</v>
      </c>
      <c r="F357" s="15">
        <v>1</v>
      </c>
      <c r="G357" s="3" t="s">
        <v>20</v>
      </c>
      <c r="H357" s="3" t="str">
        <f t="shared" si="20"/>
        <v>2020</v>
      </c>
      <c r="I357" s="3">
        <v>3</v>
      </c>
      <c r="J357" s="69"/>
      <c r="K357" s="3">
        <v>7</v>
      </c>
      <c r="L357" s="3">
        <v>7</v>
      </c>
      <c r="M357" s="3">
        <v>99.8</v>
      </c>
      <c r="N357" s="3">
        <v>378</v>
      </c>
      <c r="O357" s="3" t="str">
        <f t="shared" si="19"/>
        <v>2018</v>
      </c>
      <c r="P357" s="2">
        <v>114</v>
      </c>
    </row>
    <row r="358" spans="1:20" x14ac:dyDescent="0.35">
      <c r="A358" s="3">
        <v>2024</v>
      </c>
      <c r="B358" s="3">
        <v>3</v>
      </c>
      <c r="C358" s="3">
        <v>13</v>
      </c>
      <c r="D358" s="2">
        <v>673</v>
      </c>
      <c r="E358" s="3" t="s">
        <v>1095</v>
      </c>
      <c r="F358" s="3">
        <v>2</v>
      </c>
      <c r="G358" s="3" t="s">
        <v>226</v>
      </c>
      <c r="H358" s="3" t="str">
        <f t="shared" si="20"/>
        <v>2017</v>
      </c>
      <c r="I358" s="3">
        <v>7</v>
      </c>
      <c r="J358" s="69"/>
      <c r="K358" t="s">
        <v>783</v>
      </c>
      <c r="L358">
        <v>7</v>
      </c>
      <c r="M358">
        <v>45.2</v>
      </c>
      <c r="N358" s="3">
        <v>378</v>
      </c>
      <c r="O358" s="3" t="str">
        <f t="shared" si="19"/>
        <v>2017</v>
      </c>
      <c r="P358" s="2">
        <v>673</v>
      </c>
    </row>
    <row r="359" spans="1:20" x14ac:dyDescent="0.35">
      <c r="A359" s="3">
        <v>2024</v>
      </c>
      <c r="B359">
        <v>8</v>
      </c>
      <c r="C359" s="3">
        <v>19</v>
      </c>
      <c r="D359" s="2">
        <v>826</v>
      </c>
      <c r="E359" s="3" t="s">
        <v>308</v>
      </c>
      <c r="F359" s="3">
        <v>3</v>
      </c>
      <c r="G359" s="3" t="s">
        <v>225</v>
      </c>
      <c r="H359" s="3" t="str">
        <f t="shared" si="20"/>
        <v>2021</v>
      </c>
      <c r="I359" s="3">
        <v>3</v>
      </c>
      <c r="J359" s="69"/>
      <c r="K359">
        <v>3</v>
      </c>
      <c r="L359">
        <v>3</v>
      </c>
      <c r="M359">
        <v>57.4</v>
      </c>
      <c r="N359" s="3">
        <v>378</v>
      </c>
      <c r="O359" s="3" t="str">
        <f t="shared" si="19"/>
        <v>2021</v>
      </c>
      <c r="P359" s="2">
        <v>826</v>
      </c>
    </row>
    <row r="360" spans="1:20" x14ac:dyDescent="0.35">
      <c r="A360" s="3">
        <v>2016</v>
      </c>
      <c r="B360" s="3">
        <v>8</v>
      </c>
      <c r="C360" s="3">
        <v>31</v>
      </c>
      <c r="D360" s="2">
        <v>247</v>
      </c>
      <c r="E360" s="3" t="s">
        <v>705</v>
      </c>
      <c r="F360" s="3">
        <v>3</v>
      </c>
      <c r="G360" s="3" t="s">
        <v>45</v>
      </c>
      <c r="H360" s="3" t="str">
        <f t="shared" si="20"/>
        <v>2009</v>
      </c>
      <c r="I360" s="3">
        <v>7</v>
      </c>
      <c r="J360" s="69"/>
      <c r="K360" s="3" t="s">
        <v>657</v>
      </c>
      <c r="L360" s="3" t="s">
        <v>488</v>
      </c>
      <c r="M360" s="3">
        <v>45.5</v>
      </c>
      <c r="N360" s="3">
        <v>379</v>
      </c>
      <c r="O360" s="3" t="str">
        <f t="shared" si="19"/>
        <v>2007</v>
      </c>
      <c r="P360" s="2">
        <v>247</v>
      </c>
    </row>
    <row r="361" spans="1:20" x14ac:dyDescent="0.35">
      <c r="A361" s="3">
        <v>2023</v>
      </c>
      <c r="B361" s="3">
        <v>7</v>
      </c>
      <c r="C361" s="3">
        <v>19</v>
      </c>
      <c r="D361" s="2">
        <v>358</v>
      </c>
      <c r="E361" s="3" t="s">
        <v>824</v>
      </c>
      <c r="F361" s="3">
        <v>3</v>
      </c>
      <c r="G361" s="3" t="s">
        <v>41</v>
      </c>
      <c r="H361" s="3" t="str">
        <f t="shared" si="20"/>
        <v>2013</v>
      </c>
      <c r="I361" s="3">
        <v>10</v>
      </c>
      <c r="J361" s="69"/>
      <c r="K361" s="3" t="s">
        <v>42</v>
      </c>
      <c r="L361" s="3" t="s">
        <v>318</v>
      </c>
      <c r="M361" s="3">
        <v>44.7</v>
      </c>
      <c r="N361" s="3">
        <v>379</v>
      </c>
      <c r="O361" s="3" t="str">
        <f t="shared" si="19"/>
        <v>2011</v>
      </c>
      <c r="P361" s="2">
        <v>358</v>
      </c>
    </row>
    <row r="362" spans="1:20" x14ac:dyDescent="0.35">
      <c r="A362" s="3">
        <v>2024</v>
      </c>
      <c r="B362" s="3">
        <v>3</v>
      </c>
      <c r="C362" s="3">
        <v>12</v>
      </c>
      <c r="D362" s="2">
        <v>691</v>
      </c>
      <c r="E362" s="3" t="s">
        <v>1111</v>
      </c>
      <c r="F362" s="3">
        <v>2</v>
      </c>
      <c r="G362" s="3" t="s">
        <v>45</v>
      </c>
      <c r="H362" s="3" t="str">
        <f t="shared" si="20"/>
        <v>2011</v>
      </c>
      <c r="I362" s="3">
        <v>13</v>
      </c>
      <c r="J362" s="69"/>
      <c r="K362" t="s">
        <v>1110</v>
      </c>
      <c r="L362" t="s">
        <v>317</v>
      </c>
      <c r="M362">
        <v>51.1</v>
      </c>
      <c r="N362" s="3">
        <v>379</v>
      </c>
      <c r="O362" s="3" t="str">
        <f t="shared" si="19"/>
        <v>2007</v>
      </c>
      <c r="P362" s="2">
        <v>691</v>
      </c>
    </row>
    <row r="363" spans="1:20" x14ac:dyDescent="0.35">
      <c r="A363" s="3">
        <v>2024</v>
      </c>
      <c r="B363" s="3">
        <v>8</v>
      </c>
      <c r="C363" s="3">
        <v>8</v>
      </c>
      <c r="D363" s="2">
        <v>700</v>
      </c>
      <c r="E363" s="3" t="s">
        <v>1120</v>
      </c>
      <c r="F363" s="3">
        <v>3</v>
      </c>
      <c r="G363" s="3" t="s">
        <v>45</v>
      </c>
      <c r="H363" s="3" t="str">
        <f t="shared" si="20"/>
        <v>2011</v>
      </c>
      <c r="I363" s="3">
        <v>13</v>
      </c>
      <c r="J363" s="69"/>
      <c r="K363" t="s">
        <v>46</v>
      </c>
      <c r="L363" t="s">
        <v>317</v>
      </c>
      <c r="M363">
        <v>42.9</v>
      </c>
      <c r="N363" s="3">
        <v>380</v>
      </c>
      <c r="O363" s="3" t="str">
        <f t="shared" si="19"/>
        <v>2007</v>
      </c>
      <c r="P363" s="2">
        <v>700</v>
      </c>
      <c r="T363">
        <v>6.67</v>
      </c>
    </row>
    <row r="364" spans="1:20" x14ac:dyDescent="0.35">
      <c r="A364" s="3">
        <v>2023</v>
      </c>
      <c r="B364" s="3">
        <v>7</v>
      </c>
      <c r="C364" s="3">
        <v>19</v>
      </c>
      <c r="D364" s="2">
        <v>359</v>
      </c>
      <c r="E364" s="3" t="s">
        <v>825</v>
      </c>
      <c r="F364" s="3">
        <v>3</v>
      </c>
      <c r="G364" s="3" t="s">
        <v>41</v>
      </c>
      <c r="H364" s="3" t="str">
        <f t="shared" si="20"/>
        <v>2013</v>
      </c>
      <c r="I364" s="3">
        <v>10</v>
      </c>
      <c r="J364" s="69"/>
      <c r="K364" s="3" t="s">
        <v>42</v>
      </c>
      <c r="L364" s="3" t="s">
        <v>318</v>
      </c>
      <c r="M364" s="3">
        <v>43.9</v>
      </c>
      <c r="N364" s="3">
        <v>380</v>
      </c>
      <c r="O364" s="3" t="str">
        <f t="shared" si="19"/>
        <v>2011</v>
      </c>
      <c r="P364" s="2">
        <v>359</v>
      </c>
    </row>
    <row r="365" spans="1:20" x14ac:dyDescent="0.35">
      <c r="A365" s="3">
        <v>2024</v>
      </c>
      <c r="B365" s="3">
        <v>2</v>
      </c>
      <c r="C365" s="3">
        <v>23</v>
      </c>
      <c r="D365" s="2">
        <v>642</v>
      </c>
      <c r="E365" s="3" t="s">
        <v>141</v>
      </c>
      <c r="F365" s="3">
        <v>1</v>
      </c>
      <c r="G365" s="3" t="s">
        <v>225</v>
      </c>
      <c r="H365" s="3" t="str">
        <f t="shared" si="20"/>
        <v>2022</v>
      </c>
      <c r="I365" s="3">
        <v>2</v>
      </c>
      <c r="J365" s="69"/>
      <c r="K365" t="s">
        <v>21</v>
      </c>
      <c r="L365" s="3">
        <v>2</v>
      </c>
      <c r="M365">
        <v>55.2</v>
      </c>
      <c r="N365" s="3">
        <v>380</v>
      </c>
      <c r="O365" s="3" t="str">
        <f t="shared" si="19"/>
        <v>2021</v>
      </c>
      <c r="P365" s="2">
        <v>642</v>
      </c>
    </row>
    <row r="366" spans="1:20" x14ac:dyDescent="0.35">
      <c r="A366" s="3">
        <v>2024</v>
      </c>
      <c r="B366" s="3">
        <v>3</v>
      </c>
      <c r="C366" s="3">
        <v>12</v>
      </c>
      <c r="D366" s="2">
        <v>679</v>
      </c>
      <c r="E366" s="3" t="s">
        <v>156</v>
      </c>
      <c r="F366" s="3">
        <v>2</v>
      </c>
      <c r="G366" s="3" t="s">
        <v>45</v>
      </c>
      <c r="H366" s="3" t="str">
        <f t="shared" si="20"/>
        <v>2009</v>
      </c>
      <c r="I366" s="3">
        <v>15</v>
      </c>
      <c r="J366" s="69"/>
      <c r="K366" t="s">
        <v>1100</v>
      </c>
      <c r="L366" t="s">
        <v>488</v>
      </c>
      <c r="M366">
        <v>47.5</v>
      </c>
      <c r="N366" s="3">
        <v>380</v>
      </c>
      <c r="O366" s="3" t="str">
        <f t="shared" si="19"/>
        <v>2007</v>
      </c>
      <c r="P366" s="2">
        <v>679</v>
      </c>
    </row>
    <row r="367" spans="1:20" x14ac:dyDescent="0.35">
      <c r="A367" s="3">
        <v>2024</v>
      </c>
      <c r="B367" s="3">
        <v>6</v>
      </c>
      <c r="C367" s="3">
        <v>19</v>
      </c>
      <c r="D367" s="2">
        <v>757</v>
      </c>
      <c r="E367" s="3" t="s">
        <v>1151</v>
      </c>
      <c r="F367" s="3">
        <v>3</v>
      </c>
      <c r="G367" s="3" t="s">
        <v>225</v>
      </c>
      <c r="H367" s="3" t="str">
        <f t="shared" si="20"/>
        <v>2021</v>
      </c>
      <c r="I367" s="3">
        <v>3</v>
      </c>
      <c r="J367" s="69"/>
      <c r="K367" s="6" t="s">
        <v>1076</v>
      </c>
      <c r="L367">
        <v>3</v>
      </c>
      <c r="M367">
        <v>52.4</v>
      </c>
      <c r="N367" s="3">
        <v>380</v>
      </c>
      <c r="O367" s="3" t="str">
        <f t="shared" si="19"/>
        <v>2021</v>
      </c>
      <c r="P367" s="2">
        <v>757</v>
      </c>
    </row>
    <row r="368" spans="1:20" x14ac:dyDescent="0.35">
      <c r="A368" s="3">
        <v>2024</v>
      </c>
      <c r="B368" s="3">
        <v>8</v>
      </c>
      <c r="C368" s="3">
        <v>19</v>
      </c>
      <c r="D368" s="2">
        <v>779</v>
      </c>
      <c r="E368" s="3" t="s">
        <v>279</v>
      </c>
      <c r="F368" s="3">
        <v>3</v>
      </c>
      <c r="G368" s="3" t="s">
        <v>225</v>
      </c>
      <c r="H368" s="3" t="str">
        <f t="shared" si="20"/>
        <v>2021</v>
      </c>
      <c r="I368" s="3">
        <v>3</v>
      </c>
      <c r="J368" s="69"/>
      <c r="K368">
        <v>3</v>
      </c>
      <c r="L368">
        <v>3</v>
      </c>
      <c r="M368">
        <v>57.6</v>
      </c>
      <c r="N368" s="3">
        <v>380</v>
      </c>
      <c r="O368" s="3" t="str">
        <f t="shared" si="19"/>
        <v>2021</v>
      </c>
      <c r="P368" s="2">
        <v>779</v>
      </c>
    </row>
    <row r="369" spans="1:17" x14ac:dyDescent="0.35">
      <c r="A369" s="3">
        <v>2024</v>
      </c>
      <c r="B369" s="3">
        <v>8</v>
      </c>
      <c r="C369" s="3">
        <v>19</v>
      </c>
      <c r="D369" s="2">
        <v>783</v>
      </c>
      <c r="E369" s="3" t="s">
        <v>1166</v>
      </c>
      <c r="F369" s="3">
        <v>3</v>
      </c>
      <c r="G369" s="3" t="s">
        <v>225</v>
      </c>
      <c r="H369" s="3" t="str">
        <f t="shared" si="20"/>
        <v>2021</v>
      </c>
      <c r="I369" s="3">
        <v>3</v>
      </c>
      <c r="J369" s="69"/>
      <c r="K369">
        <v>3</v>
      </c>
      <c r="L369">
        <v>3</v>
      </c>
      <c r="M369">
        <v>51.2</v>
      </c>
      <c r="N369" s="3">
        <v>380</v>
      </c>
      <c r="O369" s="3" t="str">
        <f t="shared" si="19"/>
        <v>2021</v>
      </c>
      <c r="P369" s="2">
        <v>783</v>
      </c>
    </row>
    <row r="370" spans="1:17" x14ac:dyDescent="0.35">
      <c r="A370" s="3">
        <v>2023</v>
      </c>
      <c r="B370" s="3">
        <v>8</v>
      </c>
      <c r="C370" s="3">
        <v>2</v>
      </c>
      <c r="D370" s="2">
        <v>415</v>
      </c>
      <c r="E370" s="3" t="s">
        <v>879</v>
      </c>
      <c r="F370" s="3">
        <v>3</v>
      </c>
      <c r="G370" s="3" t="s">
        <v>226</v>
      </c>
      <c r="H370" s="3" t="str">
        <f t="shared" si="20"/>
        <v>2017</v>
      </c>
      <c r="I370" s="3">
        <v>6</v>
      </c>
      <c r="J370" s="69"/>
      <c r="K370" s="3" t="s">
        <v>878</v>
      </c>
      <c r="L370" s="3">
        <v>7</v>
      </c>
      <c r="M370" s="3">
        <v>51.9</v>
      </c>
      <c r="N370" s="3">
        <v>381</v>
      </c>
      <c r="O370" s="3" t="str">
        <f t="shared" si="19"/>
        <v>2017</v>
      </c>
      <c r="P370" s="2">
        <v>415</v>
      </c>
    </row>
    <row r="371" spans="1:17" x14ac:dyDescent="0.35">
      <c r="A371" s="3">
        <v>2024</v>
      </c>
      <c r="B371" s="3">
        <v>8</v>
      </c>
      <c r="C371" s="3">
        <v>19</v>
      </c>
      <c r="D371" s="2">
        <v>795</v>
      </c>
      <c r="E371" s="3" t="s">
        <v>286</v>
      </c>
      <c r="F371" s="3">
        <v>3</v>
      </c>
      <c r="G371" s="3" t="s">
        <v>225</v>
      </c>
      <c r="H371" s="3" t="str">
        <f t="shared" si="20"/>
        <v>2021</v>
      </c>
      <c r="I371" s="3">
        <v>3</v>
      </c>
      <c r="J371" s="69"/>
      <c r="K371">
        <v>3</v>
      </c>
      <c r="L371">
        <v>3</v>
      </c>
      <c r="M371">
        <v>49.8</v>
      </c>
      <c r="N371" s="3">
        <v>381</v>
      </c>
      <c r="O371" s="3" t="str">
        <f t="shared" si="19"/>
        <v>2021</v>
      </c>
      <c r="P371" s="2">
        <v>795</v>
      </c>
    </row>
    <row r="372" spans="1:17" x14ac:dyDescent="0.35">
      <c r="A372" s="3">
        <v>2024</v>
      </c>
      <c r="B372" s="3">
        <v>3</v>
      </c>
      <c r="C372" s="3">
        <v>12</v>
      </c>
      <c r="D372" s="2">
        <v>690</v>
      </c>
      <c r="E372" s="3" t="s">
        <v>1109</v>
      </c>
      <c r="F372" s="3">
        <v>2</v>
      </c>
      <c r="G372" s="3" t="s">
        <v>45</v>
      </c>
      <c r="H372" s="3" t="str">
        <f t="shared" si="20"/>
        <v>2011</v>
      </c>
      <c r="I372" s="3">
        <v>13</v>
      </c>
      <c r="J372" s="69"/>
      <c r="K372" t="s">
        <v>1110</v>
      </c>
      <c r="L372" t="s">
        <v>317</v>
      </c>
      <c r="M372">
        <v>54.3</v>
      </c>
      <c r="N372" s="3">
        <v>382</v>
      </c>
      <c r="O372" s="3" t="str">
        <f t="shared" si="19"/>
        <v>2007</v>
      </c>
      <c r="P372" s="2">
        <v>690</v>
      </c>
      <c r="Q372" s="2">
        <v>12.31</v>
      </c>
    </row>
    <row r="373" spans="1:17" x14ac:dyDescent="0.35">
      <c r="A373" s="3">
        <v>2017</v>
      </c>
      <c r="B373" s="3">
        <v>8</v>
      </c>
      <c r="C373" s="3">
        <v>14</v>
      </c>
      <c r="D373" s="2">
        <v>132</v>
      </c>
      <c r="E373" s="14" t="s">
        <v>577</v>
      </c>
      <c r="F373" s="15">
        <v>3</v>
      </c>
      <c r="G373" s="3" t="s">
        <v>45</v>
      </c>
      <c r="H373" s="3" t="str">
        <f t="shared" si="20"/>
        <v>2011</v>
      </c>
      <c r="I373" s="3">
        <v>6</v>
      </c>
      <c r="J373" s="69"/>
      <c r="K373" s="3" t="s">
        <v>317</v>
      </c>
      <c r="L373" s="3" t="s">
        <v>317</v>
      </c>
      <c r="M373" s="3">
        <v>44.4</v>
      </c>
      <c r="N373" s="3">
        <v>382</v>
      </c>
      <c r="O373" s="3" t="str">
        <f t="shared" si="19"/>
        <v>2007</v>
      </c>
      <c r="P373" s="2">
        <v>132</v>
      </c>
    </row>
    <row r="374" spans="1:17" x14ac:dyDescent="0.35">
      <c r="A374" s="3">
        <v>2023</v>
      </c>
      <c r="B374" s="3">
        <v>7</v>
      </c>
      <c r="C374" s="3">
        <v>18</v>
      </c>
      <c r="D374" s="2">
        <v>340</v>
      </c>
      <c r="E374" s="3" t="s">
        <v>806</v>
      </c>
      <c r="F374" s="3">
        <v>3</v>
      </c>
      <c r="G374" s="3" t="s">
        <v>41</v>
      </c>
      <c r="H374" s="3" t="str">
        <f t="shared" si="20"/>
        <v>2012</v>
      </c>
      <c r="I374" s="3">
        <v>11</v>
      </c>
      <c r="J374" s="69"/>
      <c r="K374" s="3" t="s">
        <v>551</v>
      </c>
      <c r="L374" s="3" t="s">
        <v>461</v>
      </c>
      <c r="M374" s="3">
        <v>47.1</v>
      </c>
      <c r="N374" s="3">
        <v>382</v>
      </c>
      <c r="O374" s="3" t="str">
        <f t="shared" si="19"/>
        <v>2011</v>
      </c>
      <c r="P374" s="2">
        <v>340</v>
      </c>
    </row>
    <row r="375" spans="1:17" x14ac:dyDescent="0.35">
      <c r="A375" s="3">
        <v>2017</v>
      </c>
      <c r="B375" s="3">
        <v>7</v>
      </c>
      <c r="C375" s="3">
        <v>8</v>
      </c>
      <c r="D375" s="2">
        <v>94</v>
      </c>
      <c r="E375" s="14" t="s">
        <v>539</v>
      </c>
      <c r="F375" s="15">
        <v>3</v>
      </c>
      <c r="G375" s="3" t="s">
        <v>41</v>
      </c>
      <c r="H375" s="3" t="str">
        <f t="shared" si="20"/>
        <v>2013</v>
      </c>
      <c r="I375" s="3">
        <v>4</v>
      </c>
      <c r="J375" s="69"/>
      <c r="K375" s="3" t="s">
        <v>318</v>
      </c>
      <c r="L375" s="3" t="s">
        <v>318</v>
      </c>
      <c r="M375" s="3">
        <v>42.7</v>
      </c>
      <c r="N375" s="3">
        <v>383</v>
      </c>
      <c r="O375" s="3" t="str">
        <f t="shared" si="19"/>
        <v>2011</v>
      </c>
      <c r="P375" s="2">
        <v>94</v>
      </c>
    </row>
    <row r="376" spans="1:17" x14ac:dyDescent="0.35">
      <c r="A376" s="3">
        <v>2023</v>
      </c>
      <c r="B376" s="3">
        <v>7</v>
      </c>
      <c r="C376" s="3">
        <v>17</v>
      </c>
      <c r="D376" s="2">
        <v>382</v>
      </c>
      <c r="E376" s="3" t="s">
        <v>847</v>
      </c>
      <c r="F376" s="3">
        <v>3</v>
      </c>
      <c r="G376" s="3" t="s">
        <v>45</v>
      </c>
      <c r="H376" s="3" t="str">
        <f t="shared" si="20"/>
        <v>2011</v>
      </c>
      <c r="I376" s="3">
        <v>12</v>
      </c>
      <c r="J376" s="69"/>
      <c r="K376" s="3" t="s">
        <v>46</v>
      </c>
      <c r="L376" s="3" t="s">
        <v>317</v>
      </c>
      <c r="M376" s="3">
        <v>39.4</v>
      </c>
      <c r="N376" s="3">
        <v>383</v>
      </c>
      <c r="O376" s="3" t="str">
        <f t="shared" si="19"/>
        <v>2007</v>
      </c>
      <c r="P376" s="2">
        <v>382</v>
      </c>
    </row>
    <row r="377" spans="1:17" x14ac:dyDescent="0.35">
      <c r="A377" s="3">
        <v>2021</v>
      </c>
      <c r="B377" s="3">
        <v>4</v>
      </c>
      <c r="C377" s="3">
        <v>13</v>
      </c>
      <c r="D377" s="2">
        <v>495</v>
      </c>
      <c r="E377" s="3" t="s">
        <v>949</v>
      </c>
      <c r="F377" s="3">
        <v>2</v>
      </c>
      <c r="G377" s="3" t="s">
        <v>226</v>
      </c>
      <c r="H377" s="3" t="str">
        <f t="shared" si="20"/>
        <v>2018</v>
      </c>
      <c r="I377" s="3">
        <v>3</v>
      </c>
      <c r="J377" s="69"/>
      <c r="K377" s="3" t="s">
        <v>51</v>
      </c>
      <c r="L377" s="3" t="s">
        <v>929</v>
      </c>
      <c r="M377" s="16">
        <v>65</v>
      </c>
      <c r="N377" s="3">
        <v>383</v>
      </c>
      <c r="O377" s="3" t="str">
        <f t="shared" si="19"/>
        <v>2017</v>
      </c>
      <c r="P377" s="2">
        <v>495</v>
      </c>
    </row>
    <row r="378" spans="1:17" x14ac:dyDescent="0.35">
      <c r="A378" s="3">
        <v>2021</v>
      </c>
      <c r="B378" s="3" t="s">
        <v>28</v>
      </c>
      <c r="C378" s="3" t="s">
        <v>28</v>
      </c>
      <c r="D378" s="2">
        <v>494</v>
      </c>
      <c r="E378" s="3" t="s">
        <v>948</v>
      </c>
      <c r="F378" s="3" t="s">
        <v>28</v>
      </c>
      <c r="G378" s="3" t="s">
        <v>226</v>
      </c>
      <c r="H378" s="3" t="str">
        <f t="shared" si="20"/>
        <v>2018</v>
      </c>
      <c r="I378" s="3">
        <v>3</v>
      </c>
      <c r="J378" s="69"/>
      <c r="K378" s="3" t="s">
        <v>51</v>
      </c>
      <c r="L378" s="3" t="s">
        <v>929</v>
      </c>
      <c r="M378" s="16">
        <v>50</v>
      </c>
      <c r="N378" s="3">
        <v>384</v>
      </c>
      <c r="O378" s="3" t="str">
        <f t="shared" si="19"/>
        <v>2017</v>
      </c>
      <c r="P378" s="2">
        <v>494</v>
      </c>
    </row>
    <row r="379" spans="1:17" x14ac:dyDescent="0.35">
      <c r="A379" s="3">
        <v>2024</v>
      </c>
      <c r="B379" s="3">
        <v>1</v>
      </c>
      <c r="C379" s="3">
        <v>16</v>
      </c>
      <c r="D379" s="2">
        <v>569</v>
      </c>
      <c r="E379" s="3" t="s">
        <v>1013</v>
      </c>
      <c r="F379" s="3">
        <v>1</v>
      </c>
      <c r="G379" s="3" t="s">
        <v>45</v>
      </c>
      <c r="H379" s="3" t="str">
        <f t="shared" si="20"/>
        <v>2011</v>
      </c>
      <c r="I379" s="3">
        <v>13</v>
      </c>
      <c r="J379" s="69"/>
      <c r="K379" t="s">
        <v>615</v>
      </c>
      <c r="L379" s="3" t="s">
        <v>317</v>
      </c>
      <c r="M379">
        <v>53.3</v>
      </c>
      <c r="N379" s="3">
        <v>384</v>
      </c>
      <c r="O379" s="3" t="str">
        <f t="shared" si="19"/>
        <v>2007</v>
      </c>
      <c r="P379" s="2">
        <v>569</v>
      </c>
    </row>
    <row r="380" spans="1:17" x14ac:dyDescent="0.35">
      <c r="A380" s="3">
        <v>2024</v>
      </c>
      <c r="B380" s="3">
        <v>8</v>
      </c>
      <c r="C380" s="3">
        <v>19</v>
      </c>
      <c r="D380" s="2">
        <v>742</v>
      </c>
      <c r="E380" s="3" t="s">
        <v>1149</v>
      </c>
      <c r="F380" s="3">
        <v>3</v>
      </c>
      <c r="G380" s="3" t="s">
        <v>225</v>
      </c>
      <c r="H380" s="3" t="str">
        <f t="shared" si="20"/>
        <v>2021</v>
      </c>
      <c r="I380" s="3">
        <v>3</v>
      </c>
      <c r="J380" s="69"/>
      <c r="K380">
        <v>3</v>
      </c>
      <c r="L380">
        <v>3</v>
      </c>
      <c r="M380">
        <v>48.6</v>
      </c>
      <c r="N380" s="3">
        <v>384</v>
      </c>
      <c r="O380" s="3" t="str">
        <f t="shared" si="19"/>
        <v>2021</v>
      </c>
      <c r="P380" s="2">
        <v>742</v>
      </c>
    </row>
    <row r="381" spans="1:17" x14ac:dyDescent="0.35">
      <c r="A381" s="3">
        <v>2023</v>
      </c>
      <c r="B381" s="3">
        <v>7</v>
      </c>
      <c r="C381" s="3">
        <v>19</v>
      </c>
      <c r="D381" s="2">
        <v>375</v>
      </c>
      <c r="E381" s="3" t="s">
        <v>841</v>
      </c>
      <c r="F381" s="3">
        <v>3</v>
      </c>
      <c r="G381" s="3" t="s">
        <v>41</v>
      </c>
      <c r="H381" s="3" t="str">
        <f t="shared" si="20"/>
        <v>2012</v>
      </c>
      <c r="I381" s="3">
        <v>11</v>
      </c>
      <c r="J381" s="69"/>
      <c r="K381" s="3" t="s">
        <v>544</v>
      </c>
      <c r="L381" s="3" t="s">
        <v>461</v>
      </c>
      <c r="M381" s="3">
        <v>4.9000000000000004</v>
      </c>
      <c r="N381" s="3">
        <v>385</v>
      </c>
      <c r="O381" s="3" t="str">
        <f t="shared" si="19"/>
        <v>2011</v>
      </c>
      <c r="P381" s="2">
        <v>375</v>
      </c>
    </row>
    <row r="382" spans="1:17" x14ac:dyDescent="0.35">
      <c r="A382" s="3">
        <v>2024</v>
      </c>
      <c r="B382" s="3">
        <v>3</v>
      </c>
      <c r="C382" s="3">
        <v>28</v>
      </c>
      <c r="D382" s="2">
        <v>654</v>
      </c>
      <c r="E382" s="3" t="s">
        <v>1081</v>
      </c>
      <c r="F382" s="3">
        <v>2</v>
      </c>
      <c r="G382" s="3" t="s">
        <v>41</v>
      </c>
      <c r="H382" s="3" t="str">
        <f t="shared" si="20"/>
        <v>2013</v>
      </c>
      <c r="I382" s="3">
        <v>11</v>
      </c>
      <c r="J382" s="69"/>
      <c r="K382" t="s">
        <v>49</v>
      </c>
      <c r="L382" t="s">
        <v>318</v>
      </c>
      <c r="M382">
        <v>49.6</v>
      </c>
      <c r="N382" s="3">
        <v>385</v>
      </c>
      <c r="O382" s="3" t="str">
        <f t="shared" si="19"/>
        <v>2011</v>
      </c>
      <c r="P382" s="2">
        <v>654</v>
      </c>
    </row>
    <row r="383" spans="1:17" x14ac:dyDescent="0.35">
      <c r="A383" s="3">
        <v>2024</v>
      </c>
      <c r="B383" s="3">
        <v>1</v>
      </c>
      <c r="C383" s="3">
        <v>16</v>
      </c>
      <c r="D383" s="2">
        <v>570</v>
      </c>
      <c r="E383" s="3" t="s">
        <v>1014</v>
      </c>
      <c r="F383" s="3">
        <v>1</v>
      </c>
      <c r="G383" s="3" t="s">
        <v>45</v>
      </c>
      <c r="H383" s="3" t="str">
        <f t="shared" si="20"/>
        <v>2011</v>
      </c>
      <c r="I383" s="3">
        <v>13</v>
      </c>
      <c r="J383" s="69"/>
      <c r="K383" t="s">
        <v>615</v>
      </c>
      <c r="L383" s="3" t="s">
        <v>317</v>
      </c>
      <c r="M383">
        <v>51.6</v>
      </c>
      <c r="N383" s="3">
        <v>386</v>
      </c>
      <c r="O383" s="3" t="str">
        <f t="shared" si="19"/>
        <v>2007</v>
      </c>
      <c r="P383" s="2">
        <v>570</v>
      </c>
    </row>
    <row r="384" spans="1:17" x14ac:dyDescent="0.35">
      <c r="A384" s="3">
        <v>2016</v>
      </c>
      <c r="B384" s="3">
        <v>11</v>
      </c>
      <c r="C384" s="3">
        <v>7</v>
      </c>
      <c r="D384" s="2">
        <v>227</v>
      </c>
      <c r="E384" s="3" t="s">
        <v>685</v>
      </c>
      <c r="F384" s="3">
        <v>4</v>
      </c>
      <c r="G384" s="3" t="s">
        <v>45</v>
      </c>
      <c r="H384" s="3" t="str">
        <f t="shared" si="20"/>
        <v>2009</v>
      </c>
      <c r="I384" s="3">
        <v>7</v>
      </c>
      <c r="J384" s="69"/>
      <c r="K384" s="3" t="s">
        <v>671</v>
      </c>
      <c r="L384" s="3" t="s">
        <v>512</v>
      </c>
      <c r="M384" s="3">
        <v>51.8</v>
      </c>
      <c r="N384" s="3">
        <v>387</v>
      </c>
      <c r="O384" s="3" t="str">
        <f t="shared" si="19"/>
        <v>2007</v>
      </c>
      <c r="P384" s="2">
        <v>227</v>
      </c>
    </row>
    <row r="385" spans="1:16" x14ac:dyDescent="0.35">
      <c r="A385" s="3">
        <v>2023</v>
      </c>
      <c r="B385" s="3">
        <v>7</v>
      </c>
      <c r="C385" s="3">
        <v>17</v>
      </c>
      <c r="D385" s="2">
        <v>388</v>
      </c>
      <c r="E385" s="3" t="s">
        <v>853</v>
      </c>
      <c r="F385" s="3">
        <v>3</v>
      </c>
      <c r="G385" s="3" t="s">
        <v>45</v>
      </c>
      <c r="H385" s="3" t="str">
        <f t="shared" si="20"/>
        <v>2011</v>
      </c>
      <c r="I385" s="3">
        <v>12</v>
      </c>
      <c r="J385" s="69"/>
      <c r="K385" s="3" t="s">
        <v>632</v>
      </c>
      <c r="L385" s="3" t="s">
        <v>317</v>
      </c>
      <c r="M385" s="3">
        <v>42.6</v>
      </c>
      <c r="N385" s="3">
        <v>387</v>
      </c>
      <c r="O385" s="3" t="str">
        <f t="shared" si="19"/>
        <v>2007</v>
      </c>
      <c r="P385" s="2">
        <v>388</v>
      </c>
    </row>
    <row r="386" spans="1:16" x14ac:dyDescent="0.35">
      <c r="A386" s="3">
        <v>2023</v>
      </c>
      <c r="B386" s="3">
        <v>7</v>
      </c>
      <c r="C386" s="3">
        <v>21</v>
      </c>
      <c r="D386" s="2">
        <v>412</v>
      </c>
      <c r="E386" s="3" t="s">
        <v>875</v>
      </c>
      <c r="F386" s="3">
        <v>3</v>
      </c>
      <c r="G386" s="3" t="s">
        <v>20</v>
      </c>
      <c r="H386" s="3" t="str">
        <f t="shared" si="20"/>
        <v>2020</v>
      </c>
      <c r="I386" s="3">
        <v>3</v>
      </c>
      <c r="J386" s="69"/>
      <c r="K386" s="3" t="s">
        <v>55</v>
      </c>
      <c r="L386" s="3">
        <v>8</v>
      </c>
      <c r="M386" s="3">
        <v>52.7</v>
      </c>
      <c r="N386" s="3">
        <v>387</v>
      </c>
      <c r="O386" s="3" t="str">
        <f t="shared" ref="O386:O449" si="21">IF(G386="PHD", "2007", IF(G386="TSL", "2011", IF(G386 = "SRS", "2018", IF(G386="WCA 3B", "2017", IF(G386="WCA 3A", "2021")))))</f>
        <v>2018</v>
      </c>
      <c r="P386" s="2">
        <v>412</v>
      </c>
    </row>
    <row r="387" spans="1:16" x14ac:dyDescent="0.35">
      <c r="A387" s="3">
        <v>2024</v>
      </c>
      <c r="B387" s="3">
        <v>8</v>
      </c>
      <c r="C387" s="3">
        <v>12</v>
      </c>
      <c r="D387" s="2">
        <v>699</v>
      </c>
      <c r="E387" s="3" t="s">
        <v>1118</v>
      </c>
      <c r="F387" s="3">
        <v>3</v>
      </c>
      <c r="G387" s="3" t="s">
        <v>41</v>
      </c>
      <c r="H387" s="3" t="str">
        <f t="shared" si="20"/>
        <v>2012</v>
      </c>
      <c r="I387" s="3">
        <v>12</v>
      </c>
      <c r="J387" s="69"/>
      <c r="K387" t="s">
        <v>1119</v>
      </c>
      <c r="L387" t="s">
        <v>461</v>
      </c>
      <c r="M387">
        <v>43</v>
      </c>
      <c r="N387" s="3">
        <v>387</v>
      </c>
      <c r="O387" s="3" t="str">
        <f t="shared" si="21"/>
        <v>2011</v>
      </c>
      <c r="P387" s="2">
        <v>699</v>
      </c>
    </row>
    <row r="388" spans="1:16" x14ac:dyDescent="0.35">
      <c r="A388" s="3">
        <v>2024</v>
      </c>
      <c r="B388">
        <v>8</v>
      </c>
      <c r="C388" s="3">
        <v>15</v>
      </c>
      <c r="D388" s="2">
        <v>830</v>
      </c>
      <c r="E388" s="3" t="s">
        <v>310</v>
      </c>
      <c r="F388" s="3">
        <v>3</v>
      </c>
      <c r="G388" s="3" t="s">
        <v>225</v>
      </c>
      <c r="H388" s="3" t="str">
        <f t="shared" si="20"/>
        <v>2021</v>
      </c>
      <c r="I388" s="3">
        <v>3</v>
      </c>
      <c r="J388" s="69"/>
      <c r="K388" t="s">
        <v>237</v>
      </c>
      <c r="L388">
        <v>3</v>
      </c>
      <c r="M388">
        <v>60.2</v>
      </c>
      <c r="N388" s="3">
        <v>387</v>
      </c>
      <c r="O388" s="3" t="str">
        <f t="shared" si="21"/>
        <v>2021</v>
      </c>
      <c r="P388" s="2">
        <v>830</v>
      </c>
    </row>
    <row r="389" spans="1:16" x14ac:dyDescent="0.35">
      <c r="A389" s="3">
        <v>2022</v>
      </c>
      <c r="B389" s="3">
        <v>1</v>
      </c>
      <c r="C389" s="3" t="s">
        <v>28</v>
      </c>
      <c r="D389" s="2">
        <v>59</v>
      </c>
      <c r="E389" s="3" t="s">
        <v>502</v>
      </c>
      <c r="F389" s="3">
        <v>1</v>
      </c>
      <c r="G389" s="3" t="s">
        <v>41</v>
      </c>
      <c r="H389" s="3" t="str">
        <f t="shared" si="20"/>
        <v>2012</v>
      </c>
      <c r="I389" s="3">
        <v>10</v>
      </c>
      <c r="J389" s="69"/>
      <c r="K389" s="3" t="s">
        <v>461</v>
      </c>
      <c r="L389" s="3" t="s">
        <v>461</v>
      </c>
      <c r="M389" s="3">
        <v>51.1</v>
      </c>
      <c r="N389" s="3">
        <v>388</v>
      </c>
      <c r="O389" s="3" t="str">
        <f t="shared" si="21"/>
        <v>2011</v>
      </c>
      <c r="P389" s="2">
        <v>59</v>
      </c>
    </row>
    <row r="390" spans="1:16" x14ac:dyDescent="0.35">
      <c r="A390" s="3">
        <v>2024</v>
      </c>
      <c r="B390" s="3">
        <v>1</v>
      </c>
      <c r="C390" s="3">
        <v>17</v>
      </c>
      <c r="D390" s="2">
        <v>562</v>
      </c>
      <c r="E390" s="3" t="s">
        <v>1007</v>
      </c>
      <c r="F390" s="3">
        <v>1</v>
      </c>
      <c r="G390" s="3" t="s">
        <v>41</v>
      </c>
      <c r="H390" s="3" t="str">
        <f t="shared" si="20"/>
        <v>2013</v>
      </c>
      <c r="I390" s="3">
        <v>11</v>
      </c>
      <c r="J390" s="69"/>
      <c r="K390" t="s">
        <v>42</v>
      </c>
      <c r="L390" s="3" t="s">
        <v>318</v>
      </c>
      <c r="M390">
        <v>51.4</v>
      </c>
      <c r="N390" s="3">
        <v>388</v>
      </c>
      <c r="O390" s="3" t="str">
        <f t="shared" si="21"/>
        <v>2011</v>
      </c>
      <c r="P390" s="2">
        <v>562</v>
      </c>
    </row>
    <row r="391" spans="1:16" x14ac:dyDescent="0.35">
      <c r="A391" s="3">
        <v>2019</v>
      </c>
      <c r="B391" s="3">
        <v>11</v>
      </c>
      <c r="C391" s="3">
        <v>27</v>
      </c>
      <c r="D391" s="2">
        <v>50</v>
      </c>
      <c r="E391" s="3" t="s">
        <v>493</v>
      </c>
      <c r="F391" s="3">
        <v>4</v>
      </c>
      <c r="G391" s="3" t="s">
        <v>45</v>
      </c>
      <c r="H391" s="3" t="str">
        <f t="shared" ref="H391:H454" si="22">IF(L391="A55","2009",IF(L391="A59","2009",IF(L391="A60","2010",IF(L391="A62","2011",IF(L391="CP","2013",IF(L391="MD","2012",IF(L391="TS","2013",IF(L391="DL","2018",IF(L391="SCU","2018",IF(L391="NCU","2018",IF(L391="C1C","2018",IF(L391="C1E","2018",IF(L391="RS1S","2018",IF(L391="C2B","2018",IF(L391="DB3","2018",IF(AND(L391=6,G391="SRS"),"2018",IF(AND(L391=7,G391="SRS"),"2020",IF(AND(L391=8,G391="SRS"),"2020",IF(L391=23,"2019",IF(AND(L391=7,G391="WCA 3B"),"2017",IF(AND(L391=8,G391="WCA 3B"),"2019",IF(L391=1,"2021",IF(L391=2,"2022",IF(L391=3,"2021",IF(L391=4,"2021",IF(L391=5,"2022",IF(AND(L391=6,G391="WCA 3A"),"2022",IF(L391=9,"2023",IF(L391=10,"2023",IF(L391=37,"2020"))))))))))))))))))))))))))))))</f>
        <v>2009</v>
      </c>
      <c r="I391" s="3">
        <v>10</v>
      </c>
      <c r="J391" s="69"/>
      <c r="K391" s="3" t="s">
        <v>488</v>
      </c>
      <c r="L391" s="3" t="s">
        <v>488</v>
      </c>
      <c r="M391" s="3">
        <v>57.7</v>
      </c>
      <c r="N391" s="3">
        <v>389</v>
      </c>
      <c r="O391" s="3" t="str">
        <f t="shared" si="21"/>
        <v>2007</v>
      </c>
      <c r="P391" s="2">
        <v>50</v>
      </c>
    </row>
    <row r="392" spans="1:16" x14ac:dyDescent="0.35">
      <c r="A392" s="3">
        <v>2023</v>
      </c>
      <c r="B392" s="3">
        <v>11</v>
      </c>
      <c r="C392" s="3">
        <v>2</v>
      </c>
      <c r="D392" s="2">
        <v>536</v>
      </c>
      <c r="E392" s="3" t="s">
        <v>989</v>
      </c>
      <c r="F392" s="3">
        <v>4</v>
      </c>
      <c r="G392" s="3" t="s">
        <v>45</v>
      </c>
      <c r="H392" s="3" t="str">
        <f t="shared" si="22"/>
        <v>2011</v>
      </c>
      <c r="I392" s="3">
        <v>12</v>
      </c>
      <c r="J392" s="69"/>
      <c r="K392" t="s">
        <v>990</v>
      </c>
      <c r="L392" s="3" t="s">
        <v>317</v>
      </c>
      <c r="M392" s="3">
        <v>50.8</v>
      </c>
      <c r="N392" s="3">
        <v>389</v>
      </c>
      <c r="O392" s="3" t="str">
        <f t="shared" si="21"/>
        <v>2007</v>
      </c>
      <c r="P392" s="2">
        <v>536</v>
      </c>
    </row>
    <row r="393" spans="1:16" x14ac:dyDescent="0.35">
      <c r="A393" s="3">
        <v>2011</v>
      </c>
      <c r="B393" s="3">
        <v>9</v>
      </c>
      <c r="C393" s="3">
        <v>11</v>
      </c>
      <c r="D393" s="2">
        <v>621</v>
      </c>
      <c r="E393" s="3" t="s">
        <v>1059</v>
      </c>
      <c r="F393" s="3">
        <v>3</v>
      </c>
      <c r="G393" s="3" t="s">
        <v>45</v>
      </c>
      <c r="H393" s="3" t="str">
        <f t="shared" si="22"/>
        <v>2011</v>
      </c>
      <c r="I393" s="3">
        <v>0</v>
      </c>
      <c r="J393" s="69"/>
      <c r="K393" t="s">
        <v>602</v>
      </c>
      <c r="L393" s="3" t="s">
        <v>317</v>
      </c>
      <c r="M393">
        <v>47.6</v>
      </c>
      <c r="N393" s="3">
        <v>389</v>
      </c>
      <c r="O393" s="3" t="str">
        <f t="shared" si="21"/>
        <v>2007</v>
      </c>
      <c r="P393" s="2">
        <v>621</v>
      </c>
    </row>
    <row r="394" spans="1:16" x14ac:dyDescent="0.35">
      <c r="A394" s="3">
        <v>2017</v>
      </c>
      <c r="B394" s="3">
        <v>11</v>
      </c>
      <c r="C394" s="3">
        <v>9</v>
      </c>
      <c r="D394" s="2">
        <v>76</v>
      </c>
      <c r="E394" s="14" t="s">
        <v>521</v>
      </c>
      <c r="F394" s="15">
        <v>4</v>
      </c>
      <c r="G394" s="3" t="s">
        <v>45</v>
      </c>
      <c r="H394" s="3" t="str">
        <f t="shared" si="22"/>
        <v>2011</v>
      </c>
      <c r="I394" s="3">
        <v>6</v>
      </c>
      <c r="J394" s="69"/>
      <c r="K394" s="3" t="s">
        <v>317</v>
      </c>
      <c r="L394" s="3" t="s">
        <v>317</v>
      </c>
      <c r="M394" s="3">
        <v>49.7</v>
      </c>
      <c r="N394" s="3">
        <v>390</v>
      </c>
      <c r="O394" s="3" t="str">
        <f t="shared" si="21"/>
        <v>2007</v>
      </c>
      <c r="P394" s="2">
        <v>76</v>
      </c>
    </row>
    <row r="395" spans="1:16" x14ac:dyDescent="0.35">
      <c r="A395" s="3">
        <v>2023</v>
      </c>
      <c r="B395" s="3">
        <v>2</v>
      </c>
      <c r="C395" s="3">
        <v>18</v>
      </c>
      <c r="D395" s="2">
        <v>145</v>
      </c>
      <c r="E395" s="14" t="s">
        <v>590</v>
      </c>
      <c r="F395" s="15">
        <v>1</v>
      </c>
      <c r="G395" s="3" t="s">
        <v>41</v>
      </c>
      <c r="H395" s="3" t="str">
        <f t="shared" si="22"/>
        <v>2013</v>
      </c>
      <c r="I395" s="3">
        <v>10</v>
      </c>
      <c r="J395" s="69"/>
      <c r="K395" s="3" t="s">
        <v>91</v>
      </c>
      <c r="L395" s="3" t="s">
        <v>318</v>
      </c>
      <c r="M395" s="3">
        <v>51.8</v>
      </c>
      <c r="N395" s="3">
        <v>390</v>
      </c>
      <c r="O395" s="3" t="str">
        <f t="shared" si="21"/>
        <v>2011</v>
      </c>
      <c r="P395" s="2">
        <v>145</v>
      </c>
    </row>
    <row r="396" spans="1:16" x14ac:dyDescent="0.35">
      <c r="A396" s="3">
        <v>2024</v>
      </c>
      <c r="B396" s="3">
        <v>8</v>
      </c>
      <c r="C396" s="3">
        <v>19</v>
      </c>
      <c r="D396" s="2">
        <v>810</v>
      </c>
      <c r="E396" s="3" t="s">
        <v>1176</v>
      </c>
      <c r="F396" s="3">
        <v>3</v>
      </c>
      <c r="G396" s="3" t="s">
        <v>225</v>
      </c>
      <c r="H396" s="3" t="str">
        <f t="shared" si="22"/>
        <v>2021</v>
      </c>
      <c r="I396" s="3">
        <v>3</v>
      </c>
      <c r="J396" s="69"/>
      <c r="K396">
        <v>3</v>
      </c>
      <c r="L396">
        <v>3</v>
      </c>
      <c r="M396">
        <v>61.7</v>
      </c>
      <c r="N396" s="3">
        <v>390</v>
      </c>
      <c r="O396" s="3" t="str">
        <f t="shared" si="21"/>
        <v>2021</v>
      </c>
      <c r="P396" s="2">
        <v>810</v>
      </c>
    </row>
    <row r="397" spans="1:16" x14ac:dyDescent="0.35">
      <c r="A397" s="3">
        <v>2019</v>
      </c>
      <c r="B397" s="3">
        <v>1</v>
      </c>
      <c r="C397" s="3" t="s">
        <v>28</v>
      </c>
      <c r="D397" s="2">
        <v>64</v>
      </c>
      <c r="E397" s="3" t="s">
        <v>507</v>
      </c>
      <c r="F397" s="3">
        <v>1</v>
      </c>
      <c r="G397" s="3" t="s">
        <v>41</v>
      </c>
      <c r="H397" s="3" t="str">
        <f t="shared" si="22"/>
        <v>2012</v>
      </c>
      <c r="I397" s="3">
        <v>7</v>
      </c>
      <c r="J397" s="69"/>
      <c r="K397" s="3" t="s">
        <v>461</v>
      </c>
      <c r="L397" s="3" t="s">
        <v>461</v>
      </c>
      <c r="M397" s="3">
        <v>43.7</v>
      </c>
      <c r="N397" s="3">
        <v>391</v>
      </c>
      <c r="O397" s="3" t="str">
        <f t="shared" si="21"/>
        <v>2011</v>
      </c>
      <c r="P397" s="2">
        <v>64</v>
      </c>
    </row>
    <row r="398" spans="1:16" x14ac:dyDescent="0.35">
      <c r="A398" s="3">
        <v>2023</v>
      </c>
      <c r="B398" s="3">
        <v>8</v>
      </c>
      <c r="C398" s="3">
        <v>2</v>
      </c>
      <c r="D398" s="2">
        <v>442</v>
      </c>
      <c r="E398" s="3" t="s">
        <v>903</v>
      </c>
      <c r="F398" s="3">
        <v>3</v>
      </c>
      <c r="G398" s="3" t="s">
        <v>226</v>
      </c>
      <c r="H398" s="3" t="str">
        <f t="shared" si="22"/>
        <v>2019</v>
      </c>
      <c r="I398" s="3">
        <v>4</v>
      </c>
      <c r="J398" s="69"/>
      <c r="K398" s="3" t="s">
        <v>231</v>
      </c>
      <c r="L398" s="3">
        <v>8</v>
      </c>
      <c r="M398" s="3">
        <v>46.6</v>
      </c>
      <c r="N398" s="3">
        <v>391</v>
      </c>
      <c r="O398" s="3" t="str">
        <f t="shared" si="21"/>
        <v>2017</v>
      </c>
      <c r="P398" s="2">
        <v>442</v>
      </c>
    </row>
    <row r="399" spans="1:16" x14ac:dyDescent="0.35">
      <c r="A399" s="3">
        <v>2024</v>
      </c>
      <c r="B399" s="3">
        <v>3</v>
      </c>
      <c r="C399" s="3">
        <v>12</v>
      </c>
      <c r="D399" s="2">
        <v>687</v>
      </c>
      <c r="E399" s="3" t="s">
        <v>1108</v>
      </c>
      <c r="F399" s="3">
        <v>2</v>
      </c>
      <c r="G399" s="3" t="s">
        <v>45</v>
      </c>
      <c r="H399" s="3" t="str">
        <f t="shared" si="22"/>
        <v>2011</v>
      </c>
      <c r="I399" s="3">
        <v>13</v>
      </c>
      <c r="J399" s="69"/>
      <c r="K399" t="s">
        <v>1105</v>
      </c>
      <c r="L399" t="s">
        <v>317</v>
      </c>
      <c r="M399">
        <v>60.6</v>
      </c>
      <c r="N399" s="3">
        <v>391</v>
      </c>
      <c r="O399" s="3" t="str">
        <f t="shared" si="21"/>
        <v>2007</v>
      </c>
      <c r="P399" s="2">
        <v>687</v>
      </c>
    </row>
    <row r="400" spans="1:16" x14ac:dyDescent="0.35">
      <c r="A400" s="3">
        <v>2024</v>
      </c>
      <c r="B400">
        <v>8</v>
      </c>
      <c r="C400" s="3">
        <v>15</v>
      </c>
      <c r="D400" s="2">
        <v>829</v>
      </c>
      <c r="E400" s="3" t="s">
        <v>309</v>
      </c>
      <c r="F400" s="3">
        <v>3</v>
      </c>
      <c r="G400" s="3" t="s">
        <v>225</v>
      </c>
      <c r="H400" s="3" t="str">
        <f t="shared" si="22"/>
        <v>2021</v>
      </c>
      <c r="I400" s="3">
        <v>3</v>
      </c>
      <c r="J400" s="69"/>
      <c r="K400" t="s">
        <v>237</v>
      </c>
      <c r="L400">
        <v>3</v>
      </c>
      <c r="M400">
        <v>54.4</v>
      </c>
      <c r="N400" s="3">
        <v>391</v>
      </c>
      <c r="O400" s="3" t="str">
        <f t="shared" si="21"/>
        <v>2021</v>
      </c>
      <c r="P400" s="2">
        <v>829</v>
      </c>
    </row>
    <row r="401" spans="1:20" x14ac:dyDescent="0.35">
      <c r="A401" s="3">
        <v>2023</v>
      </c>
      <c r="B401" s="3">
        <v>2</v>
      </c>
      <c r="C401" s="3">
        <v>10</v>
      </c>
      <c r="D401" s="2">
        <v>141</v>
      </c>
      <c r="E401" s="14" t="s">
        <v>587</v>
      </c>
      <c r="F401" s="15">
        <v>1</v>
      </c>
      <c r="G401" s="3" t="s">
        <v>41</v>
      </c>
      <c r="H401" s="3" t="str">
        <f t="shared" si="22"/>
        <v>2013</v>
      </c>
      <c r="I401" s="3">
        <v>10</v>
      </c>
      <c r="J401" s="69"/>
      <c r="K401" s="3" t="s">
        <v>91</v>
      </c>
      <c r="L401" s="3" t="s">
        <v>318</v>
      </c>
      <c r="M401" s="3">
        <v>138.80000000000001</v>
      </c>
      <c r="N401" s="3">
        <v>392</v>
      </c>
      <c r="O401" s="3" t="str">
        <f t="shared" si="21"/>
        <v>2011</v>
      </c>
      <c r="P401" s="2">
        <v>141</v>
      </c>
    </row>
    <row r="402" spans="1:20" x14ac:dyDescent="0.35">
      <c r="A402" s="3">
        <v>2016</v>
      </c>
      <c r="B402" s="3">
        <v>8</v>
      </c>
      <c r="C402" s="3">
        <v>31</v>
      </c>
      <c r="D402" s="2">
        <v>287</v>
      </c>
      <c r="E402" s="3" t="s">
        <v>752</v>
      </c>
      <c r="F402" s="3">
        <v>3</v>
      </c>
      <c r="G402" s="3" t="s">
        <v>45</v>
      </c>
      <c r="H402" s="3" t="str">
        <f t="shared" si="22"/>
        <v>2011</v>
      </c>
      <c r="I402" s="3">
        <v>5</v>
      </c>
      <c r="J402" s="69"/>
      <c r="K402" s="3" t="s">
        <v>749</v>
      </c>
      <c r="L402" s="3" t="s">
        <v>317</v>
      </c>
      <c r="M402" s="3">
        <v>47.6</v>
      </c>
      <c r="N402" s="3">
        <v>392</v>
      </c>
      <c r="O402" s="3" t="str">
        <f t="shared" si="21"/>
        <v>2007</v>
      </c>
      <c r="P402" s="2">
        <v>287</v>
      </c>
    </row>
    <row r="403" spans="1:20" x14ac:dyDescent="0.35">
      <c r="A403" s="3">
        <v>2023</v>
      </c>
      <c r="B403" s="3">
        <v>11</v>
      </c>
      <c r="C403" s="3">
        <v>17</v>
      </c>
      <c r="D403" s="2">
        <v>500</v>
      </c>
      <c r="E403" s="3" t="s">
        <v>954</v>
      </c>
      <c r="F403" s="3">
        <v>4</v>
      </c>
      <c r="G403" s="3" t="s">
        <v>225</v>
      </c>
      <c r="H403" s="3" t="str">
        <f t="shared" si="22"/>
        <v>2022</v>
      </c>
      <c r="I403" s="3">
        <v>1</v>
      </c>
      <c r="J403" s="69"/>
      <c r="K403" s="3" t="s">
        <v>235</v>
      </c>
      <c r="L403" s="3">
        <v>5</v>
      </c>
      <c r="M403" s="3">
        <v>50.4</v>
      </c>
      <c r="N403" s="3">
        <v>392</v>
      </c>
      <c r="O403" s="3" t="str">
        <f t="shared" si="21"/>
        <v>2021</v>
      </c>
      <c r="P403" s="2">
        <v>500</v>
      </c>
    </row>
    <row r="404" spans="1:20" x14ac:dyDescent="0.35">
      <c r="A404" s="3">
        <v>2017</v>
      </c>
      <c r="B404" s="3">
        <v>8</v>
      </c>
      <c r="C404" s="3">
        <v>14</v>
      </c>
      <c r="D404" s="2">
        <v>89</v>
      </c>
      <c r="E404" s="14" t="s">
        <v>534</v>
      </c>
      <c r="F404" s="15">
        <v>3</v>
      </c>
      <c r="G404" s="3" t="s">
        <v>45</v>
      </c>
      <c r="H404" s="3" t="str">
        <f t="shared" si="22"/>
        <v>2011</v>
      </c>
      <c r="I404" s="3">
        <v>6</v>
      </c>
      <c r="J404" s="69"/>
      <c r="K404" s="3" t="s">
        <v>317</v>
      </c>
      <c r="L404" s="3" t="s">
        <v>317</v>
      </c>
      <c r="M404" s="3">
        <v>52.2</v>
      </c>
      <c r="N404" s="3">
        <v>393</v>
      </c>
      <c r="O404" s="3" t="str">
        <f t="shared" si="21"/>
        <v>2007</v>
      </c>
      <c r="P404" s="2">
        <v>89</v>
      </c>
    </row>
    <row r="405" spans="1:20" x14ac:dyDescent="0.35">
      <c r="A405" s="3">
        <v>2023</v>
      </c>
      <c r="B405" s="3">
        <v>7</v>
      </c>
      <c r="C405" s="3">
        <v>17</v>
      </c>
      <c r="D405" s="2">
        <v>396</v>
      </c>
      <c r="E405" s="3" t="s">
        <v>861</v>
      </c>
      <c r="F405" s="3">
        <v>3</v>
      </c>
      <c r="G405" s="3" t="s">
        <v>45</v>
      </c>
      <c r="H405" s="3" t="str">
        <f t="shared" si="22"/>
        <v>2011</v>
      </c>
      <c r="I405" s="3">
        <v>12</v>
      </c>
      <c r="J405" s="69"/>
      <c r="K405" s="3" t="s">
        <v>632</v>
      </c>
      <c r="L405" s="3" t="s">
        <v>317</v>
      </c>
      <c r="M405" s="3">
        <v>34.799999999999997</v>
      </c>
      <c r="N405" s="3">
        <v>393</v>
      </c>
      <c r="O405" s="3" t="str">
        <f t="shared" si="21"/>
        <v>2007</v>
      </c>
      <c r="P405" s="2">
        <v>396</v>
      </c>
    </row>
    <row r="406" spans="1:20" x14ac:dyDescent="0.35">
      <c r="A406" s="3">
        <v>2024</v>
      </c>
      <c r="B406" s="3">
        <v>8</v>
      </c>
      <c r="C406" s="3">
        <v>13</v>
      </c>
      <c r="D406" s="2">
        <v>711</v>
      </c>
      <c r="E406" s="3" t="s">
        <v>1127</v>
      </c>
      <c r="F406" s="3">
        <v>3</v>
      </c>
      <c r="G406" s="3" t="s">
        <v>225</v>
      </c>
      <c r="H406" s="3" t="str">
        <f t="shared" si="22"/>
        <v>2022</v>
      </c>
      <c r="I406" s="3">
        <v>2</v>
      </c>
      <c r="J406" s="69"/>
      <c r="K406" t="s">
        <v>1126</v>
      </c>
      <c r="L406">
        <v>2</v>
      </c>
      <c r="M406">
        <v>55.7</v>
      </c>
      <c r="N406" s="3">
        <v>393</v>
      </c>
      <c r="O406" s="3" t="str">
        <f t="shared" si="21"/>
        <v>2021</v>
      </c>
      <c r="P406" s="2">
        <v>711</v>
      </c>
    </row>
    <row r="407" spans="1:20" x14ac:dyDescent="0.35">
      <c r="A407" s="3">
        <v>2022</v>
      </c>
      <c r="B407" s="3">
        <v>3</v>
      </c>
      <c r="C407" s="3" t="s">
        <v>28</v>
      </c>
      <c r="D407" s="2">
        <v>7</v>
      </c>
      <c r="E407" s="3" t="s">
        <v>450</v>
      </c>
      <c r="F407" s="3">
        <v>2</v>
      </c>
      <c r="G407" s="3" t="s">
        <v>20</v>
      </c>
      <c r="H407" s="3" t="str">
        <f t="shared" si="22"/>
        <v>2019</v>
      </c>
      <c r="I407" s="3">
        <v>3</v>
      </c>
      <c r="J407" s="69"/>
      <c r="K407" s="3">
        <v>23</v>
      </c>
      <c r="L407" s="3">
        <v>23</v>
      </c>
      <c r="M407" s="3">
        <v>53.5</v>
      </c>
      <c r="N407" s="3">
        <v>394</v>
      </c>
      <c r="O407" s="3" t="str">
        <f t="shared" si="21"/>
        <v>2018</v>
      </c>
      <c r="P407" s="2">
        <v>7</v>
      </c>
    </row>
    <row r="408" spans="1:20" x14ac:dyDescent="0.35">
      <c r="A408" s="3">
        <v>2022</v>
      </c>
      <c r="B408" s="3">
        <v>11</v>
      </c>
      <c r="C408" s="3">
        <v>7</v>
      </c>
      <c r="D408" s="2">
        <v>103</v>
      </c>
      <c r="E408" s="14" t="s">
        <v>550</v>
      </c>
      <c r="F408" s="15">
        <v>4</v>
      </c>
      <c r="G408" s="3" t="s">
        <v>41</v>
      </c>
      <c r="H408" s="3" t="str">
        <f t="shared" si="22"/>
        <v>2012</v>
      </c>
      <c r="I408" s="3">
        <v>10</v>
      </c>
      <c r="J408" s="69"/>
      <c r="K408" s="3" t="s">
        <v>551</v>
      </c>
      <c r="L408" s="3" t="s">
        <v>461</v>
      </c>
      <c r="M408" s="3">
        <v>53.7</v>
      </c>
      <c r="N408" s="3">
        <v>394</v>
      </c>
      <c r="O408" s="3" t="str">
        <f t="shared" si="21"/>
        <v>2011</v>
      </c>
      <c r="P408" s="2">
        <v>103</v>
      </c>
    </row>
    <row r="409" spans="1:20" x14ac:dyDescent="0.35">
      <c r="A409" s="3">
        <v>2022</v>
      </c>
      <c r="B409" s="3">
        <v>11</v>
      </c>
      <c r="C409" s="3">
        <v>22</v>
      </c>
      <c r="D409" s="2">
        <v>115</v>
      </c>
      <c r="E409" s="14" t="s">
        <v>561</v>
      </c>
      <c r="F409" s="15">
        <v>4</v>
      </c>
      <c r="G409" s="3" t="s">
        <v>41</v>
      </c>
      <c r="H409" s="3" t="str">
        <f t="shared" si="22"/>
        <v>2012</v>
      </c>
      <c r="I409" s="3">
        <v>10</v>
      </c>
      <c r="J409" s="69"/>
      <c r="K409" s="3" t="s">
        <v>461</v>
      </c>
      <c r="L409" s="3" t="s">
        <v>461</v>
      </c>
      <c r="M409" s="3">
        <v>48.5</v>
      </c>
      <c r="N409" s="3">
        <v>394</v>
      </c>
      <c r="O409" s="3" t="str">
        <f t="shared" si="21"/>
        <v>2011</v>
      </c>
      <c r="P409" s="2">
        <v>115</v>
      </c>
    </row>
    <row r="410" spans="1:20" x14ac:dyDescent="0.35">
      <c r="A410" s="3">
        <v>2022</v>
      </c>
      <c r="B410" s="3">
        <v>1</v>
      </c>
      <c r="C410" s="3" t="s">
        <v>28</v>
      </c>
      <c r="D410" s="2">
        <v>26</v>
      </c>
      <c r="E410" s="3" t="s">
        <v>468</v>
      </c>
      <c r="F410" s="3">
        <v>1</v>
      </c>
      <c r="G410" s="3" t="s">
        <v>20</v>
      </c>
      <c r="H410" s="3" t="str">
        <f t="shared" si="22"/>
        <v>2020</v>
      </c>
      <c r="I410" s="3">
        <v>2</v>
      </c>
      <c r="J410" s="69"/>
      <c r="K410" s="3">
        <v>7</v>
      </c>
      <c r="L410" s="3">
        <v>7</v>
      </c>
      <c r="M410" s="3">
        <v>67.8</v>
      </c>
      <c r="N410" s="3">
        <v>395</v>
      </c>
      <c r="O410" s="3" t="str">
        <f t="shared" si="21"/>
        <v>2018</v>
      </c>
      <c r="P410" s="2">
        <v>26</v>
      </c>
    </row>
    <row r="411" spans="1:20" x14ac:dyDescent="0.35">
      <c r="A411" s="3">
        <v>2019</v>
      </c>
      <c r="B411" s="3">
        <v>1</v>
      </c>
      <c r="C411" s="3" t="s">
        <v>28</v>
      </c>
      <c r="D411" s="2">
        <v>63</v>
      </c>
      <c r="E411" s="3" t="s">
        <v>506</v>
      </c>
      <c r="F411" s="3">
        <v>1</v>
      </c>
      <c r="G411" s="3" t="s">
        <v>41</v>
      </c>
      <c r="H411" s="3" t="str">
        <f t="shared" si="22"/>
        <v>2012</v>
      </c>
      <c r="I411" s="3">
        <v>7</v>
      </c>
      <c r="J411" s="69"/>
      <c r="K411" s="3" t="s">
        <v>461</v>
      </c>
      <c r="L411" s="3" t="s">
        <v>461</v>
      </c>
      <c r="M411" s="3">
        <v>49.3</v>
      </c>
      <c r="N411" s="3">
        <v>395</v>
      </c>
      <c r="O411" s="3" t="str">
        <f t="shared" si="21"/>
        <v>2011</v>
      </c>
      <c r="P411" s="2">
        <v>63</v>
      </c>
    </row>
    <row r="412" spans="1:20" x14ac:dyDescent="0.35">
      <c r="A412" s="3">
        <v>2023</v>
      </c>
      <c r="B412" s="3">
        <v>7</v>
      </c>
      <c r="C412" s="3">
        <v>17</v>
      </c>
      <c r="D412" s="2">
        <v>398</v>
      </c>
      <c r="E412" s="3" t="s">
        <v>863</v>
      </c>
      <c r="F412" s="3">
        <v>3</v>
      </c>
      <c r="G412" s="3" t="s">
        <v>45</v>
      </c>
      <c r="H412" s="3" t="str">
        <f t="shared" si="22"/>
        <v>2011</v>
      </c>
      <c r="I412" s="3">
        <v>12</v>
      </c>
      <c r="J412" s="69"/>
      <c r="K412" s="3" t="s">
        <v>632</v>
      </c>
      <c r="L412" s="3" t="s">
        <v>317</v>
      </c>
      <c r="M412" s="3">
        <v>4.0999999999999996</v>
      </c>
      <c r="N412" s="3">
        <v>395</v>
      </c>
      <c r="O412" s="3" t="str">
        <f t="shared" si="21"/>
        <v>2007</v>
      </c>
      <c r="P412" s="2">
        <v>398</v>
      </c>
    </row>
    <row r="413" spans="1:20" x14ac:dyDescent="0.35">
      <c r="A413" s="3">
        <v>2023</v>
      </c>
      <c r="B413" s="3">
        <v>10</v>
      </c>
      <c r="C413" s="3">
        <v>31</v>
      </c>
      <c r="D413" s="2">
        <v>542</v>
      </c>
      <c r="E413" s="3" t="s">
        <v>97</v>
      </c>
      <c r="F413" s="3">
        <v>4</v>
      </c>
      <c r="G413" s="3" t="s">
        <v>225</v>
      </c>
      <c r="H413" s="3" t="str">
        <f t="shared" si="22"/>
        <v>2022</v>
      </c>
      <c r="I413" s="3">
        <v>1</v>
      </c>
      <c r="J413" s="69"/>
      <c r="K413" t="s">
        <v>67</v>
      </c>
      <c r="L413" s="3">
        <v>2</v>
      </c>
      <c r="M413" s="3">
        <v>64.8</v>
      </c>
      <c r="N413" s="3">
        <v>395</v>
      </c>
      <c r="O413" s="3" t="str">
        <f t="shared" si="21"/>
        <v>2021</v>
      </c>
      <c r="P413" s="2">
        <v>542</v>
      </c>
    </row>
    <row r="414" spans="1:20" x14ac:dyDescent="0.35">
      <c r="A414" s="3">
        <v>2024</v>
      </c>
      <c r="B414" s="3">
        <v>8</v>
      </c>
      <c r="C414" s="3">
        <v>19</v>
      </c>
      <c r="D414" s="2">
        <v>727</v>
      </c>
      <c r="E414" s="3" t="s">
        <v>1143</v>
      </c>
      <c r="F414" s="3">
        <v>3</v>
      </c>
      <c r="G414" s="3" t="s">
        <v>225</v>
      </c>
      <c r="H414" s="3" t="str">
        <f t="shared" si="22"/>
        <v>2021</v>
      </c>
      <c r="I414" s="3">
        <v>3</v>
      </c>
      <c r="J414" s="69"/>
      <c r="K414">
        <v>3</v>
      </c>
      <c r="L414">
        <v>3</v>
      </c>
      <c r="M414">
        <v>85.3</v>
      </c>
      <c r="N414" s="3">
        <v>395</v>
      </c>
      <c r="O414" s="3" t="str">
        <f t="shared" si="21"/>
        <v>2021</v>
      </c>
      <c r="P414" s="2">
        <v>727</v>
      </c>
    </row>
    <row r="415" spans="1:20" x14ac:dyDescent="0.35">
      <c r="A415" s="3">
        <v>2016</v>
      </c>
      <c r="B415" s="3">
        <v>8</v>
      </c>
      <c r="C415" s="3">
        <v>31</v>
      </c>
      <c r="D415" s="2">
        <v>278</v>
      </c>
      <c r="E415" s="3" t="s">
        <v>741</v>
      </c>
      <c r="F415" s="3">
        <v>3</v>
      </c>
      <c r="G415" s="3" t="s">
        <v>45</v>
      </c>
      <c r="H415" s="3" t="str">
        <f t="shared" si="22"/>
        <v>2009</v>
      </c>
      <c r="I415" s="3">
        <v>7</v>
      </c>
      <c r="J415" s="69"/>
      <c r="K415" s="3" t="s">
        <v>742</v>
      </c>
      <c r="L415" s="3" t="s">
        <v>488</v>
      </c>
      <c r="M415" s="3">
        <v>53.3</v>
      </c>
      <c r="N415" s="3">
        <v>396</v>
      </c>
      <c r="O415" s="3" t="str">
        <f t="shared" si="21"/>
        <v>2007</v>
      </c>
      <c r="P415" s="2">
        <v>278</v>
      </c>
      <c r="T415">
        <v>7.21</v>
      </c>
    </row>
    <row r="416" spans="1:20" x14ac:dyDescent="0.35">
      <c r="A416" s="3">
        <v>2024</v>
      </c>
      <c r="B416" s="3">
        <v>8</v>
      </c>
      <c r="C416" s="3">
        <v>19</v>
      </c>
      <c r="D416" s="2">
        <v>787</v>
      </c>
      <c r="E416" s="3" t="s">
        <v>282</v>
      </c>
      <c r="F416" s="3">
        <v>3</v>
      </c>
      <c r="G416" s="3" t="s">
        <v>225</v>
      </c>
      <c r="H416" s="3" t="str">
        <f t="shared" si="22"/>
        <v>2021</v>
      </c>
      <c r="I416" s="3">
        <v>3</v>
      </c>
      <c r="J416" s="69"/>
      <c r="K416">
        <v>3</v>
      </c>
      <c r="L416">
        <v>3</v>
      </c>
      <c r="M416">
        <v>71.2</v>
      </c>
      <c r="N416" s="3">
        <v>396</v>
      </c>
      <c r="O416" s="3" t="str">
        <f t="shared" si="21"/>
        <v>2021</v>
      </c>
      <c r="P416" s="2">
        <v>787</v>
      </c>
    </row>
    <row r="417" spans="1:20" x14ac:dyDescent="0.35">
      <c r="A417" s="3">
        <v>2023</v>
      </c>
      <c r="B417" s="3">
        <v>7</v>
      </c>
      <c r="C417" s="3">
        <v>17</v>
      </c>
      <c r="D417" s="2">
        <v>380</v>
      </c>
      <c r="E417" s="3" t="s">
        <v>846</v>
      </c>
      <c r="F417" s="3">
        <v>3</v>
      </c>
      <c r="G417" s="3" t="s">
        <v>45</v>
      </c>
      <c r="H417" s="3" t="str">
        <f t="shared" si="22"/>
        <v>2011</v>
      </c>
      <c r="I417" s="3">
        <v>12</v>
      </c>
      <c r="J417" s="69"/>
      <c r="K417" s="3" t="s">
        <v>46</v>
      </c>
      <c r="L417" s="3" t="s">
        <v>317</v>
      </c>
      <c r="M417" s="3">
        <v>49.9</v>
      </c>
      <c r="N417" s="3">
        <v>397</v>
      </c>
      <c r="O417" s="3" t="str">
        <f t="shared" si="21"/>
        <v>2007</v>
      </c>
      <c r="P417" s="2">
        <v>380</v>
      </c>
      <c r="T417">
        <v>6.91</v>
      </c>
    </row>
    <row r="418" spans="1:20" x14ac:dyDescent="0.35">
      <c r="A418" s="3">
        <v>2022</v>
      </c>
      <c r="B418" s="3">
        <v>11</v>
      </c>
      <c r="C418" s="3">
        <v>18</v>
      </c>
      <c r="D418" s="2">
        <v>111</v>
      </c>
      <c r="E418" s="14" t="s">
        <v>559</v>
      </c>
      <c r="F418" s="15">
        <v>4</v>
      </c>
      <c r="G418" s="3" t="s">
        <v>225</v>
      </c>
      <c r="H418" s="3" t="str">
        <f t="shared" si="22"/>
        <v>2021</v>
      </c>
      <c r="I418" s="3">
        <v>1</v>
      </c>
      <c r="J418" s="69"/>
      <c r="K418" s="3">
        <v>1</v>
      </c>
      <c r="L418" s="3">
        <v>1</v>
      </c>
      <c r="M418" s="3">
        <v>55.1</v>
      </c>
      <c r="N418" s="3">
        <v>397</v>
      </c>
      <c r="O418" s="3" t="str">
        <f t="shared" si="21"/>
        <v>2021</v>
      </c>
      <c r="P418" s="2">
        <v>111</v>
      </c>
    </row>
    <row r="419" spans="1:20" x14ac:dyDescent="0.35">
      <c r="A419" s="3">
        <v>2024</v>
      </c>
      <c r="B419" s="3">
        <v>8</v>
      </c>
      <c r="C419" s="3">
        <v>15</v>
      </c>
      <c r="D419" s="2">
        <v>772</v>
      </c>
      <c r="E419" s="3" t="s">
        <v>273</v>
      </c>
      <c r="F419" s="3">
        <v>3</v>
      </c>
      <c r="G419" s="3" t="s">
        <v>225</v>
      </c>
      <c r="H419" s="3" t="str">
        <f t="shared" si="22"/>
        <v>2021</v>
      </c>
      <c r="I419" s="3">
        <v>3</v>
      </c>
      <c r="J419" s="69"/>
      <c r="K419">
        <v>3</v>
      </c>
      <c r="L419">
        <v>3</v>
      </c>
      <c r="M419">
        <v>61.8</v>
      </c>
      <c r="N419" s="3">
        <v>397</v>
      </c>
      <c r="O419" s="3" t="str">
        <f t="shared" si="21"/>
        <v>2021</v>
      </c>
      <c r="P419" s="2">
        <v>772</v>
      </c>
    </row>
    <row r="420" spans="1:20" x14ac:dyDescent="0.35">
      <c r="A420" s="3">
        <v>2024</v>
      </c>
      <c r="B420" s="3">
        <v>8</v>
      </c>
      <c r="C420" s="3">
        <v>15</v>
      </c>
      <c r="D420" s="2">
        <v>733</v>
      </c>
      <c r="E420" s="3" t="s">
        <v>249</v>
      </c>
      <c r="F420" s="3">
        <v>3</v>
      </c>
      <c r="G420" s="3" t="s">
        <v>225</v>
      </c>
      <c r="H420" s="3" t="str">
        <f t="shared" si="22"/>
        <v>2021</v>
      </c>
      <c r="I420" s="3">
        <v>3</v>
      </c>
      <c r="J420" s="69"/>
      <c r="K420">
        <v>3</v>
      </c>
      <c r="L420">
        <v>3</v>
      </c>
      <c r="M420">
        <v>80.2</v>
      </c>
      <c r="N420" s="3">
        <v>398</v>
      </c>
      <c r="O420" s="3" t="str">
        <f t="shared" si="21"/>
        <v>2021</v>
      </c>
      <c r="P420" s="2">
        <v>733</v>
      </c>
    </row>
    <row r="421" spans="1:20" x14ac:dyDescent="0.35">
      <c r="A421" s="3">
        <v>2023</v>
      </c>
      <c r="B421" s="3">
        <v>2</v>
      </c>
      <c r="C421" s="3">
        <v>10</v>
      </c>
      <c r="D421" s="2">
        <v>144</v>
      </c>
      <c r="E421" s="14" t="s">
        <v>589</v>
      </c>
      <c r="F421" s="15">
        <v>1</v>
      </c>
      <c r="G421" s="3" t="s">
        <v>41</v>
      </c>
      <c r="H421" s="3" t="str">
        <f t="shared" si="22"/>
        <v>2013</v>
      </c>
      <c r="I421" s="3">
        <v>10</v>
      </c>
      <c r="J421" s="69"/>
      <c r="K421" s="3" t="s">
        <v>91</v>
      </c>
      <c r="L421" s="3" t="s">
        <v>318</v>
      </c>
      <c r="M421" s="3">
        <v>147.19999999999999</v>
      </c>
      <c r="N421" s="3">
        <v>400</v>
      </c>
      <c r="O421" s="3" t="str">
        <f t="shared" si="21"/>
        <v>2011</v>
      </c>
      <c r="P421" s="2">
        <v>144</v>
      </c>
    </row>
    <row r="422" spans="1:20" x14ac:dyDescent="0.35">
      <c r="A422" s="3">
        <v>2024</v>
      </c>
      <c r="B422" s="3">
        <v>1</v>
      </c>
      <c r="C422" s="3">
        <v>26</v>
      </c>
      <c r="D422" s="2">
        <v>553</v>
      </c>
      <c r="E422" s="3" t="s">
        <v>999</v>
      </c>
      <c r="F422" s="3">
        <v>1</v>
      </c>
      <c r="G422" s="3" t="s">
        <v>225</v>
      </c>
      <c r="H422" s="3" t="str">
        <f t="shared" si="22"/>
        <v>2021</v>
      </c>
      <c r="I422" s="3">
        <v>3</v>
      </c>
      <c r="J422" s="69"/>
      <c r="K422" t="s">
        <v>76</v>
      </c>
      <c r="L422">
        <v>1</v>
      </c>
      <c r="M422">
        <v>61.3</v>
      </c>
      <c r="N422" s="3">
        <v>400</v>
      </c>
      <c r="O422" s="3" t="str">
        <f t="shared" si="21"/>
        <v>2021</v>
      </c>
      <c r="P422" s="2">
        <v>553</v>
      </c>
    </row>
    <row r="423" spans="1:20" x14ac:dyDescent="0.35">
      <c r="A423" s="3">
        <v>2011</v>
      </c>
      <c r="B423" s="3">
        <v>9</v>
      </c>
      <c r="C423" s="3">
        <v>11</v>
      </c>
      <c r="D423" s="2">
        <v>622</v>
      </c>
      <c r="E423" s="3" t="s">
        <v>1060</v>
      </c>
      <c r="F423" s="3">
        <v>3</v>
      </c>
      <c r="G423" s="3" t="s">
        <v>45</v>
      </c>
      <c r="H423" s="3" t="str">
        <f t="shared" si="22"/>
        <v>2011</v>
      </c>
      <c r="I423" s="3">
        <v>0</v>
      </c>
      <c r="J423" s="69"/>
      <c r="K423" t="s">
        <v>602</v>
      </c>
      <c r="L423" s="3" t="s">
        <v>317</v>
      </c>
      <c r="M423">
        <v>61.9</v>
      </c>
      <c r="N423" s="3">
        <v>400</v>
      </c>
      <c r="O423" s="3" t="str">
        <f t="shared" si="21"/>
        <v>2007</v>
      </c>
      <c r="P423" s="2">
        <v>622</v>
      </c>
    </row>
    <row r="424" spans="1:20" x14ac:dyDescent="0.35">
      <c r="A424" s="3">
        <v>2024</v>
      </c>
      <c r="B424" s="3">
        <v>1</v>
      </c>
      <c r="C424" s="3">
        <v>30</v>
      </c>
      <c r="D424" s="2">
        <v>629</v>
      </c>
      <c r="E424" s="3" t="s">
        <v>1067</v>
      </c>
      <c r="F424" s="3">
        <v>1</v>
      </c>
      <c r="G424" s="3" t="s">
        <v>225</v>
      </c>
      <c r="H424" s="3" t="str">
        <f t="shared" si="22"/>
        <v>2022</v>
      </c>
      <c r="I424" s="3">
        <v>2</v>
      </c>
      <c r="J424" s="69"/>
      <c r="K424" t="s">
        <v>21</v>
      </c>
      <c r="L424" s="3">
        <v>2</v>
      </c>
      <c r="M424">
        <v>66.3</v>
      </c>
      <c r="N424" s="3">
        <v>400</v>
      </c>
      <c r="O424" s="3" t="str">
        <f t="shared" si="21"/>
        <v>2021</v>
      </c>
      <c r="P424" s="2">
        <v>629</v>
      </c>
    </row>
    <row r="425" spans="1:20" x14ac:dyDescent="0.35">
      <c r="A425" s="3">
        <v>2019</v>
      </c>
      <c r="B425" s="3">
        <v>8</v>
      </c>
      <c r="C425" s="3">
        <v>6</v>
      </c>
      <c r="D425" s="2">
        <v>268</v>
      </c>
      <c r="E425" s="3" t="s">
        <v>729</v>
      </c>
      <c r="F425" s="3">
        <v>3</v>
      </c>
      <c r="G425" s="3" t="s">
        <v>226</v>
      </c>
      <c r="H425" s="3" t="str">
        <f t="shared" si="22"/>
        <v>2017</v>
      </c>
      <c r="I425" s="3">
        <v>2</v>
      </c>
      <c r="J425" s="69"/>
      <c r="K425" s="3" t="s">
        <v>228</v>
      </c>
      <c r="L425" s="3">
        <v>7</v>
      </c>
      <c r="M425" s="3">
        <v>50.8</v>
      </c>
      <c r="N425" s="3">
        <v>401</v>
      </c>
      <c r="O425" s="3" t="str">
        <f t="shared" si="21"/>
        <v>2017</v>
      </c>
      <c r="P425" s="2">
        <v>268</v>
      </c>
    </row>
    <row r="426" spans="1:20" x14ac:dyDescent="0.35">
      <c r="A426" s="3">
        <v>2024</v>
      </c>
      <c r="B426" s="3">
        <v>8</v>
      </c>
      <c r="C426" s="3">
        <v>19</v>
      </c>
      <c r="D426" s="2">
        <v>781</v>
      </c>
      <c r="E426" s="3" t="s">
        <v>1164</v>
      </c>
      <c r="F426" s="3">
        <v>3</v>
      </c>
      <c r="G426" s="3" t="s">
        <v>225</v>
      </c>
      <c r="H426" s="3" t="str">
        <f t="shared" si="22"/>
        <v>2021</v>
      </c>
      <c r="I426" s="3">
        <v>3</v>
      </c>
      <c r="J426" s="69"/>
      <c r="K426">
        <v>3</v>
      </c>
      <c r="L426">
        <v>3</v>
      </c>
      <c r="M426">
        <v>57.3</v>
      </c>
      <c r="N426" s="3">
        <v>401</v>
      </c>
      <c r="O426" s="3" t="str">
        <f t="shared" si="21"/>
        <v>2021</v>
      </c>
      <c r="P426" s="2">
        <v>781</v>
      </c>
    </row>
    <row r="427" spans="1:20" x14ac:dyDescent="0.35">
      <c r="A427" s="3">
        <v>2018</v>
      </c>
      <c r="B427" s="3">
        <v>8</v>
      </c>
      <c r="C427" s="3">
        <v>16</v>
      </c>
      <c r="D427" s="2">
        <v>328</v>
      </c>
      <c r="E427" s="3" t="s">
        <v>795</v>
      </c>
      <c r="F427" s="3">
        <v>3</v>
      </c>
      <c r="G427" s="3" t="s">
        <v>45</v>
      </c>
      <c r="H427" s="3" t="str">
        <f t="shared" si="22"/>
        <v>2011</v>
      </c>
      <c r="I427" s="3">
        <v>7</v>
      </c>
      <c r="J427" s="69"/>
      <c r="K427" s="3" t="s">
        <v>632</v>
      </c>
      <c r="L427" s="3" t="s">
        <v>317</v>
      </c>
      <c r="M427" s="3">
        <v>40.9</v>
      </c>
      <c r="N427" s="3">
        <v>402</v>
      </c>
      <c r="O427" s="3" t="str">
        <f t="shared" si="21"/>
        <v>2007</v>
      </c>
      <c r="P427" s="2">
        <v>328</v>
      </c>
    </row>
    <row r="428" spans="1:20" x14ac:dyDescent="0.35">
      <c r="A428" s="3">
        <v>2024</v>
      </c>
      <c r="B428" s="3">
        <v>8</v>
      </c>
      <c r="C428" s="3">
        <v>8</v>
      </c>
      <c r="D428" s="2">
        <v>698</v>
      </c>
      <c r="E428" s="3" t="s">
        <v>1117</v>
      </c>
      <c r="F428" s="3">
        <v>3</v>
      </c>
      <c r="G428" s="3" t="s">
        <v>45</v>
      </c>
      <c r="H428" s="3" t="str">
        <f t="shared" si="22"/>
        <v>2009</v>
      </c>
      <c r="I428" s="3">
        <v>15</v>
      </c>
      <c r="J428" s="69"/>
      <c r="K428" t="s">
        <v>742</v>
      </c>
      <c r="L428" t="s">
        <v>488</v>
      </c>
      <c r="M428">
        <v>54.5</v>
      </c>
      <c r="N428" s="3">
        <v>402</v>
      </c>
      <c r="O428" s="3" t="str">
        <f t="shared" si="21"/>
        <v>2007</v>
      </c>
      <c r="P428" s="2">
        <v>698</v>
      </c>
    </row>
    <row r="429" spans="1:20" x14ac:dyDescent="0.35">
      <c r="A429" s="3">
        <v>2023</v>
      </c>
      <c r="B429" s="3">
        <v>7</v>
      </c>
      <c r="C429" s="3">
        <v>17</v>
      </c>
      <c r="D429" s="2">
        <v>392</v>
      </c>
      <c r="E429" s="3" t="s">
        <v>857</v>
      </c>
      <c r="F429" s="3">
        <v>3</v>
      </c>
      <c r="G429" s="3" t="s">
        <v>45</v>
      </c>
      <c r="H429" s="3" t="str">
        <f t="shared" si="22"/>
        <v>2011</v>
      </c>
      <c r="I429" s="3">
        <v>12</v>
      </c>
      <c r="J429" s="69"/>
      <c r="K429" s="3" t="s">
        <v>632</v>
      </c>
      <c r="L429" s="3" t="s">
        <v>317</v>
      </c>
      <c r="M429" s="3">
        <v>44.5</v>
      </c>
      <c r="N429" s="3">
        <v>403</v>
      </c>
      <c r="O429" s="3" t="str">
        <f t="shared" si="21"/>
        <v>2007</v>
      </c>
      <c r="P429" s="2">
        <v>392</v>
      </c>
    </row>
    <row r="430" spans="1:20" x14ac:dyDescent="0.35">
      <c r="A430" s="3">
        <v>2024</v>
      </c>
      <c r="B430" s="3">
        <v>8</v>
      </c>
      <c r="C430" s="3">
        <v>15</v>
      </c>
      <c r="D430" s="2">
        <v>732</v>
      </c>
      <c r="E430" s="3" t="s">
        <v>248</v>
      </c>
      <c r="F430" s="3">
        <v>3</v>
      </c>
      <c r="G430" s="3" t="s">
        <v>225</v>
      </c>
      <c r="H430" s="3" t="str">
        <f t="shared" si="22"/>
        <v>2021</v>
      </c>
      <c r="I430" s="3">
        <v>3</v>
      </c>
      <c r="J430" s="69"/>
      <c r="K430">
        <v>3</v>
      </c>
      <c r="L430">
        <v>3</v>
      </c>
      <c r="M430">
        <v>67.900000000000006</v>
      </c>
      <c r="N430" s="3">
        <v>403</v>
      </c>
      <c r="O430" s="3" t="str">
        <f t="shared" si="21"/>
        <v>2021</v>
      </c>
      <c r="P430" s="2">
        <v>732</v>
      </c>
    </row>
    <row r="431" spans="1:20" x14ac:dyDescent="0.35">
      <c r="A431" s="3">
        <v>2023</v>
      </c>
      <c r="B431" s="3">
        <v>7</v>
      </c>
      <c r="C431" s="3">
        <v>17</v>
      </c>
      <c r="D431" s="2">
        <v>390</v>
      </c>
      <c r="E431" s="3" t="s">
        <v>855</v>
      </c>
      <c r="F431" s="3">
        <v>3</v>
      </c>
      <c r="G431" s="3" t="s">
        <v>45</v>
      </c>
      <c r="H431" s="3" t="str">
        <f t="shared" si="22"/>
        <v>2011</v>
      </c>
      <c r="I431" s="3">
        <v>12</v>
      </c>
      <c r="J431" s="69"/>
      <c r="K431" s="3" t="s">
        <v>632</v>
      </c>
      <c r="L431" s="3" t="s">
        <v>317</v>
      </c>
      <c r="M431" s="3">
        <v>46.7</v>
      </c>
      <c r="N431" s="3">
        <v>404</v>
      </c>
      <c r="O431" s="3" t="str">
        <f t="shared" si="21"/>
        <v>2007</v>
      </c>
      <c r="P431" s="2">
        <v>390</v>
      </c>
    </row>
    <row r="432" spans="1:20" x14ac:dyDescent="0.35">
      <c r="A432" s="3">
        <v>2023</v>
      </c>
      <c r="B432" s="3">
        <v>10</v>
      </c>
      <c r="C432" s="3">
        <v>31</v>
      </c>
      <c r="D432" s="2">
        <v>543</v>
      </c>
      <c r="E432" s="3" t="s">
        <v>122</v>
      </c>
      <c r="F432" s="3">
        <v>4</v>
      </c>
      <c r="G432" s="3" t="s">
        <v>225</v>
      </c>
      <c r="H432" s="3" t="str">
        <f t="shared" si="22"/>
        <v>2022</v>
      </c>
      <c r="I432" s="3">
        <v>1</v>
      </c>
      <c r="J432" s="69"/>
      <c r="K432" t="s">
        <v>67</v>
      </c>
      <c r="L432" s="3">
        <v>2</v>
      </c>
      <c r="M432" s="3">
        <v>73.400000000000006</v>
      </c>
      <c r="N432" s="3">
        <v>404</v>
      </c>
      <c r="O432" s="3" t="str">
        <f t="shared" si="21"/>
        <v>2021</v>
      </c>
      <c r="P432" s="2">
        <v>543</v>
      </c>
    </row>
    <row r="433" spans="1:16" x14ac:dyDescent="0.35">
      <c r="A433" s="3">
        <v>2024</v>
      </c>
      <c r="B433" s="3">
        <v>8</v>
      </c>
      <c r="C433" s="3">
        <v>14</v>
      </c>
      <c r="D433" s="2">
        <v>775</v>
      </c>
      <c r="E433" s="3" t="s">
        <v>276</v>
      </c>
      <c r="F433" s="3">
        <v>3</v>
      </c>
      <c r="G433" s="3" t="s">
        <v>225</v>
      </c>
      <c r="H433" s="3" t="str">
        <f t="shared" si="22"/>
        <v>2021</v>
      </c>
      <c r="I433" s="3">
        <v>3</v>
      </c>
      <c r="J433" s="69"/>
      <c r="K433" t="s">
        <v>227</v>
      </c>
      <c r="L433">
        <v>4</v>
      </c>
      <c r="M433">
        <v>53.7</v>
      </c>
      <c r="N433" s="3">
        <v>404</v>
      </c>
      <c r="O433" s="3" t="str">
        <f t="shared" si="21"/>
        <v>2021</v>
      </c>
      <c r="P433" s="2">
        <v>775</v>
      </c>
    </row>
    <row r="434" spans="1:16" x14ac:dyDescent="0.35">
      <c r="A434" s="3">
        <v>2022</v>
      </c>
      <c r="B434" s="3">
        <v>11</v>
      </c>
      <c r="C434" s="3">
        <v>4</v>
      </c>
      <c r="D434" s="2">
        <v>106</v>
      </c>
      <c r="E434" s="14" t="s">
        <v>554</v>
      </c>
      <c r="F434" s="15">
        <v>4</v>
      </c>
      <c r="G434" s="3" t="s">
        <v>45</v>
      </c>
      <c r="H434" s="3" t="str">
        <f t="shared" si="22"/>
        <v>2011</v>
      </c>
      <c r="I434" s="3">
        <v>11</v>
      </c>
      <c r="J434" s="69"/>
      <c r="K434" s="3" t="s">
        <v>317</v>
      </c>
      <c r="L434" s="3" t="s">
        <v>317</v>
      </c>
      <c r="M434" s="3">
        <v>55.2</v>
      </c>
      <c r="N434" s="3">
        <v>405</v>
      </c>
      <c r="O434" s="3" t="str">
        <f t="shared" si="21"/>
        <v>2007</v>
      </c>
      <c r="P434" s="2">
        <v>106</v>
      </c>
    </row>
    <row r="435" spans="1:16" x14ac:dyDescent="0.35">
      <c r="A435" s="3">
        <v>2019</v>
      </c>
      <c r="B435" s="3">
        <v>8</v>
      </c>
      <c r="C435" s="3">
        <v>9</v>
      </c>
      <c r="D435" s="2">
        <v>322</v>
      </c>
      <c r="E435" s="3" t="s">
        <v>789</v>
      </c>
      <c r="F435" s="3">
        <v>3</v>
      </c>
      <c r="G435" s="3" t="s">
        <v>45</v>
      </c>
      <c r="H435" s="3" t="str">
        <f t="shared" si="22"/>
        <v>2011</v>
      </c>
      <c r="I435" s="3">
        <v>8</v>
      </c>
      <c r="J435" s="69"/>
      <c r="K435" s="3" t="s">
        <v>46</v>
      </c>
      <c r="L435" s="3" t="s">
        <v>317</v>
      </c>
      <c r="M435" s="3">
        <v>43.6</v>
      </c>
      <c r="N435" s="3">
        <v>406</v>
      </c>
      <c r="O435" s="3" t="str">
        <f t="shared" si="21"/>
        <v>2007</v>
      </c>
      <c r="P435" s="2">
        <v>322</v>
      </c>
    </row>
    <row r="436" spans="1:16" x14ac:dyDescent="0.35">
      <c r="A436" s="3">
        <v>2023</v>
      </c>
      <c r="B436" s="3">
        <v>7</v>
      </c>
      <c r="C436" s="3">
        <v>21</v>
      </c>
      <c r="D436" s="2">
        <v>411</v>
      </c>
      <c r="E436" s="3" t="s">
        <v>54</v>
      </c>
      <c r="F436" s="3">
        <v>3</v>
      </c>
      <c r="G436" s="3" t="s">
        <v>20</v>
      </c>
      <c r="H436" s="3" t="str">
        <f t="shared" si="22"/>
        <v>2020</v>
      </c>
      <c r="I436" s="3">
        <v>3</v>
      </c>
      <c r="J436" s="69"/>
      <c r="K436" s="3" t="s">
        <v>55</v>
      </c>
      <c r="L436" s="3">
        <v>8</v>
      </c>
      <c r="M436" s="3">
        <v>72.5</v>
      </c>
      <c r="N436" s="3">
        <v>406</v>
      </c>
      <c r="O436" s="3" t="str">
        <f t="shared" si="21"/>
        <v>2018</v>
      </c>
      <c r="P436" s="2">
        <v>411</v>
      </c>
    </row>
    <row r="437" spans="1:16" x14ac:dyDescent="0.35">
      <c r="A437" s="3">
        <v>2024</v>
      </c>
      <c r="B437" s="3">
        <v>1</v>
      </c>
      <c r="C437" s="3">
        <v>17</v>
      </c>
      <c r="D437" s="2">
        <v>561</v>
      </c>
      <c r="E437" s="3" t="s">
        <v>1006</v>
      </c>
      <c r="F437" s="3">
        <v>1</v>
      </c>
      <c r="G437" s="3" t="s">
        <v>41</v>
      </c>
      <c r="H437" s="3" t="str">
        <f t="shared" si="22"/>
        <v>2013</v>
      </c>
      <c r="I437" s="3">
        <v>11</v>
      </c>
      <c r="J437" s="69"/>
      <c r="K437" t="s">
        <v>42</v>
      </c>
      <c r="L437" s="3" t="s">
        <v>318</v>
      </c>
      <c r="M437">
        <v>58.2</v>
      </c>
      <c r="N437" s="3">
        <v>406</v>
      </c>
      <c r="O437" s="3" t="str">
        <f t="shared" si="21"/>
        <v>2011</v>
      </c>
      <c r="P437" s="2">
        <v>561</v>
      </c>
    </row>
    <row r="438" spans="1:16" x14ac:dyDescent="0.35">
      <c r="A438" s="3">
        <v>2024</v>
      </c>
      <c r="B438" s="3">
        <v>8</v>
      </c>
      <c r="C438" s="3">
        <v>19</v>
      </c>
      <c r="D438" s="2">
        <v>786</v>
      </c>
      <c r="E438" s="3" t="s">
        <v>1167</v>
      </c>
      <c r="F438" s="3">
        <v>3</v>
      </c>
      <c r="G438" s="3" t="s">
        <v>225</v>
      </c>
      <c r="H438" s="3" t="str">
        <f t="shared" si="22"/>
        <v>2021</v>
      </c>
      <c r="I438" s="3">
        <v>3</v>
      </c>
      <c r="J438" s="69"/>
      <c r="K438">
        <v>3</v>
      </c>
      <c r="L438">
        <v>3</v>
      </c>
      <c r="M438">
        <v>58</v>
      </c>
      <c r="N438" s="3">
        <v>406</v>
      </c>
      <c r="O438" s="3" t="str">
        <f t="shared" si="21"/>
        <v>2021</v>
      </c>
      <c r="P438" s="2">
        <v>786</v>
      </c>
    </row>
    <row r="439" spans="1:16" x14ac:dyDescent="0.35">
      <c r="A439" s="3">
        <v>2019</v>
      </c>
      <c r="B439" s="3">
        <v>2</v>
      </c>
      <c r="C439" s="3">
        <v>21</v>
      </c>
      <c r="D439" s="2">
        <v>170</v>
      </c>
      <c r="E439" s="3" t="s">
        <v>619</v>
      </c>
      <c r="F439" s="3">
        <v>1</v>
      </c>
      <c r="G439" s="3" t="s">
        <v>45</v>
      </c>
      <c r="H439" s="3" t="str">
        <f t="shared" si="22"/>
        <v>2011</v>
      </c>
      <c r="I439" s="3">
        <v>8</v>
      </c>
      <c r="J439" s="69"/>
      <c r="K439" s="3" t="s">
        <v>615</v>
      </c>
      <c r="L439" s="3" t="s">
        <v>317</v>
      </c>
      <c r="M439" s="3">
        <v>70.599999999999994</v>
      </c>
      <c r="N439" s="3">
        <v>407</v>
      </c>
      <c r="O439" s="3" t="str">
        <f t="shared" si="21"/>
        <v>2007</v>
      </c>
      <c r="P439" s="2">
        <v>170</v>
      </c>
    </row>
    <row r="440" spans="1:16" x14ac:dyDescent="0.35">
      <c r="A440" s="3">
        <v>2024</v>
      </c>
      <c r="B440" s="3">
        <v>1</v>
      </c>
      <c r="C440" s="3">
        <v>19</v>
      </c>
      <c r="D440" s="2">
        <v>581</v>
      </c>
      <c r="E440" s="3" t="s">
        <v>1025</v>
      </c>
      <c r="F440" s="3">
        <v>1</v>
      </c>
      <c r="G440" s="3" t="s">
        <v>41</v>
      </c>
      <c r="H440" s="3" t="str">
        <f t="shared" si="22"/>
        <v>2013</v>
      </c>
      <c r="I440" s="3">
        <v>11</v>
      </c>
      <c r="J440" s="69"/>
      <c r="K440" t="s">
        <v>42</v>
      </c>
      <c r="L440" s="3" t="s">
        <v>318</v>
      </c>
      <c r="M440">
        <v>56</v>
      </c>
      <c r="N440" s="3">
        <v>407</v>
      </c>
      <c r="O440" s="3" t="str">
        <f t="shared" si="21"/>
        <v>2011</v>
      </c>
      <c r="P440" s="2">
        <v>581</v>
      </c>
    </row>
    <row r="441" spans="1:16" x14ac:dyDescent="0.35">
      <c r="A441" s="3">
        <v>2024</v>
      </c>
      <c r="B441" s="3">
        <v>2</v>
      </c>
      <c r="C441" s="3">
        <v>23</v>
      </c>
      <c r="D441" s="2">
        <v>638</v>
      </c>
      <c r="E441" s="3" t="s">
        <v>1074</v>
      </c>
      <c r="F441" s="3">
        <v>1</v>
      </c>
      <c r="G441" s="3" t="s">
        <v>225</v>
      </c>
      <c r="H441" s="3" t="str">
        <f t="shared" si="22"/>
        <v>2022</v>
      </c>
      <c r="I441" s="3">
        <v>2</v>
      </c>
      <c r="J441" s="69"/>
      <c r="K441" t="s">
        <v>21</v>
      </c>
      <c r="L441" s="3">
        <v>2</v>
      </c>
      <c r="M441">
        <v>64</v>
      </c>
      <c r="N441" s="3">
        <v>407</v>
      </c>
      <c r="O441" s="3" t="str">
        <f t="shared" si="21"/>
        <v>2021</v>
      </c>
      <c r="P441" s="2">
        <v>638</v>
      </c>
    </row>
    <row r="442" spans="1:16" x14ac:dyDescent="0.35">
      <c r="A442" s="3">
        <v>2024</v>
      </c>
      <c r="B442" s="3">
        <v>4</v>
      </c>
      <c r="C442" s="3">
        <v>8</v>
      </c>
      <c r="D442" s="2">
        <v>651</v>
      </c>
      <c r="E442" s="3" t="s">
        <v>146</v>
      </c>
      <c r="F442" s="3">
        <v>2</v>
      </c>
      <c r="G442" s="3" t="s">
        <v>225</v>
      </c>
      <c r="H442" s="3" t="str">
        <f t="shared" si="22"/>
        <v>2022</v>
      </c>
      <c r="I442" s="3">
        <v>2</v>
      </c>
      <c r="J442" s="69"/>
      <c r="K442" t="s">
        <v>67</v>
      </c>
      <c r="L442" s="3">
        <v>2</v>
      </c>
      <c r="M442">
        <v>71.400000000000006</v>
      </c>
      <c r="N442" s="3">
        <v>409</v>
      </c>
      <c r="O442" s="3" t="str">
        <f t="shared" si="21"/>
        <v>2021</v>
      </c>
      <c r="P442" s="2">
        <v>651</v>
      </c>
    </row>
    <row r="443" spans="1:16" x14ac:dyDescent="0.35">
      <c r="A443" s="3">
        <v>2024</v>
      </c>
      <c r="B443" s="3">
        <v>8</v>
      </c>
      <c r="C443" s="3">
        <v>15</v>
      </c>
      <c r="D443" s="2">
        <v>771</v>
      </c>
      <c r="E443" s="3" t="s">
        <v>272</v>
      </c>
      <c r="F443" s="3">
        <v>3</v>
      </c>
      <c r="G443" s="3" t="s">
        <v>225</v>
      </c>
      <c r="H443" s="3" t="str">
        <f t="shared" si="22"/>
        <v>2021</v>
      </c>
      <c r="I443" s="3">
        <v>3</v>
      </c>
      <c r="J443" s="69"/>
      <c r="K443">
        <v>3</v>
      </c>
      <c r="L443">
        <v>3</v>
      </c>
      <c r="M443">
        <v>72.8</v>
      </c>
      <c r="N443" s="3">
        <v>409</v>
      </c>
      <c r="O443" s="3" t="str">
        <f t="shared" si="21"/>
        <v>2021</v>
      </c>
      <c r="P443" s="2">
        <v>771</v>
      </c>
    </row>
    <row r="444" spans="1:16" x14ac:dyDescent="0.35">
      <c r="A444" s="3">
        <v>2009</v>
      </c>
      <c r="B444" s="3">
        <v>9</v>
      </c>
      <c r="C444" s="3">
        <v>4</v>
      </c>
      <c r="D444" s="2">
        <v>620</v>
      </c>
      <c r="E444" s="3" t="s">
        <v>1058</v>
      </c>
      <c r="F444" s="3">
        <v>3</v>
      </c>
      <c r="G444" s="3" t="s">
        <v>45</v>
      </c>
      <c r="H444" s="3" t="str">
        <f t="shared" si="22"/>
        <v>2009</v>
      </c>
      <c r="I444" s="3">
        <v>0</v>
      </c>
      <c r="J444" s="69"/>
      <c r="K444" t="s">
        <v>662</v>
      </c>
      <c r="L444" s="3" t="s">
        <v>488</v>
      </c>
      <c r="M444">
        <v>73.900000000000006</v>
      </c>
      <c r="N444" s="3">
        <v>410</v>
      </c>
      <c r="O444" s="3" t="str">
        <f t="shared" si="21"/>
        <v>2007</v>
      </c>
      <c r="P444" s="2">
        <v>620</v>
      </c>
    </row>
    <row r="445" spans="1:16" x14ac:dyDescent="0.35">
      <c r="A445" s="3">
        <v>2019</v>
      </c>
      <c r="B445" s="3">
        <v>11</v>
      </c>
      <c r="C445" s="3">
        <v>27</v>
      </c>
      <c r="D445" s="2">
        <v>49</v>
      </c>
      <c r="E445" s="3" t="s">
        <v>492</v>
      </c>
      <c r="F445" s="3">
        <v>4</v>
      </c>
      <c r="G445" s="3" t="s">
        <v>45</v>
      </c>
      <c r="H445" s="3" t="str">
        <f t="shared" si="22"/>
        <v>2009</v>
      </c>
      <c r="I445" s="3">
        <v>10</v>
      </c>
      <c r="J445" s="69"/>
      <c r="K445" s="3" t="s">
        <v>488</v>
      </c>
      <c r="L445" s="3" t="s">
        <v>488</v>
      </c>
      <c r="M445" s="3">
        <v>60.7</v>
      </c>
      <c r="N445" s="3">
        <v>411</v>
      </c>
      <c r="O445" s="3" t="str">
        <f t="shared" si="21"/>
        <v>2007</v>
      </c>
      <c r="P445" s="2">
        <v>49</v>
      </c>
    </row>
    <row r="446" spans="1:16" x14ac:dyDescent="0.35">
      <c r="A446" s="3">
        <v>2023</v>
      </c>
      <c r="B446" s="3">
        <v>7</v>
      </c>
      <c r="C446" s="3">
        <v>31</v>
      </c>
      <c r="D446" s="2">
        <v>455</v>
      </c>
      <c r="E446" s="3" t="s">
        <v>78</v>
      </c>
      <c r="F446" s="3">
        <v>3</v>
      </c>
      <c r="G446" s="3" t="s">
        <v>225</v>
      </c>
      <c r="H446" s="3" t="str">
        <f t="shared" si="22"/>
        <v>2022</v>
      </c>
      <c r="I446" s="3">
        <v>1</v>
      </c>
      <c r="J446" s="69"/>
      <c r="K446" s="3" t="s">
        <v>67</v>
      </c>
      <c r="L446" s="3">
        <v>2</v>
      </c>
      <c r="M446" s="3">
        <v>70.7</v>
      </c>
      <c r="N446" s="3">
        <v>411</v>
      </c>
      <c r="O446" s="3" t="str">
        <f t="shared" si="21"/>
        <v>2021</v>
      </c>
      <c r="P446" s="2">
        <v>455</v>
      </c>
    </row>
    <row r="447" spans="1:16" x14ac:dyDescent="0.35">
      <c r="A447" s="3">
        <v>2024</v>
      </c>
      <c r="B447" s="3">
        <v>8</v>
      </c>
      <c r="C447" s="3">
        <v>19</v>
      </c>
      <c r="D447" s="2">
        <v>791</v>
      </c>
      <c r="E447" s="3" t="s">
        <v>1171</v>
      </c>
      <c r="F447" s="3">
        <v>3</v>
      </c>
      <c r="G447" s="3" t="s">
        <v>225</v>
      </c>
      <c r="H447" s="3" t="str">
        <f t="shared" si="22"/>
        <v>2021</v>
      </c>
      <c r="I447" s="3">
        <v>3</v>
      </c>
      <c r="J447" s="69"/>
      <c r="K447">
        <v>3</v>
      </c>
      <c r="L447">
        <v>3</v>
      </c>
      <c r="M447">
        <v>79</v>
      </c>
      <c r="N447" s="3">
        <v>411</v>
      </c>
      <c r="O447" s="3" t="str">
        <f t="shared" si="21"/>
        <v>2021</v>
      </c>
      <c r="P447" s="2">
        <v>791</v>
      </c>
    </row>
    <row r="448" spans="1:16" x14ac:dyDescent="0.35">
      <c r="A448" s="3">
        <v>2018</v>
      </c>
      <c r="B448" s="3">
        <v>8</v>
      </c>
      <c r="C448" s="3">
        <v>15</v>
      </c>
      <c r="D448" s="2">
        <v>306</v>
      </c>
      <c r="E448" s="3" t="s">
        <v>772</v>
      </c>
      <c r="F448" s="3">
        <v>3</v>
      </c>
      <c r="G448" s="3" t="s">
        <v>41</v>
      </c>
      <c r="H448" s="3" t="str">
        <f t="shared" si="22"/>
        <v>2013</v>
      </c>
      <c r="I448" s="3">
        <v>5</v>
      </c>
      <c r="J448" s="69"/>
      <c r="K448" s="3" t="s">
        <v>49</v>
      </c>
      <c r="L448" s="3" t="s">
        <v>318</v>
      </c>
      <c r="M448" s="3">
        <v>64.599999999999994</v>
      </c>
      <c r="N448" s="3">
        <v>412</v>
      </c>
      <c r="O448" s="3" t="str">
        <f t="shared" si="21"/>
        <v>2011</v>
      </c>
      <c r="P448" s="2">
        <v>306</v>
      </c>
    </row>
    <row r="449" spans="1:17" x14ac:dyDescent="0.35">
      <c r="A449" s="3">
        <v>2023</v>
      </c>
      <c r="B449" s="3">
        <v>8</v>
      </c>
      <c r="C449" s="3">
        <v>2</v>
      </c>
      <c r="D449" s="2">
        <v>434</v>
      </c>
      <c r="E449" s="3" t="s">
        <v>66</v>
      </c>
      <c r="F449" s="3">
        <v>3</v>
      </c>
      <c r="G449" s="3" t="s">
        <v>225</v>
      </c>
      <c r="H449" s="3" t="str">
        <f t="shared" si="22"/>
        <v>2022</v>
      </c>
      <c r="I449" s="3">
        <v>1</v>
      </c>
      <c r="J449" s="69"/>
      <c r="K449" s="3" t="s">
        <v>67</v>
      </c>
      <c r="L449" s="3">
        <v>2</v>
      </c>
      <c r="M449" s="3">
        <v>60.2</v>
      </c>
      <c r="N449" s="3">
        <v>412</v>
      </c>
      <c r="O449" s="3" t="str">
        <f t="shared" si="21"/>
        <v>2021</v>
      </c>
      <c r="P449" s="2">
        <v>434</v>
      </c>
    </row>
    <row r="450" spans="1:17" x14ac:dyDescent="0.35">
      <c r="A450" s="3">
        <v>2024</v>
      </c>
      <c r="B450" s="3">
        <v>1</v>
      </c>
      <c r="C450" s="3">
        <v>17</v>
      </c>
      <c r="D450" s="2">
        <v>564</v>
      </c>
      <c r="E450" s="3" t="s">
        <v>1009</v>
      </c>
      <c r="F450" s="3">
        <v>1</v>
      </c>
      <c r="G450" s="3" t="s">
        <v>41</v>
      </c>
      <c r="H450" s="3" t="str">
        <f t="shared" si="22"/>
        <v>2013</v>
      </c>
      <c r="I450" s="3">
        <v>11</v>
      </c>
      <c r="J450" s="69"/>
      <c r="K450" t="s">
        <v>42</v>
      </c>
      <c r="L450" s="3" t="s">
        <v>318</v>
      </c>
      <c r="M450">
        <v>62</v>
      </c>
      <c r="N450" s="3">
        <v>412</v>
      </c>
      <c r="O450" s="3" t="str">
        <f t="shared" ref="O450:O513" si="23">IF(G450="PHD", "2007", IF(G450="TSL", "2011", IF(G450 = "SRS", "2018", IF(G450="WCA 3B", "2017", IF(G450="WCA 3A", "2021")))))</f>
        <v>2011</v>
      </c>
      <c r="P450" s="2">
        <v>564</v>
      </c>
    </row>
    <row r="451" spans="1:17" x14ac:dyDescent="0.35">
      <c r="A451" s="3">
        <v>2024</v>
      </c>
      <c r="B451" s="3">
        <v>8</v>
      </c>
      <c r="C451" s="3">
        <v>19</v>
      </c>
      <c r="D451" s="2">
        <v>788</v>
      </c>
      <c r="E451" s="3" t="s">
        <v>1168</v>
      </c>
      <c r="F451" s="3">
        <v>3</v>
      </c>
      <c r="G451" s="3" t="s">
        <v>225</v>
      </c>
      <c r="H451" s="3" t="str">
        <f t="shared" si="22"/>
        <v>2021</v>
      </c>
      <c r="I451" s="3">
        <v>3</v>
      </c>
      <c r="J451" s="69"/>
      <c r="K451">
        <v>3</v>
      </c>
      <c r="L451">
        <v>3</v>
      </c>
      <c r="M451">
        <v>77.7</v>
      </c>
      <c r="N451" s="3">
        <v>412</v>
      </c>
      <c r="O451" s="3" t="str">
        <f t="shared" si="23"/>
        <v>2021</v>
      </c>
      <c r="P451" s="2">
        <v>788</v>
      </c>
    </row>
    <row r="452" spans="1:17" x14ac:dyDescent="0.35">
      <c r="A452" s="3">
        <v>2024</v>
      </c>
      <c r="B452" s="3">
        <v>8</v>
      </c>
      <c r="C452" s="3">
        <v>7</v>
      </c>
      <c r="D452" s="2">
        <v>807</v>
      </c>
      <c r="E452" s="3" t="s">
        <v>294</v>
      </c>
      <c r="F452" s="3">
        <v>3</v>
      </c>
      <c r="G452" s="3" t="s">
        <v>20</v>
      </c>
      <c r="H452" s="3" t="str">
        <f t="shared" si="22"/>
        <v>2018</v>
      </c>
      <c r="I452" s="3">
        <v>6</v>
      </c>
      <c r="J452" s="69"/>
      <c r="K452" t="s">
        <v>234</v>
      </c>
      <c r="L452">
        <v>6</v>
      </c>
      <c r="M452">
        <v>6.66</v>
      </c>
      <c r="N452" s="3">
        <v>412</v>
      </c>
      <c r="O452" s="3" t="str">
        <f t="shared" si="23"/>
        <v>2018</v>
      </c>
      <c r="P452" s="2">
        <v>807</v>
      </c>
    </row>
    <row r="453" spans="1:17" x14ac:dyDescent="0.35">
      <c r="A453" s="3">
        <v>2024</v>
      </c>
      <c r="B453" s="3">
        <v>8</v>
      </c>
      <c r="C453" s="3">
        <v>9</v>
      </c>
      <c r="D453" s="2">
        <v>715</v>
      </c>
      <c r="E453" s="3" t="s">
        <v>1131</v>
      </c>
      <c r="F453" s="3">
        <v>3</v>
      </c>
      <c r="G453" s="3" t="s">
        <v>41</v>
      </c>
      <c r="H453" s="3" t="str">
        <f t="shared" si="22"/>
        <v>2013</v>
      </c>
      <c r="I453" s="3">
        <v>11</v>
      </c>
      <c r="J453" s="69"/>
      <c r="K453" t="s">
        <v>42</v>
      </c>
      <c r="L453" t="s">
        <v>318</v>
      </c>
      <c r="M453">
        <v>67.099999999999994</v>
      </c>
      <c r="N453" s="3">
        <v>413</v>
      </c>
      <c r="O453" s="3" t="str">
        <f t="shared" si="23"/>
        <v>2011</v>
      </c>
      <c r="P453" s="2">
        <v>715</v>
      </c>
    </row>
    <row r="454" spans="1:17" x14ac:dyDescent="0.35">
      <c r="A454" s="3">
        <v>2024</v>
      </c>
      <c r="B454" s="3">
        <v>8</v>
      </c>
      <c r="C454" s="3">
        <v>19</v>
      </c>
      <c r="D454" s="2">
        <v>753</v>
      </c>
      <c r="E454" s="3" t="s">
        <v>264</v>
      </c>
      <c r="F454" s="3">
        <v>3</v>
      </c>
      <c r="G454" s="3" t="s">
        <v>225</v>
      </c>
      <c r="H454" s="3" t="str">
        <f t="shared" si="22"/>
        <v>2021</v>
      </c>
      <c r="I454" s="3">
        <v>3</v>
      </c>
      <c r="J454" s="69"/>
      <c r="K454">
        <v>3</v>
      </c>
      <c r="L454">
        <v>3</v>
      </c>
      <c r="M454">
        <v>66.8</v>
      </c>
      <c r="N454" s="3">
        <v>413</v>
      </c>
      <c r="O454" s="3" t="str">
        <f t="shared" si="23"/>
        <v>2021</v>
      </c>
      <c r="P454" s="2">
        <v>753</v>
      </c>
    </row>
    <row r="455" spans="1:17" x14ac:dyDescent="0.35">
      <c r="A455" s="3">
        <v>2024</v>
      </c>
      <c r="B455" s="3">
        <v>8</v>
      </c>
      <c r="C455" s="3">
        <v>19</v>
      </c>
      <c r="D455" s="2">
        <v>778</v>
      </c>
      <c r="E455" s="3" t="s">
        <v>278</v>
      </c>
      <c r="F455" s="3">
        <v>3</v>
      </c>
      <c r="G455" s="3" t="s">
        <v>225</v>
      </c>
      <c r="H455" s="3" t="str">
        <f t="shared" ref="H455:H518" si="24">IF(L455="A55","2009",IF(L455="A59","2009",IF(L455="A60","2010",IF(L455="A62","2011",IF(L455="CP","2013",IF(L455="MD","2012",IF(L455="TS","2013",IF(L455="DL","2018",IF(L455="SCU","2018",IF(L455="NCU","2018",IF(L455="C1C","2018",IF(L455="C1E","2018",IF(L455="RS1S","2018",IF(L455="C2B","2018",IF(L455="DB3","2018",IF(AND(L455=6,G455="SRS"),"2018",IF(AND(L455=7,G455="SRS"),"2020",IF(AND(L455=8,G455="SRS"),"2020",IF(L455=23,"2019",IF(AND(L455=7,G455="WCA 3B"),"2017",IF(AND(L455=8,G455="WCA 3B"),"2019",IF(L455=1,"2021",IF(L455=2,"2022",IF(L455=3,"2021",IF(L455=4,"2021",IF(L455=5,"2022",IF(AND(L455=6,G455="WCA 3A"),"2022",IF(L455=9,"2023",IF(L455=10,"2023",IF(L455=37,"2020"))))))))))))))))))))))))))))))</f>
        <v>2021</v>
      </c>
      <c r="I455" s="3">
        <v>3</v>
      </c>
      <c r="J455" s="69"/>
      <c r="K455">
        <v>3</v>
      </c>
      <c r="L455">
        <v>3</v>
      </c>
      <c r="M455">
        <v>71</v>
      </c>
      <c r="N455" s="3">
        <v>413</v>
      </c>
      <c r="O455" s="3" t="str">
        <f t="shared" si="23"/>
        <v>2021</v>
      </c>
      <c r="P455" s="2">
        <v>778</v>
      </c>
    </row>
    <row r="456" spans="1:17" x14ac:dyDescent="0.35">
      <c r="A456" s="3">
        <v>2024</v>
      </c>
      <c r="B456" s="3">
        <v>8</v>
      </c>
      <c r="C456" s="3">
        <v>19</v>
      </c>
      <c r="D456" s="2">
        <v>754</v>
      </c>
      <c r="E456" s="3" t="s">
        <v>265</v>
      </c>
      <c r="F456" s="3">
        <v>3</v>
      </c>
      <c r="G456" s="3" t="s">
        <v>225</v>
      </c>
      <c r="H456" s="3" t="str">
        <f t="shared" si="24"/>
        <v>2021</v>
      </c>
      <c r="I456" s="3">
        <v>3</v>
      </c>
      <c r="J456" s="69"/>
      <c r="K456">
        <v>3</v>
      </c>
      <c r="L456">
        <v>3</v>
      </c>
      <c r="M456">
        <v>85.2</v>
      </c>
      <c r="N456" s="3">
        <v>414</v>
      </c>
      <c r="O456" s="3" t="str">
        <f t="shared" si="23"/>
        <v>2021</v>
      </c>
      <c r="P456" s="2">
        <v>754</v>
      </c>
    </row>
    <row r="457" spans="1:17" x14ac:dyDescent="0.35">
      <c r="A457" s="3">
        <v>2016</v>
      </c>
      <c r="B457" s="3">
        <v>9</v>
      </c>
      <c r="C457" s="3">
        <v>2</v>
      </c>
      <c r="D457" s="2">
        <v>293</v>
      </c>
      <c r="E457" s="3" t="s">
        <v>759</v>
      </c>
      <c r="F457" s="3">
        <v>3</v>
      </c>
      <c r="G457" s="3" t="s">
        <v>41</v>
      </c>
      <c r="H457" s="3" t="str">
        <f t="shared" si="24"/>
        <v>2013</v>
      </c>
      <c r="I457" s="3">
        <v>3</v>
      </c>
      <c r="J457" s="69"/>
      <c r="K457" s="3" t="s">
        <v>42</v>
      </c>
      <c r="L457" s="3" t="s">
        <v>318</v>
      </c>
      <c r="M457" s="3">
        <v>77.2</v>
      </c>
      <c r="N457" s="3">
        <v>415</v>
      </c>
      <c r="O457" s="3" t="str">
        <f t="shared" si="23"/>
        <v>2011</v>
      </c>
      <c r="P457" s="2">
        <v>293</v>
      </c>
      <c r="Q457" s="2">
        <v>17.68</v>
      </c>
    </row>
    <row r="458" spans="1:17" x14ac:dyDescent="0.35">
      <c r="A458" s="3">
        <v>2017</v>
      </c>
      <c r="B458" s="3">
        <v>11</v>
      </c>
      <c r="C458" s="3">
        <v>13</v>
      </c>
      <c r="D458" s="2">
        <v>65</v>
      </c>
      <c r="E458" s="3" t="s">
        <v>508</v>
      </c>
      <c r="F458" s="3">
        <v>4</v>
      </c>
      <c r="G458" s="3" t="s">
        <v>41</v>
      </c>
      <c r="H458" s="3" t="str">
        <f t="shared" si="24"/>
        <v>2013</v>
      </c>
      <c r="I458" s="3">
        <v>4</v>
      </c>
      <c r="J458" s="69"/>
      <c r="K458" s="3" t="s">
        <v>509</v>
      </c>
      <c r="L458" s="3" t="s">
        <v>458</v>
      </c>
      <c r="M458" s="3">
        <v>55.4</v>
      </c>
      <c r="N458" s="3">
        <v>415</v>
      </c>
      <c r="O458" s="3" t="str">
        <f t="shared" si="23"/>
        <v>2011</v>
      </c>
      <c r="P458" s="2">
        <v>65</v>
      </c>
    </row>
    <row r="459" spans="1:17" x14ac:dyDescent="0.35">
      <c r="A459" s="3">
        <v>2021</v>
      </c>
      <c r="B459" s="3">
        <v>4</v>
      </c>
      <c r="C459" s="3">
        <v>13</v>
      </c>
      <c r="D459" s="2">
        <v>489</v>
      </c>
      <c r="E459" s="3" t="s">
        <v>943</v>
      </c>
      <c r="F459" s="3">
        <v>2</v>
      </c>
      <c r="G459" s="3" t="s">
        <v>226</v>
      </c>
      <c r="H459" s="3" t="str">
        <f t="shared" si="24"/>
        <v>2018</v>
      </c>
      <c r="I459" s="3">
        <v>3</v>
      </c>
      <c r="J459" s="69"/>
      <c r="K459" s="3" t="s">
        <v>51</v>
      </c>
      <c r="L459" s="3" t="s">
        <v>936</v>
      </c>
      <c r="M459" s="16">
        <v>70</v>
      </c>
      <c r="N459" s="3">
        <v>415</v>
      </c>
      <c r="O459" s="3" t="str">
        <f t="shared" si="23"/>
        <v>2017</v>
      </c>
      <c r="P459" s="2">
        <v>489</v>
      </c>
    </row>
    <row r="460" spans="1:17" x14ac:dyDescent="0.35">
      <c r="A460" s="3">
        <v>2024</v>
      </c>
      <c r="B460" s="3">
        <v>3</v>
      </c>
      <c r="C460" s="3">
        <v>13</v>
      </c>
      <c r="D460" s="2">
        <v>692</v>
      </c>
      <c r="E460" s="3" t="s">
        <v>159</v>
      </c>
      <c r="F460" s="3">
        <v>2</v>
      </c>
      <c r="G460" s="3" t="s">
        <v>226</v>
      </c>
      <c r="H460" s="3" t="str">
        <f t="shared" si="24"/>
        <v>2017</v>
      </c>
      <c r="I460" s="3">
        <v>7</v>
      </c>
      <c r="J460" s="69"/>
      <c r="K460" t="s">
        <v>228</v>
      </c>
      <c r="L460">
        <v>7</v>
      </c>
      <c r="M460">
        <v>71.5</v>
      </c>
      <c r="N460" s="3">
        <v>415</v>
      </c>
      <c r="O460" s="3" t="str">
        <f t="shared" si="23"/>
        <v>2017</v>
      </c>
      <c r="P460" s="2">
        <v>692</v>
      </c>
    </row>
    <row r="461" spans="1:17" x14ac:dyDescent="0.35">
      <c r="A461" s="3">
        <v>2024</v>
      </c>
      <c r="B461" s="2">
        <v>8</v>
      </c>
      <c r="C461" s="3">
        <v>15</v>
      </c>
      <c r="D461" s="2">
        <v>773</v>
      </c>
      <c r="E461" s="3" t="s">
        <v>274</v>
      </c>
      <c r="F461" s="3">
        <v>3</v>
      </c>
      <c r="G461" s="3" t="s">
        <v>225</v>
      </c>
      <c r="H461" s="3" t="str">
        <f t="shared" si="24"/>
        <v>2021</v>
      </c>
      <c r="I461" s="3">
        <v>3</v>
      </c>
      <c r="J461" s="69"/>
      <c r="K461">
        <v>3</v>
      </c>
      <c r="L461">
        <v>3</v>
      </c>
      <c r="M461">
        <v>70.400000000000006</v>
      </c>
      <c r="N461" s="3">
        <v>415</v>
      </c>
      <c r="O461" s="3" t="str">
        <f t="shared" si="23"/>
        <v>2021</v>
      </c>
      <c r="P461" s="2">
        <v>773</v>
      </c>
    </row>
    <row r="462" spans="1:17" x14ac:dyDescent="0.35">
      <c r="A462" s="3">
        <v>2024</v>
      </c>
      <c r="B462" s="3">
        <v>8</v>
      </c>
      <c r="C462" s="3">
        <v>19</v>
      </c>
      <c r="D462" s="2">
        <v>744</v>
      </c>
      <c r="E462" s="3" t="s">
        <v>256</v>
      </c>
      <c r="F462" s="3">
        <v>3</v>
      </c>
      <c r="G462" s="3" t="s">
        <v>225</v>
      </c>
      <c r="H462" s="3" t="str">
        <f t="shared" si="24"/>
        <v>2021</v>
      </c>
      <c r="I462" s="3">
        <v>3</v>
      </c>
      <c r="J462" s="69"/>
      <c r="K462">
        <v>3</v>
      </c>
      <c r="L462">
        <v>3</v>
      </c>
      <c r="M462">
        <v>73.8</v>
      </c>
      <c r="N462" s="3">
        <v>416</v>
      </c>
      <c r="O462" s="3" t="str">
        <f t="shared" si="23"/>
        <v>2021</v>
      </c>
      <c r="P462" s="2">
        <v>744</v>
      </c>
    </row>
    <row r="463" spans="1:17" x14ac:dyDescent="0.35">
      <c r="A463" s="3">
        <v>2024</v>
      </c>
      <c r="B463" s="3">
        <v>8</v>
      </c>
      <c r="C463" s="3">
        <v>19</v>
      </c>
      <c r="D463" s="2">
        <v>782</v>
      </c>
      <c r="E463" s="3" t="s">
        <v>1165</v>
      </c>
      <c r="F463" s="3">
        <v>3</v>
      </c>
      <c r="G463" s="3" t="s">
        <v>225</v>
      </c>
      <c r="H463" s="3" t="str">
        <f t="shared" si="24"/>
        <v>2021</v>
      </c>
      <c r="I463" s="3">
        <v>3</v>
      </c>
      <c r="J463" s="69"/>
      <c r="K463">
        <v>3</v>
      </c>
      <c r="L463">
        <v>3</v>
      </c>
      <c r="M463">
        <v>70.7</v>
      </c>
      <c r="N463" s="3">
        <v>416</v>
      </c>
      <c r="O463" s="3" t="str">
        <f t="shared" si="23"/>
        <v>2021</v>
      </c>
      <c r="P463" s="2">
        <v>782</v>
      </c>
    </row>
    <row r="464" spans="1:17" x14ac:dyDescent="0.35">
      <c r="A464" s="3">
        <v>2022</v>
      </c>
      <c r="B464" s="3">
        <v>11</v>
      </c>
      <c r="C464" s="3">
        <v>16</v>
      </c>
      <c r="D464" s="2">
        <v>112</v>
      </c>
      <c r="E464" s="14" t="s">
        <v>85</v>
      </c>
      <c r="F464" s="15">
        <v>4</v>
      </c>
      <c r="G464" s="3" t="s">
        <v>225</v>
      </c>
      <c r="H464" s="3" t="str">
        <f t="shared" si="24"/>
        <v>2022</v>
      </c>
      <c r="I464" s="3">
        <v>0</v>
      </c>
      <c r="J464" s="69"/>
      <c r="K464" s="3">
        <v>2</v>
      </c>
      <c r="L464" s="3">
        <v>2</v>
      </c>
      <c r="M464" s="3">
        <v>79.900000000000006</v>
      </c>
      <c r="N464" s="3">
        <v>417</v>
      </c>
      <c r="O464" s="3" t="str">
        <f t="shared" si="23"/>
        <v>2021</v>
      </c>
      <c r="P464" s="2">
        <v>112</v>
      </c>
    </row>
    <row r="465" spans="1:20" x14ac:dyDescent="0.35">
      <c r="A465" s="3">
        <v>2024</v>
      </c>
      <c r="B465" s="3">
        <v>1</v>
      </c>
      <c r="C465" s="3">
        <v>18</v>
      </c>
      <c r="D465" s="2">
        <v>558</v>
      </c>
      <c r="E465" s="3" t="s">
        <v>1003</v>
      </c>
      <c r="F465" s="3">
        <v>1</v>
      </c>
      <c r="G465" s="3" t="s">
        <v>41</v>
      </c>
      <c r="H465" s="3" t="str">
        <f t="shared" si="24"/>
        <v>2013</v>
      </c>
      <c r="I465" s="3">
        <v>11</v>
      </c>
      <c r="J465" s="69"/>
      <c r="K465" t="s">
        <v>583</v>
      </c>
      <c r="L465" s="3" t="s">
        <v>318</v>
      </c>
      <c r="M465">
        <v>64.400000000000006</v>
      </c>
      <c r="N465" s="3">
        <v>417</v>
      </c>
      <c r="O465" s="3" t="str">
        <f t="shared" si="23"/>
        <v>2011</v>
      </c>
      <c r="P465" s="2">
        <v>558</v>
      </c>
    </row>
    <row r="466" spans="1:20" x14ac:dyDescent="0.35">
      <c r="A466" s="3">
        <v>2023</v>
      </c>
      <c r="B466" s="3">
        <v>11</v>
      </c>
      <c r="C466" s="3">
        <v>3</v>
      </c>
      <c r="D466" s="2">
        <v>532</v>
      </c>
      <c r="E466" s="3" t="s">
        <v>984</v>
      </c>
      <c r="F466" s="3">
        <v>4</v>
      </c>
      <c r="G466" s="3" t="s">
        <v>225</v>
      </c>
      <c r="H466" s="3" t="str">
        <f t="shared" si="24"/>
        <v>2022</v>
      </c>
      <c r="I466" s="3">
        <v>1</v>
      </c>
      <c r="J466" s="69"/>
      <c r="K466" s="3">
        <v>2</v>
      </c>
      <c r="L466" s="3">
        <v>2</v>
      </c>
      <c r="M466" s="3">
        <v>75.5</v>
      </c>
      <c r="N466" s="3">
        <v>418</v>
      </c>
      <c r="O466" s="3" t="str">
        <f t="shared" si="23"/>
        <v>2021</v>
      </c>
      <c r="P466" s="2">
        <v>532</v>
      </c>
    </row>
    <row r="467" spans="1:20" x14ac:dyDescent="0.35">
      <c r="A467" s="3">
        <v>2024</v>
      </c>
      <c r="B467">
        <v>8</v>
      </c>
      <c r="C467" s="3">
        <v>19</v>
      </c>
      <c r="D467" s="2">
        <v>825</v>
      </c>
      <c r="E467" s="3" t="s">
        <v>307</v>
      </c>
      <c r="F467" s="3">
        <v>3</v>
      </c>
      <c r="G467" s="3" t="s">
        <v>225</v>
      </c>
      <c r="H467" s="3" t="str">
        <f t="shared" si="24"/>
        <v>2021</v>
      </c>
      <c r="I467" s="3">
        <v>3</v>
      </c>
      <c r="J467" s="69"/>
      <c r="K467">
        <v>3</v>
      </c>
      <c r="L467">
        <v>3</v>
      </c>
      <c r="M467">
        <v>8.31</v>
      </c>
      <c r="N467" s="3">
        <v>419</v>
      </c>
      <c r="O467" s="3" t="str">
        <f t="shared" si="23"/>
        <v>2021</v>
      </c>
      <c r="P467" s="2">
        <v>825</v>
      </c>
    </row>
    <row r="468" spans="1:20" x14ac:dyDescent="0.35">
      <c r="A468" s="3">
        <v>2021</v>
      </c>
      <c r="B468" s="3" t="s">
        <v>28</v>
      </c>
      <c r="C468" s="3" t="s">
        <v>28</v>
      </c>
      <c r="D468" s="2">
        <v>2</v>
      </c>
      <c r="E468" s="3" t="s">
        <v>445</v>
      </c>
      <c r="F468" s="3" t="s">
        <v>28</v>
      </c>
      <c r="G468" s="3" t="s">
        <v>45</v>
      </c>
      <c r="H468" s="3" t="str">
        <f t="shared" si="24"/>
        <v>2011</v>
      </c>
      <c r="I468" s="3">
        <v>10</v>
      </c>
      <c r="J468" s="69"/>
      <c r="K468" s="3" t="s">
        <v>317</v>
      </c>
      <c r="L468" s="3" t="s">
        <v>317</v>
      </c>
      <c r="M468" s="3">
        <v>65.2</v>
      </c>
      <c r="N468" s="3">
        <v>420</v>
      </c>
      <c r="O468" s="3" t="str">
        <f t="shared" si="23"/>
        <v>2007</v>
      </c>
      <c r="P468" s="2">
        <v>2</v>
      </c>
    </row>
    <row r="469" spans="1:20" x14ac:dyDescent="0.35">
      <c r="A469" s="3">
        <v>2019</v>
      </c>
      <c r="B469" s="3">
        <v>11</v>
      </c>
      <c r="C469" s="3">
        <v>27</v>
      </c>
      <c r="D469" s="2">
        <v>44</v>
      </c>
      <c r="E469" s="3" t="s">
        <v>486</v>
      </c>
      <c r="F469" s="3">
        <v>4</v>
      </c>
      <c r="G469" s="3" t="s">
        <v>45</v>
      </c>
      <c r="H469" s="3" t="str">
        <f t="shared" si="24"/>
        <v>2011</v>
      </c>
      <c r="I469" s="3">
        <v>8</v>
      </c>
      <c r="J469" s="69"/>
      <c r="K469" s="3" t="s">
        <v>317</v>
      </c>
      <c r="L469" s="3" t="s">
        <v>317</v>
      </c>
      <c r="M469" s="3">
        <v>65.099999999999994</v>
      </c>
      <c r="N469" s="3">
        <v>420</v>
      </c>
      <c r="O469" s="3" t="str">
        <f t="shared" si="23"/>
        <v>2007</v>
      </c>
      <c r="P469" s="2">
        <v>44</v>
      </c>
    </row>
    <row r="470" spans="1:20" x14ac:dyDescent="0.35">
      <c r="A470" s="3">
        <v>2024</v>
      </c>
      <c r="B470" s="3">
        <v>8</v>
      </c>
      <c r="C470" s="3">
        <v>19</v>
      </c>
      <c r="D470" s="2">
        <v>748</v>
      </c>
      <c r="E470" s="3" t="s">
        <v>260</v>
      </c>
      <c r="F470" s="3">
        <v>3</v>
      </c>
      <c r="G470" s="3" t="s">
        <v>225</v>
      </c>
      <c r="H470" s="3" t="str">
        <f t="shared" si="24"/>
        <v>2021</v>
      </c>
      <c r="I470" s="3">
        <v>3</v>
      </c>
      <c r="J470" s="69"/>
      <c r="K470">
        <v>3</v>
      </c>
      <c r="L470">
        <v>3</v>
      </c>
      <c r="M470">
        <v>77.7</v>
      </c>
      <c r="N470" s="3">
        <v>420</v>
      </c>
      <c r="O470" s="3" t="str">
        <f t="shared" si="23"/>
        <v>2021</v>
      </c>
      <c r="P470" s="2">
        <v>748</v>
      </c>
    </row>
    <row r="471" spans="1:20" x14ac:dyDescent="0.35">
      <c r="A471" s="3">
        <v>2024</v>
      </c>
      <c r="B471">
        <v>8</v>
      </c>
      <c r="C471" s="3">
        <v>19</v>
      </c>
      <c r="D471" s="2">
        <v>817</v>
      </c>
      <c r="E471" s="3" t="s">
        <v>1179</v>
      </c>
      <c r="F471" s="3">
        <v>3</v>
      </c>
      <c r="G471" s="3" t="s">
        <v>225</v>
      </c>
      <c r="H471" s="3" t="str">
        <f t="shared" si="24"/>
        <v>2021</v>
      </c>
      <c r="I471" s="3">
        <v>3</v>
      </c>
      <c r="J471" s="69"/>
      <c r="K471">
        <v>3</v>
      </c>
      <c r="L471">
        <v>3</v>
      </c>
      <c r="M471">
        <v>75</v>
      </c>
      <c r="N471" s="3">
        <v>420</v>
      </c>
      <c r="O471" s="3" t="str">
        <f t="shared" si="23"/>
        <v>2021</v>
      </c>
      <c r="P471" s="2">
        <v>817</v>
      </c>
    </row>
    <row r="472" spans="1:20" x14ac:dyDescent="0.35">
      <c r="A472" s="3">
        <v>2024</v>
      </c>
      <c r="B472">
        <v>8</v>
      </c>
      <c r="C472" s="3">
        <v>15</v>
      </c>
      <c r="D472" s="2">
        <v>831</v>
      </c>
      <c r="E472" s="3" t="s">
        <v>311</v>
      </c>
      <c r="F472" s="3">
        <v>3</v>
      </c>
      <c r="G472" s="3" t="s">
        <v>225</v>
      </c>
      <c r="H472" s="3" t="str">
        <f t="shared" si="24"/>
        <v>2021</v>
      </c>
      <c r="I472" s="3">
        <v>3</v>
      </c>
      <c r="J472" s="69"/>
      <c r="K472" t="s">
        <v>237</v>
      </c>
      <c r="L472">
        <v>3</v>
      </c>
      <c r="M472">
        <v>84.6</v>
      </c>
      <c r="N472" s="3">
        <v>420</v>
      </c>
      <c r="O472" s="3" t="str">
        <f t="shared" si="23"/>
        <v>2021</v>
      </c>
      <c r="P472" s="2">
        <v>831</v>
      </c>
    </row>
    <row r="473" spans="1:20" x14ac:dyDescent="0.35">
      <c r="A473" s="3">
        <v>2023</v>
      </c>
      <c r="B473" s="3">
        <v>7</v>
      </c>
      <c r="C473" s="3">
        <v>26</v>
      </c>
      <c r="D473" s="2">
        <v>439</v>
      </c>
      <c r="E473" s="3" t="s">
        <v>93</v>
      </c>
      <c r="F473" s="3">
        <v>3</v>
      </c>
      <c r="G473" s="3" t="s">
        <v>225</v>
      </c>
      <c r="H473" s="3" t="str">
        <f t="shared" si="24"/>
        <v>2021</v>
      </c>
      <c r="I473" s="3">
        <v>2</v>
      </c>
      <c r="J473" s="69"/>
      <c r="K473" s="3" t="s">
        <v>94</v>
      </c>
      <c r="L473" s="3">
        <v>1</v>
      </c>
      <c r="M473" s="3">
        <v>63.1</v>
      </c>
      <c r="N473" s="3">
        <v>421</v>
      </c>
      <c r="O473" s="3" t="str">
        <f t="shared" si="23"/>
        <v>2021</v>
      </c>
      <c r="P473" s="2">
        <v>439</v>
      </c>
      <c r="T473">
        <v>4.93</v>
      </c>
    </row>
    <row r="474" spans="1:20" x14ac:dyDescent="0.35">
      <c r="A474" s="3">
        <v>2024</v>
      </c>
      <c r="B474" s="3">
        <v>3</v>
      </c>
      <c r="C474" s="3">
        <v>12</v>
      </c>
      <c r="D474" s="2">
        <v>667</v>
      </c>
      <c r="E474" s="3" t="s">
        <v>154</v>
      </c>
      <c r="F474" s="3">
        <v>2</v>
      </c>
      <c r="G474" s="3" t="s">
        <v>45</v>
      </c>
      <c r="H474" s="3" t="str">
        <f t="shared" si="24"/>
        <v>2011</v>
      </c>
      <c r="I474" s="3">
        <v>13</v>
      </c>
      <c r="J474" s="69"/>
      <c r="K474" t="s">
        <v>236</v>
      </c>
      <c r="L474" t="s">
        <v>317</v>
      </c>
      <c r="M474">
        <v>72.3</v>
      </c>
      <c r="N474" s="3">
        <v>425</v>
      </c>
      <c r="O474" s="3" t="str">
        <f t="shared" si="23"/>
        <v>2007</v>
      </c>
      <c r="P474" s="2">
        <v>667</v>
      </c>
    </row>
    <row r="475" spans="1:20" x14ac:dyDescent="0.35">
      <c r="A475" s="3">
        <v>2024</v>
      </c>
      <c r="B475" s="3">
        <v>8</v>
      </c>
      <c r="C475" s="3">
        <v>8</v>
      </c>
      <c r="D475" s="2">
        <v>703</v>
      </c>
      <c r="E475" s="3" t="s">
        <v>1122</v>
      </c>
      <c r="F475" s="3">
        <v>3</v>
      </c>
      <c r="G475" s="3" t="s">
        <v>45</v>
      </c>
      <c r="H475" s="3" t="str">
        <f t="shared" si="24"/>
        <v>2011</v>
      </c>
      <c r="I475" s="3">
        <v>13</v>
      </c>
      <c r="J475" s="69"/>
      <c r="K475" t="s">
        <v>46</v>
      </c>
      <c r="L475" t="s">
        <v>317</v>
      </c>
      <c r="M475">
        <v>69.2</v>
      </c>
      <c r="N475" s="3">
        <v>425</v>
      </c>
      <c r="O475" s="3" t="str">
        <f t="shared" si="23"/>
        <v>2007</v>
      </c>
      <c r="P475" s="2">
        <v>703</v>
      </c>
    </row>
    <row r="476" spans="1:20" x14ac:dyDescent="0.35">
      <c r="A476" s="3">
        <v>2024</v>
      </c>
      <c r="B476" s="3">
        <v>8</v>
      </c>
      <c r="C476" s="3">
        <v>15</v>
      </c>
      <c r="D476" s="2">
        <v>736</v>
      </c>
      <c r="E476" s="3" t="s">
        <v>251</v>
      </c>
      <c r="F476" s="3">
        <v>3</v>
      </c>
      <c r="G476" s="3" t="s">
        <v>225</v>
      </c>
      <c r="H476" s="3" t="str">
        <f t="shared" si="24"/>
        <v>2021</v>
      </c>
      <c r="I476" s="3">
        <v>3</v>
      </c>
      <c r="J476" s="69"/>
      <c r="K476">
        <v>3</v>
      </c>
      <c r="L476">
        <v>3</v>
      </c>
      <c r="M476">
        <v>92.2</v>
      </c>
      <c r="N476" s="3">
        <v>425</v>
      </c>
      <c r="O476" s="3" t="str">
        <f t="shared" si="23"/>
        <v>2021</v>
      </c>
      <c r="P476" s="2">
        <v>736</v>
      </c>
    </row>
    <row r="477" spans="1:20" x14ac:dyDescent="0.35">
      <c r="A477" s="3">
        <v>2024</v>
      </c>
      <c r="B477" s="3">
        <v>8</v>
      </c>
      <c r="C477" s="3">
        <v>19</v>
      </c>
      <c r="D477" s="2">
        <v>808</v>
      </c>
      <c r="E477" s="3" t="s">
        <v>295</v>
      </c>
      <c r="F477" s="3">
        <v>3</v>
      </c>
      <c r="G477" s="3" t="s">
        <v>225</v>
      </c>
      <c r="H477" s="3" t="str">
        <f t="shared" si="24"/>
        <v>2021</v>
      </c>
      <c r="I477" s="3">
        <v>3</v>
      </c>
      <c r="J477" s="69"/>
      <c r="K477">
        <v>3</v>
      </c>
      <c r="L477">
        <v>3</v>
      </c>
      <c r="M477">
        <v>79.5</v>
      </c>
      <c r="N477" s="3">
        <v>425</v>
      </c>
      <c r="O477" s="3" t="str">
        <f t="shared" si="23"/>
        <v>2021</v>
      </c>
      <c r="P477" s="2">
        <v>808</v>
      </c>
    </row>
    <row r="478" spans="1:20" x14ac:dyDescent="0.35">
      <c r="A478" s="3">
        <v>2011</v>
      </c>
      <c r="B478" s="3">
        <v>11</v>
      </c>
      <c r="C478" s="3">
        <v>14</v>
      </c>
      <c r="D478" s="2">
        <v>617</v>
      </c>
      <c r="E478" s="3" t="s">
        <v>1056</v>
      </c>
      <c r="F478" s="3">
        <v>4</v>
      </c>
      <c r="G478" s="3" t="s">
        <v>45</v>
      </c>
      <c r="H478" s="3" t="str">
        <f t="shared" si="24"/>
        <v>2009</v>
      </c>
      <c r="I478" s="3">
        <v>2</v>
      </c>
      <c r="J478" s="69"/>
      <c r="K478" t="s">
        <v>671</v>
      </c>
      <c r="L478" s="3" t="s">
        <v>512</v>
      </c>
      <c r="M478">
        <v>75.3</v>
      </c>
      <c r="N478" s="3">
        <v>430</v>
      </c>
      <c r="O478" s="3" t="str">
        <f t="shared" si="23"/>
        <v>2007</v>
      </c>
      <c r="P478" s="2">
        <v>617</v>
      </c>
    </row>
    <row r="479" spans="1:20" x14ac:dyDescent="0.35">
      <c r="A479" s="3">
        <v>2024</v>
      </c>
      <c r="B479" s="3">
        <v>8</v>
      </c>
      <c r="C479" s="3">
        <v>15</v>
      </c>
      <c r="D479" s="2">
        <v>734</v>
      </c>
      <c r="E479" s="3" t="s">
        <v>250</v>
      </c>
      <c r="F479" s="3">
        <v>3</v>
      </c>
      <c r="G479" s="3" t="s">
        <v>225</v>
      </c>
      <c r="H479" s="3" t="str">
        <f t="shared" si="24"/>
        <v>2021</v>
      </c>
      <c r="I479" s="3">
        <v>3</v>
      </c>
      <c r="J479" s="69"/>
      <c r="K479">
        <v>3</v>
      </c>
      <c r="L479">
        <v>3</v>
      </c>
      <c r="M479">
        <v>86.9</v>
      </c>
      <c r="N479" s="3">
        <v>430</v>
      </c>
      <c r="O479" s="3" t="str">
        <f t="shared" si="23"/>
        <v>2021</v>
      </c>
      <c r="P479" s="2">
        <v>734</v>
      </c>
    </row>
    <row r="480" spans="1:20" x14ac:dyDescent="0.35">
      <c r="A480" s="3">
        <v>2022</v>
      </c>
      <c r="B480" s="3">
        <v>11</v>
      </c>
      <c r="C480" s="3">
        <v>1</v>
      </c>
      <c r="D480" s="2">
        <v>365</v>
      </c>
      <c r="E480" s="3" t="s">
        <v>831</v>
      </c>
      <c r="F480" s="3">
        <v>4</v>
      </c>
      <c r="G480" s="3" t="s">
        <v>41</v>
      </c>
      <c r="H480" s="3" t="str">
        <f t="shared" si="24"/>
        <v>2013</v>
      </c>
      <c r="I480" s="3">
        <v>9</v>
      </c>
      <c r="J480" s="69"/>
      <c r="K480" s="3" t="s">
        <v>583</v>
      </c>
      <c r="L480" s="3" t="s">
        <v>318</v>
      </c>
      <c r="M480" s="3">
        <v>6.5</v>
      </c>
      <c r="N480" s="3">
        <v>431</v>
      </c>
      <c r="O480" s="3" t="str">
        <f t="shared" si="23"/>
        <v>2011</v>
      </c>
      <c r="P480" s="2">
        <v>365</v>
      </c>
    </row>
    <row r="481" spans="1:16" x14ac:dyDescent="0.35">
      <c r="A481" s="3">
        <v>2023</v>
      </c>
      <c r="B481" s="3">
        <v>7</v>
      </c>
      <c r="C481" s="3">
        <v>19</v>
      </c>
      <c r="D481" s="2">
        <v>357</v>
      </c>
      <c r="E481" s="3" t="s">
        <v>823</v>
      </c>
      <c r="F481" s="3">
        <v>3</v>
      </c>
      <c r="G481" s="3" t="s">
        <v>41</v>
      </c>
      <c r="H481" s="3" t="str">
        <f t="shared" si="24"/>
        <v>2013</v>
      </c>
      <c r="I481" s="3">
        <v>10</v>
      </c>
      <c r="J481" s="69"/>
      <c r="K481" s="3" t="s">
        <v>42</v>
      </c>
      <c r="L481" s="3" t="s">
        <v>318</v>
      </c>
      <c r="M481" s="3">
        <v>63.2</v>
      </c>
      <c r="N481" s="3">
        <v>432</v>
      </c>
      <c r="O481" s="3" t="str">
        <f t="shared" si="23"/>
        <v>2011</v>
      </c>
      <c r="P481" s="2">
        <v>357</v>
      </c>
    </row>
    <row r="482" spans="1:16" x14ac:dyDescent="0.35">
      <c r="A482" s="3">
        <v>2024</v>
      </c>
      <c r="B482" s="3">
        <v>2</v>
      </c>
      <c r="C482" s="3">
        <v>23</v>
      </c>
      <c r="D482" s="2">
        <v>639</v>
      </c>
      <c r="E482" s="3" t="s">
        <v>140</v>
      </c>
      <c r="F482" s="3">
        <v>1</v>
      </c>
      <c r="G482" s="3" t="s">
        <v>225</v>
      </c>
      <c r="H482" s="3" t="str">
        <f t="shared" si="24"/>
        <v>2022</v>
      </c>
      <c r="I482" s="3">
        <v>2</v>
      </c>
      <c r="J482" s="69"/>
      <c r="K482" t="s">
        <v>21</v>
      </c>
      <c r="L482" s="3">
        <v>2</v>
      </c>
      <c r="M482">
        <v>87.1</v>
      </c>
      <c r="N482" s="3">
        <v>432</v>
      </c>
      <c r="O482" s="3" t="str">
        <f t="shared" si="23"/>
        <v>2021</v>
      </c>
      <c r="P482" s="2">
        <v>639</v>
      </c>
    </row>
    <row r="483" spans="1:16" x14ac:dyDescent="0.35">
      <c r="A483" s="3">
        <v>2024</v>
      </c>
      <c r="B483" s="3">
        <v>8</v>
      </c>
      <c r="C483" s="3">
        <v>19</v>
      </c>
      <c r="D483" s="2">
        <v>749</v>
      </c>
      <c r="E483" s="3" t="s">
        <v>261</v>
      </c>
      <c r="F483" s="3">
        <v>3</v>
      </c>
      <c r="G483" s="3" t="s">
        <v>225</v>
      </c>
      <c r="H483" s="3" t="str">
        <f t="shared" si="24"/>
        <v>2021</v>
      </c>
      <c r="I483" s="3">
        <v>3</v>
      </c>
      <c r="J483" s="69"/>
      <c r="K483">
        <v>3</v>
      </c>
      <c r="L483">
        <v>3</v>
      </c>
      <c r="M483">
        <v>85.4</v>
      </c>
      <c r="N483" s="3">
        <v>432</v>
      </c>
      <c r="O483" s="3" t="str">
        <f t="shared" si="23"/>
        <v>2021</v>
      </c>
      <c r="P483" s="2">
        <v>749</v>
      </c>
    </row>
    <row r="484" spans="1:16" x14ac:dyDescent="0.35">
      <c r="A484" s="3">
        <v>2023</v>
      </c>
      <c r="B484" s="3">
        <v>2</v>
      </c>
      <c r="C484" s="3">
        <v>3</v>
      </c>
      <c r="D484" s="2">
        <v>136</v>
      </c>
      <c r="E484" s="14" t="s">
        <v>581</v>
      </c>
      <c r="F484" s="15">
        <v>1</v>
      </c>
      <c r="G484" s="3" t="s">
        <v>226</v>
      </c>
      <c r="H484" s="3" t="str">
        <f t="shared" si="24"/>
        <v>2017</v>
      </c>
      <c r="I484" s="3">
        <v>6</v>
      </c>
      <c r="J484" s="69"/>
      <c r="K484" s="3">
        <v>7</v>
      </c>
      <c r="L484" s="3">
        <v>7</v>
      </c>
      <c r="M484" s="3">
        <v>142.6</v>
      </c>
      <c r="N484" s="3">
        <v>433</v>
      </c>
      <c r="O484" s="3" t="str">
        <f t="shared" si="23"/>
        <v>2017</v>
      </c>
      <c r="P484" s="2">
        <v>136</v>
      </c>
    </row>
    <row r="485" spans="1:16" x14ac:dyDescent="0.35">
      <c r="A485" s="3">
        <v>2021</v>
      </c>
      <c r="B485" s="3">
        <v>10</v>
      </c>
      <c r="C485" s="3">
        <v>11</v>
      </c>
      <c r="D485" s="2">
        <v>459</v>
      </c>
      <c r="E485" s="3" t="s">
        <v>915</v>
      </c>
      <c r="F485" s="3">
        <v>4</v>
      </c>
      <c r="G485" s="3" t="s">
        <v>226</v>
      </c>
      <c r="H485" s="3" t="str">
        <f t="shared" si="24"/>
        <v>2018</v>
      </c>
      <c r="I485" s="3">
        <v>3</v>
      </c>
      <c r="J485" s="69"/>
      <c r="K485" s="3" t="s">
        <v>51</v>
      </c>
      <c r="L485" s="3" t="s">
        <v>916</v>
      </c>
      <c r="M485" s="16">
        <v>70</v>
      </c>
      <c r="N485" s="3">
        <v>433</v>
      </c>
      <c r="O485" s="3" t="str">
        <f t="shared" si="23"/>
        <v>2017</v>
      </c>
      <c r="P485" s="2">
        <v>459</v>
      </c>
    </row>
    <row r="486" spans="1:16" x14ac:dyDescent="0.35">
      <c r="A486" s="3">
        <v>2024</v>
      </c>
      <c r="B486" s="3">
        <v>8</v>
      </c>
      <c r="C486" s="3">
        <v>19</v>
      </c>
      <c r="D486" s="2">
        <v>796</v>
      </c>
      <c r="E486" s="3" t="s">
        <v>287</v>
      </c>
      <c r="F486" s="3">
        <v>3</v>
      </c>
      <c r="G486" s="3" t="s">
        <v>225</v>
      </c>
      <c r="H486" s="3" t="str">
        <f t="shared" si="24"/>
        <v>2021</v>
      </c>
      <c r="I486" s="3">
        <v>3</v>
      </c>
      <c r="J486" s="69"/>
      <c r="K486">
        <v>3</v>
      </c>
      <c r="L486">
        <v>3</v>
      </c>
      <c r="M486">
        <v>83.6</v>
      </c>
      <c r="N486" s="3">
        <v>434</v>
      </c>
      <c r="O486" s="3" t="str">
        <f t="shared" si="23"/>
        <v>2021</v>
      </c>
      <c r="P486" s="2">
        <v>796</v>
      </c>
    </row>
    <row r="487" spans="1:16" x14ac:dyDescent="0.35">
      <c r="A487" s="3">
        <v>2024</v>
      </c>
      <c r="B487" s="3">
        <v>8</v>
      </c>
      <c r="C487" s="3">
        <v>14</v>
      </c>
      <c r="D487" s="2">
        <v>695</v>
      </c>
      <c r="E487" s="3" t="s">
        <v>1114</v>
      </c>
      <c r="F487" s="3">
        <v>3</v>
      </c>
      <c r="G487" s="3" t="s">
        <v>225</v>
      </c>
      <c r="H487" s="3" t="str">
        <f t="shared" si="24"/>
        <v>2021</v>
      </c>
      <c r="I487" s="3">
        <v>3</v>
      </c>
      <c r="J487" s="69"/>
      <c r="K487" t="s">
        <v>1018</v>
      </c>
      <c r="L487">
        <v>1</v>
      </c>
      <c r="M487">
        <v>69.7</v>
      </c>
      <c r="N487" s="3">
        <v>435</v>
      </c>
      <c r="O487" s="3" t="str">
        <f t="shared" si="23"/>
        <v>2021</v>
      </c>
      <c r="P487" s="2">
        <v>695</v>
      </c>
    </row>
    <row r="488" spans="1:16" x14ac:dyDescent="0.35">
      <c r="A488" s="3">
        <v>2023</v>
      </c>
      <c r="B488" s="3">
        <v>7</v>
      </c>
      <c r="C488" s="3">
        <v>28</v>
      </c>
      <c r="D488" s="2">
        <v>420</v>
      </c>
      <c r="E488" s="3" t="s">
        <v>60</v>
      </c>
      <c r="F488" s="3">
        <v>3</v>
      </c>
      <c r="G488" s="3" t="s">
        <v>225</v>
      </c>
      <c r="H488" s="3" t="str">
        <f t="shared" si="24"/>
        <v>2021</v>
      </c>
      <c r="I488" s="3">
        <v>2</v>
      </c>
      <c r="J488" s="69"/>
      <c r="K488" s="3" t="s">
        <v>61</v>
      </c>
      <c r="L488" s="3">
        <v>4</v>
      </c>
      <c r="M488" s="3">
        <v>79.8</v>
      </c>
      <c r="N488" s="3">
        <v>436.8</v>
      </c>
      <c r="O488" s="3" t="str">
        <f t="shared" si="23"/>
        <v>2021</v>
      </c>
      <c r="P488" s="2">
        <v>420</v>
      </c>
    </row>
    <row r="489" spans="1:16" x14ac:dyDescent="0.35">
      <c r="A489" s="3">
        <v>2024</v>
      </c>
      <c r="B489" s="3">
        <v>1</v>
      </c>
      <c r="C489" s="3">
        <v>16</v>
      </c>
      <c r="D489" s="2">
        <v>572</v>
      </c>
      <c r="E489" s="3" t="s">
        <v>1016</v>
      </c>
      <c r="F489" s="3">
        <v>1</v>
      </c>
      <c r="G489" s="3" t="s">
        <v>45</v>
      </c>
      <c r="H489" s="3" t="str">
        <f t="shared" si="24"/>
        <v>2011</v>
      </c>
      <c r="I489" s="3">
        <v>13</v>
      </c>
      <c r="J489" s="69"/>
      <c r="K489" t="s">
        <v>615</v>
      </c>
      <c r="L489" s="3" t="s">
        <v>317</v>
      </c>
      <c r="M489">
        <v>79.2</v>
      </c>
      <c r="N489" s="3">
        <v>437</v>
      </c>
      <c r="O489" s="3" t="str">
        <f t="shared" si="23"/>
        <v>2007</v>
      </c>
      <c r="P489" s="2">
        <v>572</v>
      </c>
    </row>
    <row r="490" spans="1:16" x14ac:dyDescent="0.35">
      <c r="A490" s="3">
        <v>2021</v>
      </c>
      <c r="B490" s="3">
        <v>10</v>
      </c>
      <c r="C490" s="3">
        <v>11</v>
      </c>
      <c r="D490" s="2">
        <v>465</v>
      </c>
      <c r="E490" s="3" t="s">
        <v>922</v>
      </c>
      <c r="F490" s="3">
        <v>4</v>
      </c>
      <c r="G490" s="3" t="s">
        <v>226</v>
      </c>
      <c r="H490" s="3" t="str">
        <f t="shared" si="24"/>
        <v>2018</v>
      </c>
      <c r="I490" s="3">
        <v>3</v>
      </c>
      <c r="J490" s="69"/>
      <c r="K490" s="3" t="s">
        <v>51</v>
      </c>
      <c r="L490" s="3" t="s">
        <v>920</v>
      </c>
      <c r="M490" s="16">
        <v>65</v>
      </c>
      <c r="N490" s="3">
        <v>439</v>
      </c>
      <c r="O490" s="3" t="str">
        <f t="shared" si="23"/>
        <v>2017</v>
      </c>
      <c r="P490" s="2">
        <v>465</v>
      </c>
    </row>
    <row r="491" spans="1:16" x14ac:dyDescent="0.35">
      <c r="A491" s="3">
        <v>2023</v>
      </c>
      <c r="B491" s="3">
        <v>10</v>
      </c>
      <c r="C491" s="3">
        <v>31</v>
      </c>
      <c r="D491" s="2">
        <v>539</v>
      </c>
      <c r="E491" s="3" t="s">
        <v>992</v>
      </c>
      <c r="F491" s="3">
        <v>4</v>
      </c>
      <c r="G491" s="3" t="s">
        <v>225</v>
      </c>
      <c r="H491" s="3" t="str">
        <f t="shared" si="24"/>
        <v>2022</v>
      </c>
      <c r="I491" s="3">
        <v>1</v>
      </c>
      <c r="J491" s="69"/>
      <c r="K491" t="s">
        <v>67</v>
      </c>
      <c r="L491" s="3">
        <v>2</v>
      </c>
      <c r="M491" s="3">
        <v>83.8</v>
      </c>
      <c r="N491" s="3">
        <v>439</v>
      </c>
      <c r="O491" s="3" t="str">
        <f t="shared" si="23"/>
        <v>2021</v>
      </c>
      <c r="P491" s="2">
        <v>539</v>
      </c>
    </row>
    <row r="492" spans="1:16" x14ac:dyDescent="0.35">
      <c r="A492" s="3">
        <v>2021</v>
      </c>
      <c r="B492" s="3">
        <v>4</v>
      </c>
      <c r="C492" s="3">
        <v>13</v>
      </c>
      <c r="D492" s="2">
        <v>491</v>
      </c>
      <c r="E492" s="3" t="s">
        <v>945</v>
      </c>
      <c r="F492" s="3">
        <v>2</v>
      </c>
      <c r="G492" s="3" t="s">
        <v>226</v>
      </c>
      <c r="H492" s="3" t="str">
        <f t="shared" si="24"/>
        <v>2018</v>
      </c>
      <c r="I492" s="3">
        <v>3</v>
      </c>
      <c r="J492" s="69"/>
      <c r="K492" s="3" t="s">
        <v>51</v>
      </c>
      <c r="L492" s="3" t="s">
        <v>920</v>
      </c>
      <c r="M492" s="16">
        <v>60</v>
      </c>
      <c r="N492" s="3">
        <v>440</v>
      </c>
      <c r="O492" s="3" t="str">
        <f t="shared" si="23"/>
        <v>2017</v>
      </c>
      <c r="P492" s="2">
        <v>491</v>
      </c>
    </row>
    <row r="493" spans="1:16" x14ac:dyDescent="0.35">
      <c r="A493" s="3">
        <v>2024</v>
      </c>
      <c r="B493" s="3">
        <v>3</v>
      </c>
      <c r="C493" s="3">
        <v>28</v>
      </c>
      <c r="D493" s="2">
        <v>659</v>
      </c>
      <c r="E493" s="3" t="s">
        <v>149</v>
      </c>
      <c r="F493" s="3">
        <v>2</v>
      </c>
      <c r="G493" s="3" t="s">
        <v>41</v>
      </c>
      <c r="H493" s="3" t="str">
        <f t="shared" si="24"/>
        <v>2013</v>
      </c>
      <c r="I493" s="3">
        <v>11</v>
      </c>
      <c r="J493" s="69"/>
      <c r="K493" t="s">
        <v>42</v>
      </c>
      <c r="L493" t="s">
        <v>318</v>
      </c>
      <c r="M493">
        <v>78.900000000000006</v>
      </c>
      <c r="N493" s="3">
        <v>440</v>
      </c>
      <c r="O493" s="3" t="str">
        <f t="shared" si="23"/>
        <v>2011</v>
      </c>
      <c r="P493" s="2">
        <v>659</v>
      </c>
    </row>
    <row r="494" spans="1:16" x14ac:dyDescent="0.35">
      <c r="A494" s="3">
        <v>2024</v>
      </c>
      <c r="B494" s="3">
        <v>8</v>
      </c>
      <c r="C494" s="3">
        <v>9</v>
      </c>
      <c r="D494" s="2">
        <v>768</v>
      </c>
      <c r="E494" s="3" t="s">
        <v>1159</v>
      </c>
      <c r="F494" s="3">
        <v>3</v>
      </c>
      <c r="G494" s="3" t="s">
        <v>41</v>
      </c>
      <c r="H494" s="3" t="str">
        <f t="shared" si="24"/>
        <v>2013</v>
      </c>
      <c r="I494" s="3">
        <v>11</v>
      </c>
      <c r="J494" s="69"/>
      <c r="K494" s="6" t="s">
        <v>509</v>
      </c>
      <c r="L494" t="s">
        <v>458</v>
      </c>
      <c r="M494">
        <v>87.8</v>
      </c>
      <c r="N494" s="3">
        <v>440</v>
      </c>
      <c r="O494" s="3" t="str">
        <f t="shared" si="23"/>
        <v>2011</v>
      </c>
      <c r="P494" s="2">
        <v>768</v>
      </c>
    </row>
    <row r="495" spans="1:16" x14ac:dyDescent="0.35">
      <c r="A495" s="3">
        <v>2024</v>
      </c>
      <c r="B495" s="3">
        <v>8</v>
      </c>
      <c r="C495" s="3">
        <v>19</v>
      </c>
      <c r="D495" s="2">
        <v>798</v>
      </c>
      <c r="E495" s="3" t="s">
        <v>288</v>
      </c>
      <c r="F495" s="3">
        <v>3</v>
      </c>
      <c r="G495" s="3" t="s">
        <v>225</v>
      </c>
      <c r="H495" s="3" t="str">
        <f t="shared" si="24"/>
        <v>2021</v>
      </c>
      <c r="I495" s="3">
        <v>3</v>
      </c>
      <c r="J495" s="69"/>
      <c r="K495">
        <v>3</v>
      </c>
      <c r="L495">
        <v>3</v>
      </c>
      <c r="M495">
        <v>86.2</v>
      </c>
      <c r="N495" s="3">
        <v>440</v>
      </c>
      <c r="O495" s="3" t="str">
        <f t="shared" si="23"/>
        <v>2021</v>
      </c>
      <c r="P495" s="2">
        <v>798</v>
      </c>
    </row>
    <row r="496" spans="1:16" x14ac:dyDescent="0.35">
      <c r="A496" s="3">
        <v>2024</v>
      </c>
      <c r="B496" s="3">
        <v>1</v>
      </c>
      <c r="C496" s="3">
        <v>19</v>
      </c>
      <c r="D496" s="2">
        <v>598</v>
      </c>
      <c r="E496" s="3" t="s">
        <v>1042</v>
      </c>
      <c r="F496" s="3">
        <v>1</v>
      </c>
      <c r="G496" s="3" t="s">
        <v>41</v>
      </c>
      <c r="H496" s="3" t="str">
        <f t="shared" si="24"/>
        <v>2012</v>
      </c>
      <c r="I496" s="3">
        <v>12</v>
      </c>
      <c r="J496" s="69"/>
      <c r="K496" t="s">
        <v>541</v>
      </c>
      <c r="L496" s="3" t="s">
        <v>461</v>
      </c>
      <c r="M496">
        <v>89.5</v>
      </c>
      <c r="N496" s="3">
        <v>441</v>
      </c>
      <c r="O496" s="3" t="str">
        <f t="shared" si="23"/>
        <v>2011</v>
      </c>
      <c r="P496" s="2">
        <v>598</v>
      </c>
    </row>
    <row r="497" spans="1:16" x14ac:dyDescent="0.35">
      <c r="A497" s="3">
        <v>2023</v>
      </c>
      <c r="B497" s="3">
        <v>7</v>
      </c>
      <c r="C497" s="3">
        <v>26</v>
      </c>
      <c r="D497" s="2">
        <v>450</v>
      </c>
      <c r="E497" s="3" t="s">
        <v>75</v>
      </c>
      <c r="F497" s="3">
        <v>3</v>
      </c>
      <c r="G497" s="3" t="s">
        <v>225</v>
      </c>
      <c r="H497" s="3" t="str">
        <f t="shared" si="24"/>
        <v>2021</v>
      </c>
      <c r="I497" s="3">
        <v>2</v>
      </c>
      <c r="J497" s="69"/>
      <c r="K497" s="3" t="s">
        <v>76</v>
      </c>
      <c r="L497" s="3">
        <v>1</v>
      </c>
      <c r="M497" s="3">
        <v>88.7</v>
      </c>
      <c r="N497" s="3">
        <v>444</v>
      </c>
      <c r="O497" s="3" t="str">
        <f t="shared" si="23"/>
        <v>2021</v>
      </c>
      <c r="P497" s="2">
        <v>450</v>
      </c>
    </row>
    <row r="498" spans="1:16" x14ac:dyDescent="0.35">
      <c r="A498" s="3">
        <v>2023</v>
      </c>
      <c r="B498" s="3">
        <v>11</v>
      </c>
      <c r="C498" s="3">
        <v>3</v>
      </c>
      <c r="D498" s="2">
        <v>530</v>
      </c>
      <c r="E498" s="3" t="s">
        <v>118</v>
      </c>
      <c r="F498" s="3">
        <v>4</v>
      </c>
      <c r="G498" s="3" t="s">
        <v>225</v>
      </c>
      <c r="H498" s="3" t="str">
        <f t="shared" si="24"/>
        <v>2022</v>
      </c>
      <c r="I498" s="3">
        <v>1</v>
      </c>
      <c r="J498" s="69"/>
      <c r="K498" s="3">
        <v>2</v>
      </c>
      <c r="L498" s="3">
        <v>2</v>
      </c>
      <c r="M498" s="3">
        <v>83.6</v>
      </c>
      <c r="N498" s="3">
        <v>444</v>
      </c>
      <c r="O498" s="3" t="str">
        <f t="shared" si="23"/>
        <v>2021</v>
      </c>
      <c r="P498" s="2">
        <v>530</v>
      </c>
    </row>
    <row r="499" spans="1:16" x14ac:dyDescent="0.35">
      <c r="A499" s="3">
        <v>2023</v>
      </c>
      <c r="B499" s="3">
        <v>8</v>
      </c>
      <c r="C499" s="3">
        <v>2</v>
      </c>
      <c r="D499" s="2">
        <v>414</v>
      </c>
      <c r="E499" s="3" t="s">
        <v>877</v>
      </c>
      <c r="F499" s="3">
        <v>3</v>
      </c>
      <c r="G499" s="3" t="s">
        <v>226</v>
      </c>
      <c r="H499" s="3" t="str">
        <f t="shared" si="24"/>
        <v>2017</v>
      </c>
      <c r="I499" s="3">
        <v>6</v>
      </c>
      <c r="J499" s="69"/>
      <c r="K499" s="3" t="s">
        <v>878</v>
      </c>
      <c r="L499" s="3">
        <v>7</v>
      </c>
      <c r="M499" s="3">
        <v>93.1</v>
      </c>
      <c r="N499" s="3">
        <v>444.5</v>
      </c>
      <c r="O499" s="3" t="str">
        <f t="shared" si="23"/>
        <v>2017</v>
      </c>
      <c r="P499" s="2">
        <v>414</v>
      </c>
    </row>
    <row r="500" spans="1:16" x14ac:dyDescent="0.35">
      <c r="A500" s="3">
        <v>2023</v>
      </c>
      <c r="B500" s="3">
        <v>8</v>
      </c>
      <c r="C500" s="3">
        <v>2</v>
      </c>
      <c r="D500" s="2">
        <v>421</v>
      </c>
      <c r="E500" s="3" t="s">
        <v>63</v>
      </c>
      <c r="F500" s="3">
        <v>3</v>
      </c>
      <c r="G500" s="3" t="s">
        <v>226</v>
      </c>
      <c r="H500" s="3" t="str">
        <f t="shared" si="24"/>
        <v>2017</v>
      </c>
      <c r="I500" s="3">
        <v>6</v>
      </c>
      <c r="J500" s="69"/>
      <c r="K500" s="3" t="s">
        <v>64</v>
      </c>
      <c r="L500" s="3">
        <v>7</v>
      </c>
      <c r="M500" s="3">
        <v>87.8</v>
      </c>
      <c r="N500" s="3">
        <v>444.5</v>
      </c>
      <c r="O500" s="3" t="str">
        <f t="shared" si="23"/>
        <v>2017</v>
      </c>
      <c r="P500" s="2">
        <v>421</v>
      </c>
    </row>
    <row r="501" spans="1:16" x14ac:dyDescent="0.35">
      <c r="A501" s="3">
        <v>2023</v>
      </c>
      <c r="B501" s="3">
        <v>7</v>
      </c>
      <c r="C501" s="3">
        <v>18</v>
      </c>
      <c r="D501" s="2">
        <v>341</v>
      </c>
      <c r="E501" s="3" t="s">
        <v>807</v>
      </c>
      <c r="F501" s="3">
        <v>3</v>
      </c>
      <c r="G501" s="3" t="s">
        <v>41</v>
      </c>
      <c r="H501" s="3" t="str">
        <f t="shared" si="24"/>
        <v>2012</v>
      </c>
      <c r="I501" s="3">
        <v>11</v>
      </c>
      <c r="J501" s="69"/>
      <c r="K501" s="3" t="s">
        <v>551</v>
      </c>
      <c r="L501" s="3" t="s">
        <v>461</v>
      </c>
      <c r="M501" s="3">
        <v>68.8</v>
      </c>
      <c r="N501" s="3">
        <v>445</v>
      </c>
      <c r="O501" s="3" t="str">
        <f t="shared" si="23"/>
        <v>2011</v>
      </c>
      <c r="P501" s="2">
        <v>341</v>
      </c>
    </row>
    <row r="502" spans="1:16" x14ac:dyDescent="0.35">
      <c r="A502" s="3">
        <v>2024</v>
      </c>
      <c r="B502" s="3">
        <v>1</v>
      </c>
      <c r="C502" s="3">
        <v>26</v>
      </c>
      <c r="D502" s="2">
        <v>552</v>
      </c>
      <c r="E502" s="3" t="s">
        <v>126</v>
      </c>
      <c r="F502" s="3">
        <v>1</v>
      </c>
      <c r="G502" s="3" t="s">
        <v>225</v>
      </c>
      <c r="H502" s="3" t="str">
        <f t="shared" si="24"/>
        <v>2021</v>
      </c>
      <c r="I502" s="3">
        <v>3</v>
      </c>
      <c r="J502" s="69"/>
      <c r="K502" t="s">
        <v>76</v>
      </c>
      <c r="L502">
        <v>1</v>
      </c>
      <c r="M502">
        <v>85.5</v>
      </c>
      <c r="N502" s="3">
        <v>445</v>
      </c>
      <c r="O502" s="3" t="str">
        <f t="shared" si="23"/>
        <v>2021</v>
      </c>
      <c r="P502" s="2">
        <v>552</v>
      </c>
    </row>
    <row r="503" spans="1:16" x14ac:dyDescent="0.35">
      <c r="A503" s="3">
        <v>2024</v>
      </c>
      <c r="B503" s="3">
        <v>8</v>
      </c>
      <c r="C503" s="3">
        <v>19</v>
      </c>
      <c r="D503" s="2">
        <v>726</v>
      </c>
      <c r="E503" s="3" t="s">
        <v>1142</v>
      </c>
      <c r="F503" s="3">
        <v>3</v>
      </c>
      <c r="G503" s="3" t="s">
        <v>225</v>
      </c>
      <c r="H503" s="3" t="str">
        <f t="shared" si="24"/>
        <v>2021</v>
      </c>
      <c r="I503" s="3">
        <v>3</v>
      </c>
      <c r="J503" s="69"/>
      <c r="K503">
        <v>3</v>
      </c>
      <c r="L503">
        <v>3</v>
      </c>
      <c r="M503">
        <v>91</v>
      </c>
      <c r="N503" s="3">
        <v>445</v>
      </c>
      <c r="O503" s="3" t="str">
        <f t="shared" si="23"/>
        <v>2021</v>
      </c>
      <c r="P503" s="2">
        <v>726</v>
      </c>
    </row>
    <row r="504" spans="1:16" x14ac:dyDescent="0.35">
      <c r="A504" s="3">
        <v>2024</v>
      </c>
      <c r="B504" s="3">
        <v>8</v>
      </c>
      <c r="C504" s="3">
        <v>19</v>
      </c>
      <c r="D504" s="2">
        <v>797</v>
      </c>
      <c r="E504" s="3" t="s">
        <v>1172</v>
      </c>
      <c r="F504" s="3">
        <v>3</v>
      </c>
      <c r="G504" s="3" t="s">
        <v>225</v>
      </c>
      <c r="H504" s="3" t="str">
        <f t="shared" si="24"/>
        <v>2021</v>
      </c>
      <c r="I504" s="3">
        <v>3</v>
      </c>
      <c r="J504" s="69"/>
      <c r="K504">
        <v>3</v>
      </c>
      <c r="L504">
        <v>3</v>
      </c>
      <c r="M504">
        <v>87.3</v>
      </c>
      <c r="N504" s="3">
        <v>445</v>
      </c>
      <c r="O504" s="3" t="str">
        <f t="shared" si="23"/>
        <v>2021</v>
      </c>
      <c r="P504" s="2">
        <v>797</v>
      </c>
    </row>
    <row r="505" spans="1:16" x14ac:dyDescent="0.35">
      <c r="A505" s="3">
        <v>2024</v>
      </c>
      <c r="B505">
        <v>8</v>
      </c>
      <c r="C505" s="3">
        <v>15</v>
      </c>
      <c r="D505" s="2">
        <v>828</v>
      </c>
      <c r="E505" s="3" t="s">
        <v>1182</v>
      </c>
      <c r="F505" s="3">
        <v>3</v>
      </c>
      <c r="G505" s="3" t="s">
        <v>225</v>
      </c>
      <c r="H505" s="3" t="str">
        <f t="shared" si="24"/>
        <v>2021</v>
      </c>
      <c r="I505" s="3">
        <v>3</v>
      </c>
      <c r="J505" s="69"/>
      <c r="K505" t="s">
        <v>237</v>
      </c>
      <c r="L505">
        <v>3</v>
      </c>
      <c r="M505">
        <v>91.2</v>
      </c>
      <c r="N505" s="3">
        <v>445</v>
      </c>
      <c r="O505" s="3" t="str">
        <f t="shared" si="23"/>
        <v>2021</v>
      </c>
      <c r="P505" s="2">
        <v>828</v>
      </c>
    </row>
    <row r="506" spans="1:16" x14ac:dyDescent="0.35">
      <c r="A506" s="3">
        <v>2023</v>
      </c>
      <c r="B506" s="3">
        <v>7</v>
      </c>
      <c r="C506" s="3">
        <v>17</v>
      </c>
      <c r="D506" s="2">
        <v>381</v>
      </c>
      <c r="E506" s="3" t="s">
        <v>44</v>
      </c>
      <c r="F506" s="3">
        <v>3</v>
      </c>
      <c r="G506" s="3" t="s">
        <v>45</v>
      </c>
      <c r="H506" s="3" t="str">
        <f t="shared" si="24"/>
        <v>2011</v>
      </c>
      <c r="I506" s="3">
        <v>12</v>
      </c>
      <c r="J506" s="69"/>
      <c r="K506" s="3" t="s">
        <v>46</v>
      </c>
      <c r="L506" s="3" t="s">
        <v>317</v>
      </c>
      <c r="M506" s="3">
        <v>70.7</v>
      </c>
      <c r="N506" s="3">
        <v>446</v>
      </c>
      <c r="O506" s="3" t="str">
        <f t="shared" si="23"/>
        <v>2007</v>
      </c>
      <c r="P506" s="2">
        <v>381</v>
      </c>
    </row>
    <row r="507" spans="1:16" x14ac:dyDescent="0.35">
      <c r="A507" s="3">
        <v>2024</v>
      </c>
      <c r="B507" s="3">
        <v>8</v>
      </c>
      <c r="C507" s="3">
        <v>19</v>
      </c>
      <c r="D507" s="2">
        <v>728</v>
      </c>
      <c r="E507" s="3" t="s">
        <v>1144</v>
      </c>
      <c r="F507" s="3">
        <v>3</v>
      </c>
      <c r="G507" s="3" t="s">
        <v>225</v>
      </c>
      <c r="H507" s="3" t="str">
        <f t="shared" si="24"/>
        <v>2021</v>
      </c>
      <c r="I507" s="3">
        <v>3</v>
      </c>
      <c r="J507" s="69"/>
      <c r="K507">
        <v>3</v>
      </c>
      <c r="L507">
        <v>3</v>
      </c>
      <c r="M507">
        <v>97.4</v>
      </c>
      <c r="N507" s="3">
        <v>446</v>
      </c>
      <c r="O507" s="3" t="str">
        <f t="shared" si="23"/>
        <v>2021</v>
      </c>
      <c r="P507" s="2">
        <v>728</v>
      </c>
    </row>
    <row r="508" spans="1:16" x14ac:dyDescent="0.35">
      <c r="A508" s="3">
        <v>2019</v>
      </c>
      <c r="B508" s="3">
        <v>3</v>
      </c>
      <c r="C508" s="3">
        <v>4</v>
      </c>
      <c r="D508" s="2">
        <v>165</v>
      </c>
      <c r="E508" s="3" t="s">
        <v>613</v>
      </c>
      <c r="F508" s="3">
        <v>2</v>
      </c>
      <c r="G508" s="3" t="s">
        <v>226</v>
      </c>
      <c r="H508" s="3" t="str">
        <f t="shared" si="24"/>
        <v>2017</v>
      </c>
      <c r="I508" s="3">
        <v>2</v>
      </c>
      <c r="J508" s="69"/>
      <c r="K508" s="3" t="s">
        <v>228</v>
      </c>
      <c r="L508" s="3">
        <v>7</v>
      </c>
      <c r="M508" s="3">
        <v>90.8</v>
      </c>
      <c r="N508" s="3">
        <v>447</v>
      </c>
      <c r="O508" s="3" t="str">
        <f t="shared" si="23"/>
        <v>2017</v>
      </c>
      <c r="P508" s="2">
        <v>165</v>
      </c>
    </row>
    <row r="509" spans="1:16" x14ac:dyDescent="0.35">
      <c r="A509" s="3">
        <v>2021</v>
      </c>
      <c r="B509" s="3">
        <v>11</v>
      </c>
      <c r="C509" s="3">
        <v>3</v>
      </c>
      <c r="D509" s="2">
        <v>19</v>
      </c>
      <c r="E509" s="3" t="s">
        <v>463</v>
      </c>
      <c r="F509" s="3">
        <v>4</v>
      </c>
      <c r="G509" s="3" t="s">
        <v>20</v>
      </c>
      <c r="H509" s="3" t="str">
        <f t="shared" si="24"/>
        <v>2019</v>
      </c>
      <c r="I509" s="3">
        <v>2</v>
      </c>
      <c r="J509" s="69"/>
      <c r="K509" s="3">
        <v>23</v>
      </c>
      <c r="L509" s="3">
        <v>23</v>
      </c>
      <c r="M509" s="3">
        <v>99.7</v>
      </c>
      <c r="N509" s="3">
        <v>450</v>
      </c>
      <c r="O509" s="3" t="str">
        <f t="shared" si="23"/>
        <v>2018</v>
      </c>
      <c r="P509" s="2">
        <v>19</v>
      </c>
    </row>
    <row r="510" spans="1:16" x14ac:dyDescent="0.35">
      <c r="A510" s="3">
        <v>2024</v>
      </c>
      <c r="B510" s="3">
        <v>8</v>
      </c>
      <c r="C510" s="3">
        <v>19</v>
      </c>
      <c r="D510" s="2">
        <v>741</v>
      </c>
      <c r="E510" s="3" t="s">
        <v>254</v>
      </c>
      <c r="F510" s="3">
        <v>3</v>
      </c>
      <c r="G510" s="3" t="s">
        <v>225</v>
      </c>
      <c r="H510" s="3" t="str">
        <f t="shared" si="24"/>
        <v>2021</v>
      </c>
      <c r="I510" s="3">
        <v>3</v>
      </c>
      <c r="J510" s="69"/>
      <c r="K510">
        <v>3</v>
      </c>
      <c r="L510">
        <v>3</v>
      </c>
      <c r="M510">
        <v>93</v>
      </c>
      <c r="N510" s="3">
        <v>450</v>
      </c>
      <c r="O510" s="3" t="str">
        <f t="shared" si="23"/>
        <v>2021</v>
      </c>
      <c r="P510" s="2">
        <v>741</v>
      </c>
    </row>
    <row r="511" spans="1:16" x14ac:dyDescent="0.35">
      <c r="A511" s="3">
        <v>2024</v>
      </c>
      <c r="B511" s="3">
        <v>8</v>
      </c>
      <c r="C511" s="3">
        <v>19</v>
      </c>
      <c r="D511" s="2">
        <v>752</v>
      </c>
      <c r="E511" s="3" t="s">
        <v>263</v>
      </c>
      <c r="F511" s="3">
        <v>3</v>
      </c>
      <c r="G511" s="3" t="s">
        <v>225</v>
      </c>
      <c r="H511" s="3" t="str">
        <f t="shared" si="24"/>
        <v>2021</v>
      </c>
      <c r="I511" s="3">
        <v>3</v>
      </c>
      <c r="J511" s="69"/>
      <c r="K511">
        <v>3</v>
      </c>
      <c r="L511">
        <v>3</v>
      </c>
      <c r="M511">
        <v>103.2</v>
      </c>
      <c r="N511" s="3">
        <v>450</v>
      </c>
      <c r="O511" s="3" t="str">
        <f t="shared" si="23"/>
        <v>2021</v>
      </c>
      <c r="P511" s="2">
        <v>752</v>
      </c>
    </row>
    <row r="512" spans="1:16" x14ac:dyDescent="0.35">
      <c r="A512" s="3">
        <v>2019</v>
      </c>
      <c r="B512" s="3">
        <v>11</v>
      </c>
      <c r="C512" s="3">
        <v>27</v>
      </c>
      <c r="D512" s="2">
        <v>47</v>
      </c>
      <c r="E512" s="3" t="s">
        <v>490</v>
      </c>
      <c r="F512" s="3">
        <v>4</v>
      </c>
      <c r="G512" s="3" t="s">
        <v>45</v>
      </c>
      <c r="H512" s="3" t="str">
        <f t="shared" si="24"/>
        <v>2009</v>
      </c>
      <c r="I512" s="3">
        <v>10</v>
      </c>
      <c r="J512" s="69"/>
      <c r="K512" s="3" t="s">
        <v>488</v>
      </c>
      <c r="L512" s="3" t="s">
        <v>488</v>
      </c>
      <c r="M512" s="3">
        <v>80.3</v>
      </c>
      <c r="N512" s="3">
        <v>451</v>
      </c>
      <c r="O512" s="3" t="str">
        <f t="shared" si="23"/>
        <v>2007</v>
      </c>
      <c r="P512" s="2">
        <v>47</v>
      </c>
    </row>
    <row r="513" spans="1:16" x14ac:dyDescent="0.35">
      <c r="A513" s="3">
        <v>2016</v>
      </c>
      <c r="B513" s="3">
        <v>9</v>
      </c>
      <c r="C513" s="3">
        <v>1</v>
      </c>
      <c r="D513" s="2">
        <v>236</v>
      </c>
      <c r="E513" s="3" t="s">
        <v>694</v>
      </c>
      <c r="F513" s="3">
        <v>3</v>
      </c>
      <c r="G513" s="3" t="s">
        <v>45</v>
      </c>
      <c r="H513" s="3" t="str">
        <f t="shared" si="24"/>
        <v>2011</v>
      </c>
      <c r="I513" s="3">
        <v>5</v>
      </c>
      <c r="J513" s="69"/>
      <c r="K513" s="3" t="s">
        <v>647</v>
      </c>
      <c r="L513" s="3" t="s">
        <v>317</v>
      </c>
      <c r="M513" s="3">
        <v>98.7</v>
      </c>
      <c r="N513" s="3">
        <v>454</v>
      </c>
      <c r="O513" s="3" t="str">
        <f t="shared" si="23"/>
        <v>2007</v>
      </c>
      <c r="P513" s="2">
        <v>236</v>
      </c>
    </row>
    <row r="514" spans="1:16" x14ac:dyDescent="0.35">
      <c r="A514" s="3">
        <v>2011</v>
      </c>
      <c r="B514" s="3">
        <v>11</v>
      </c>
      <c r="C514" s="3">
        <v>14</v>
      </c>
      <c r="D514" s="2">
        <v>618</v>
      </c>
      <c r="E514" s="3" t="s">
        <v>1057</v>
      </c>
      <c r="F514" s="3">
        <v>4</v>
      </c>
      <c r="G514" s="3" t="s">
        <v>45</v>
      </c>
      <c r="H514" s="3" t="str">
        <f t="shared" si="24"/>
        <v>2009</v>
      </c>
      <c r="I514" s="3">
        <v>2</v>
      </c>
      <c r="J514" s="69"/>
      <c r="K514" t="s">
        <v>711</v>
      </c>
      <c r="L514" s="3" t="s">
        <v>512</v>
      </c>
      <c r="M514">
        <v>89.3</v>
      </c>
      <c r="N514" s="3">
        <v>455</v>
      </c>
      <c r="O514" s="3" t="str">
        <f t="shared" ref="O514:O577" si="25">IF(G514="PHD", "2007", IF(G514="TSL", "2011", IF(G514 = "SRS", "2018", IF(G514="WCA 3B", "2017", IF(G514="WCA 3A", "2021")))))</f>
        <v>2007</v>
      </c>
      <c r="P514" s="2">
        <v>618</v>
      </c>
    </row>
    <row r="515" spans="1:16" x14ac:dyDescent="0.35">
      <c r="A515" s="3">
        <v>2023</v>
      </c>
      <c r="B515" s="3">
        <v>7</v>
      </c>
      <c r="C515" s="3">
        <v>18</v>
      </c>
      <c r="D515" s="2">
        <v>339</v>
      </c>
      <c r="E515" s="3" t="s">
        <v>805</v>
      </c>
      <c r="F515" s="3">
        <v>3</v>
      </c>
      <c r="G515" s="3" t="s">
        <v>41</v>
      </c>
      <c r="H515" s="3" t="str">
        <f t="shared" si="24"/>
        <v>2012</v>
      </c>
      <c r="I515" s="3">
        <v>11</v>
      </c>
      <c r="J515" s="69"/>
      <c r="K515" s="3" t="s">
        <v>551</v>
      </c>
      <c r="L515" s="3" t="s">
        <v>461</v>
      </c>
      <c r="M515" s="3">
        <v>8.5</v>
      </c>
      <c r="N515" s="3">
        <v>456</v>
      </c>
      <c r="O515" s="3" t="str">
        <f t="shared" si="25"/>
        <v>2011</v>
      </c>
      <c r="P515" s="2">
        <v>339</v>
      </c>
    </row>
    <row r="516" spans="1:16" x14ac:dyDescent="0.35">
      <c r="A516" s="3">
        <v>2021</v>
      </c>
      <c r="B516" s="3">
        <v>10</v>
      </c>
      <c r="C516" s="3" t="s">
        <v>28</v>
      </c>
      <c r="D516" s="2">
        <v>6</v>
      </c>
      <c r="E516" s="3" t="s">
        <v>449</v>
      </c>
      <c r="F516" s="3">
        <v>4</v>
      </c>
      <c r="G516" s="3" t="s">
        <v>41</v>
      </c>
      <c r="H516" s="3" t="str">
        <f t="shared" si="24"/>
        <v>2013</v>
      </c>
      <c r="I516" s="3">
        <v>8</v>
      </c>
      <c r="J516" s="69"/>
      <c r="K516" s="3" t="s">
        <v>318</v>
      </c>
      <c r="L516" s="3" t="s">
        <v>318</v>
      </c>
      <c r="M516" s="3">
        <v>101.5</v>
      </c>
      <c r="N516" s="3">
        <v>457</v>
      </c>
      <c r="O516" s="3" t="str">
        <f t="shared" si="25"/>
        <v>2011</v>
      </c>
      <c r="P516" s="2">
        <v>6</v>
      </c>
    </row>
    <row r="517" spans="1:16" x14ac:dyDescent="0.35">
      <c r="A517" s="3">
        <v>2023</v>
      </c>
      <c r="B517" s="3">
        <v>7</v>
      </c>
      <c r="C517" s="3">
        <v>19</v>
      </c>
      <c r="D517" s="2">
        <v>351</v>
      </c>
      <c r="E517" s="3" t="s">
        <v>817</v>
      </c>
      <c r="F517" s="3">
        <v>3</v>
      </c>
      <c r="G517" s="3" t="s">
        <v>41</v>
      </c>
      <c r="H517" s="3" t="str">
        <f t="shared" si="24"/>
        <v>2013</v>
      </c>
      <c r="I517" s="3">
        <v>10</v>
      </c>
      <c r="J517" s="69"/>
      <c r="K517" s="3" t="s">
        <v>583</v>
      </c>
      <c r="L517" s="3" t="s">
        <v>318</v>
      </c>
      <c r="M517" s="3">
        <v>86.2</v>
      </c>
      <c r="N517" s="3">
        <v>457</v>
      </c>
      <c r="O517" s="3" t="str">
        <f t="shared" si="25"/>
        <v>2011</v>
      </c>
      <c r="P517" s="2">
        <v>351</v>
      </c>
    </row>
    <row r="518" spans="1:16" x14ac:dyDescent="0.35">
      <c r="A518" s="3">
        <v>2024</v>
      </c>
      <c r="B518" s="3">
        <v>1</v>
      </c>
      <c r="C518" s="3">
        <v>30</v>
      </c>
      <c r="D518" s="2">
        <v>628</v>
      </c>
      <c r="E518" s="3" t="s">
        <v>137</v>
      </c>
      <c r="F518" s="3">
        <v>1</v>
      </c>
      <c r="G518" s="3" t="s">
        <v>225</v>
      </c>
      <c r="H518" s="3" t="str">
        <f t="shared" si="24"/>
        <v>2022</v>
      </c>
      <c r="I518" s="3">
        <v>2</v>
      </c>
      <c r="J518" s="69"/>
      <c r="K518" t="s">
        <v>83</v>
      </c>
      <c r="L518">
        <v>2</v>
      </c>
      <c r="M518">
        <v>84.2</v>
      </c>
      <c r="N518" s="3">
        <v>459</v>
      </c>
      <c r="O518" s="3" t="str">
        <f t="shared" si="25"/>
        <v>2021</v>
      </c>
      <c r="P518" s="2">
        <v>628</v>
      </c>
    </row>
    <row r="519" spans="1:16" x14ac:dyDescent="0.35">
      <c r="A519" s="3">
        <v>2024</v>
      </c>
      <c r="B519" s="3">
        <v>8</v>
      </c>
      <c r="C519" s="3">
        <v>19</v>
      </c>
      <c r="D519" s="2">
        <v>755</v>
      </c>
      <c r="E519" s="3" t="s">
        <v>266</v>
      </c>
      <c r="F519" s="3">
        <v>3</v>
      </c>
      <c r="G519" s="3" t="s">
        <v>225</v>
      </c>
      <c r="H519" s="3" t="str">
        <f t="shared" ref="H519:H582" si="26">IF(L519="A55","2009",IF(L519="A59","2009",IF(L519="A60","2010",IF(L519="A62","2011",IF(L519="CP","2013",IF(L519="MD","2012",IF(L519="TS","2013",IF(L519="DL","2018",IF(L519="SCU","2018",IF(L519="NCU","2018",IF(L519="C1C","2018",IF(L519="C1E","2018",IF(L519="RS1S","2018",IF(L519="C2B","2018",IF(L519="DB3","2018",IF(AND(L519=6,G519="SRS"),"2018",IF(AND(L519=7,G519="SRS"),"2020",IF(AND(L519=8,G519="SRS"),"2020",IF(L519=23,"2019",IF(AND(L519=7,G519="WCA 3B"),"2017",IF(AND(L519=8,G519="WCA 3B"),"2019",IF(L519=1,"2021",IF(L519=2,"2022",IF(L519=3,"2021",IF(L519=4,"2021",IF(L519=5,"2022",IF(AND(L519=6,G519="WCA 3A"),"2022",IF(L519=9,"2023",IF(L519=10,"2023",IF(L519=37,"2020"))))))))))))))))))))))))))))))</f>
        <v>2021</v>
      </c>
      <c r="I519" s="3">
        <v>3</v>
      </c>
      <c r="J519" s="69"/>
      <c r="K519">
        <v>3</v>
      </c>
      <c r="L519">
        <v>3</v>
      </c>
      <c r="M519">
        <v>98.6</v>
      </c>
      <c r="N519" s="3">
        <v>460</v>
      </c>
      <c r="O519" s="3" t="str">
        <f t="shared" si="25"/>
        <v>2021</v>
      </c>
      <c r="P519" s="2">
        <v>755</v>
      </c>
    </row>
    <row r="520" spans="1:16" x14ac:dyDescent="0.35">
      <c r="A520" s="3">
        <v>2023</v>
      </c>
      <c r="B520" s="3">
        <v>2</v>
      </c>
      <c r="C520" s="3">
        <v>10</v>
      </c>
      <c r="D520" s="2">
        <v>143</v>
      </c>
      <c r="E520" s="14" t="s">
        <v>90</v>
      </c>
      <c r="F520" s="15">
        <v>1</v>
      </c>
      <c r="G520" s="3" t="s">
        <v>41</v>
      </c>
      <c r="H520" s="3" t="str">
        <f t="shared" si="26"/>
        <v>2013</v>
      </c>
      <c r="I520" s="3">
        <v>10</v>
      </c>
      <c r="J520" s="69"/>
      <c r="K520" s="3" t="s">
        <v>91</v>
      </c>
      <c r="L520" s="3" t="s">
        <v>318</v>
      </c>
      <c r="M520" s="3">
        <v>179.1</v>
      </c>
      <c r="N520" s="3">
        <v>462</v>
      </c>
      <c r="O520" s="3" t="str">
        <f t="shared" si="25"/>
        <v>2011</v>
      </c>
      <c r="P520" s="2">
        <v>143</v>
      </c>
    </row>
    <row r="521" spans="1:16" x14ac:dyDescent="0.35">
      <c r="A521" s="3">
        <v>2021</v>
      </c>
      <c r="B521" s="3">
        <v>10</v>
      </c>
      <c r="C521" s="3">
        <v>11</v>
      </c>
      <c r="D521" s="2">
        <v>484</v>
      </c>
      <c r="E521" s="3" t="s">
        <v>110</v>
      </c>
      <c r="F521" s="3">
        <v>4</v>
      </c>
      <c r="G521" s="3" t="s">
        <v>226</v>
      </c>
      <c r="H521" s="3" t="str">
        <f t="shared" si="26"/>
        <v>2018</v>
      </c>
      <c r="I521" s="3">
        <v>3</v>
      </c>
      <c r="J521" s="69"/>
      <c r="K521" s="3" t="s">
        <v>51</v>
      </c>
      <c r="L521" s="3" t="s">
        <v>939</v>
      </c>
      <c r="M521" s="16">
        <v>95</v>
      </c>
      <c r="N521" s="3">
        <v>462</v>
      </c>
      <c r="O521" s="3" t="str">
        <f t="shared" si="25"/>
        <v>2017</v>
      </c>
      <c r="P521" s="2">
        <v>484</v>
      </c>
    </row>
    <row r="522" spans="1:16" x14ac:dyDescent="0.35">
      <c r="A522" s="3">
        <v>2022</v>
      </c>
      <c r="B522" s="3">
        <v>11</v>
      </c>
      <c r="C522" s="3">
        <v>1</v>
      </c>
      <c r="D522" s="2">
        <v>367</v>
      </c>
      <c r="E522" s="3" t="s">
        <v>833</v>
      </c>
      <c r="F522" s="3">
        <v>4</v>
      </c>
      <c r="G522" s="3" t="s">
        <v>41</v>
      </c>
      <c r="H522" s="3" t="str">
        <f t="shared" si="26"/>
        <v>2013</v>
      </c>
      <c r="I522" s="3">
        <v>9</v>
      </c>
      <c r="J522" s="69"/>
      <c r="K522" s="3" t="s">
        <v>42</v>
      </c>
      <c r="L522" s="3" t="s">
        <v>318</v>
      </c>
      <c r="M522" s="3">
        <v>79.099999999999994</v>
      </c>
      <c r="N522" s="3">
        <v>464</v>
      </c>
      <c r="O522" s="3" t="str">
        <f t="shared" si="25"/>
        <v>2011</v>
      </c>
      <c r="P522" s="2">
        <v>367</v>
      </c>
    </row>
    <row r="523" spans="1:16" x14ac:dyDescent="0.35">
      <c r="A523" s="3">
        <v>2024</v>
      </c>
      <c r="B523" s="3">
        <v>1</v>
      </c>
      <c r="C523" s="3">
        <v>19</v>
      </c>
      <c r="D523" s="2">
        <v>583</v>
      </c>
      <c r="E523" s="3" t="s">
        <v>1027</v>
      </c>
      <c r="F523" s="3">
        <v>1</v>
      </c>
      <c r="G523" s="3" t="s">
        <v>41</v>
      </c>
      <c r="H523" s="3" t="str">
        <f t="shared" si="26"/>
        <v>2013</v>
      </c>
      <c r="I523" s="3">
        <v>11</v>
      </c>
      <c r="J523" s="69"/>
      <c r="K523" t="s">
        <v>42</v>
      </c>
      <c r="L523" s="3" t="s">
        <v>318</v>
      </c>
      <c r="M523">
        <v>104.7</v>
      </c>
      <c r="N523" s="3">
        <v>464</v>
      </c>
      <c r="O523" s="3" t="str">
        <f t="shared" si="25"/>
        <v>2011</v>
      </c>
      <c r="P523" s="2">
        <v>583</v>
      </c>
    </row>
    <row r="524" spans="1:16" x14ac:dyDescent="0.35">
      <c r="A524" s="3">
        <v>2024</v>
      </c>
      <c r="B524" s="3">
        <v>8</v>
      </c>
      <c r="C524" s="3">
        <v>8</v>
      </c>
      <c r="D524" s="2">
        <v>701</v>
      </c>
      <c r="E524" s="3" t="s">
        <v>239</v>
      </c>
      <c r="F524" s="3">
        <v>3</v>
      </c>
      <c r="G524" s="3" t="s">
        <v>45</v>
      </c>
      <c r="H524" s="3" t="str">
        <f t="shared" si="26"/>
        <v>2011</v>
      </c>
      <c r="I524" s="3">
        <v>13</v>
      </c>
      <c r="J524" s="69"/>
      <c r="K524" t="s">
        <v>46</v>
      </c>
      <c r="L524" t="s">
        <v>317</v>
      </c>
      <c r="M524">
        <v>84.5</v>
      </c>
      <c r="N524" s="3">
        <v>464</v>
      </c>
      <c r="O524" s="3" t="str">
        <f t="shared" si="25"/>
        <v>2007</v>
      </c>
      <c r="P524" s="2">
        <v>701</v>
      </c>
    </row>
    <row r="525" spans="1:16" x14ac:dyDescent="0.35">
      <c r="A525" s="3">
        <v>2024</v>
      </c>
      <c r="B525">
        <v>8</v>
      </c>
      <c r="C525" s="3">
        <v>19</v>
      </c>
      <c r="D525" s="2">
        <v>814</v>
      </c>
      <c r="E525" s="3" t="s">
        <v>300</v>
      </c>
      <c r="F525" s="3">
        <v>3</v>
      </c>
      <c r="G525" s="3" t="s">
        <v>225</v>
      </c>
      <c r="H525" s="3" t="str">
        <f t="shared" si="26"/>
        <v>2021</v>
      </c>
      <c r="I525" s="3">
        <v>3</v>
      </c>
      <c r="J525" s="69"/>
      <c r="K525">
        <v>3</v>
      </c>
      <c r="L525">
        <v>3</v>
      </c>
      <c r="M525">
        <v>147</v>
      </c>
      <c r="N525" s="3">
        <v>464</v>
      </c>
      <c r="O525" s="3" t="str">
        <f t="shared" si="25"/>
        <v>2021</v>
      </c>
      <c r="P525" s="2">
        <v>814</v>
      </c>
    </row>
    <row r="526" spans="1:16" x14ac:dyDescent="0.35">
      <c r="A526" s="3">
        <v>2021</v>
      </c>
      <c r="B526" s="3">
        <v>10</v>
      </c>
      <c r="C526" s="3">
        <v>11</v>
      </c>
      <c r="D526" s="2">
        <v>466</v>
      </c>
      <c r="E526" s="3" t="s">
        <v>923</v>
      </c>
      <c r="F526" s="3">
        <v>4</v>
      </c>
      <c r="G526" s="3" t="s">
        <v>226</v>
      </c>
      <c r="H526" s="3" t="str">
        <f t="shared" si="26"/>
        <v>2018</v>
      </c>
      <c r="I526" s="3">
        <v>3</v>
      </c>
      <c r="J526" s="69"/>
      <c r="K526" s="3" t="s">
        <v>51</v>
      </c>
      <c r="L526" s="3" t="s">
        <v>920</v>
      </c>
      <c r="M526" s="16">
        <v>100</v>
      </c>
      <c r="N526" s="3">
        <v>466</v>
      </c>
      <c r="O526" s="3" t="str">
        <f t="shared" si="25"/>
        <v>2017</v>
      </c>
      <c r="P526" s="2">
        <v>466</v>
      </c>
    </row>
    <row r="527" spans="1:16" x14ac:dyDescent="0.35">
      <c r="A527" s="3">
        <v>2021</v>
      </c>
      <c r="B527" s="3">
        <v>4</v>
      </c>
      <c r="C527" s="3">
        <v>13</v>
      </c>
      <c r="D527" s="2">
        <v>492</v>
      </c>
      <c r="E527" s="3" t="s">
        <v>946</v>
      </c>
      <c r="F527" s="3">
        <v>2</v>
      </c>
      <c r="G527" s="3" t="s">
        <v>226</v>
      </c>
      <c r="H527" s="3" t="str">
        <f t="shared" si="26"/>
        <v>2018</v>
      </c>
      <c r="I527" s="3">
        <v>3</v>
      </c>
      <c r="J527" s="69"/>
      <c r="K527" s="3" t="s">
        <v>51</v>
      </c>
      <c r="L527" s="3" t="s">
        <v>920</v>
      </c>
      <c r="M527" s="16">
        <v>100</v>
      </c>
      <c r="N527" s="3">
        <v>466</v>
      </c>
      <c r="O527" s="3" t="str">
        <f t="shared" si="25"/>
        <v>2017</v>
      </c>
      <c r="P527" s="2">
        <v>492</v>
      </c>
    </row>
    <row r="528" spans="1:16" x14ac:dyDescent="0.35">
      <c r="A528" s="3">
        <v>2024</v>
      </c>
      <c r="B528" s="3">
        <v>1</v>
      </c>
      <c r="C528" s="3">
        <v>22</v>
      </c>
      <c r="D528" s="2">
        <v>603</v>
      </c>
      <c r="E528" s="3" t="s">
        <v>1046</v>
      </c>
      <c r="F528" s="3">
        <v>1</v>
      </c>
      <c r="G528" s="3" t="s">
        <v>20</v>
      </c>
      <c r="H528" s="3" t="str">
        <f t="shared" si="26"/>
        <v>2020</v>
      </c>
      <c r="I528" s="3">
        <v>4</v>
      </c>
      <c r="J528" s="69"/>
      <c r="K528" t="s">
        <v>233</v>
      </c>
      <c r="L528">
        <v>37</v>
      </c>
      <c r="M528">
        <v>121.8</v>
      </c>
      <c r="N528" s="3">
        <v>466</v>
      </c>
      <c r="O528" s="3" t="str">
        <f t="shared" si="25"/>
        <v>2018</v>
      </c>
      <c r="P528" s="2">
        <v>603</v>
      </c>
    </row>
    <row r="529" spans="1:16" x14ac:dyDescent="0.35">
      <c r="A529" s="3">
        <v>2021</v>
      </c>
      <c r="B529" s="3">
        <v>10</v>
      </c>
      <c r="C529" s="3">
        <v>11</v>
      </c>
      <c r="D529" s="2">
        <v>472</v>
      </c>
      <c r="E529" s="3" t="s">
        <v>928</v>
      </c>
      <c r="F529" s="3">
        <v>4</v>
      </c>
      <c r="G529" s="3" t="s">
        <v>226</v>
      </c>
      <c r="H529" s="3" t="str">
        <f t="shared" si="26"/>
        <v>2018</v>
      </c>
      <c r="I529" s="3">
        <v>3</v>
      </c>
      <c r="J529" s="69"/>
      <c r="K529" s="3" t="s">
        <v>51</v>
      </c>
      <c r="L529" s="3" t="s">
        <v>929</v>
      </c>
      <c r="M529" s="16">
        <v>100</v>
      </c>
      <c r="N529" s="3">
        <v>467</v>
      </c>
      <c r="O529" s="3" t="str">
        <f t="shared" si="25"/>
        <v>2017</v>
      </c>
      <c r="P529" s="2">
        <v>472</v>
      </c>
    </row>
    <row r="530" spans="1:16" x14ac:dyDescent="0.35">
      <c r="A530" s="3">
        <v>2021</v>
      </c>
      <c r="B530" s="3">
        <v>10</v>
      </c>
      <c r="C530" s="3">
        <v>11</v>
      </c>
      <c r="D530" s="2">
        <v>481</v>
      </c>
      <c r="E530" s="3" t="s">
        <v>109</v>
      </c>
      <c r="F530" s="3">
        <v>4</v>
      </c>
      <c r="G530" s="3" t="s">
        <v>226</v>
      </c>
      <c r="H530" s="3" t="str">
        <f t="shared" si="26"/>
        <v>2018</v>
      </c>
      <c r="I530" s="3">
        <v>3</v>
      </c>
      <c r="J530" s="69"/>
      <c r="K530" s="3" t="s">
        <v>51</v>
      </c>
      <c r="L530" s="3" t="s">
        <v>936</v>
      </c>
      <c r="M530" s="16">
        <v>120</v>
      </c>
      <c r="N530" s="3">
        <v>467</v>
      </c>
      <c r="O530" s="3" t="str">
        <f t="shared" si="25"/>
        <v>2017</v>
      </c>
      <c r="P530" s="2">
        <v>481</v>
      </c>
    </row>
    <row r="531" spans="1:16" x14ac:dyDescent="0.35">
      <c r="A531" s="3">
        <v>2024</v>
      </c>
      <c r="B531" s="3">
        <v>3</v>
      </c>
      <c r="C531" s="3">
        <v>1</v>
      </c>
      <c r="D531" s="2">
        <v>665</v>
      </c>
      <c r="E531" s="3" t="s">
        <v>153</v>
      </c>
      <c r="F531" s="3">
        <v>2</v>
      </c>
      <c r="G531" s="3" t="s">
        <v>20</v>
      </c>
      <c r="H531" s="3" t="str">
        <f t="shared" si="26"/>
        <v>2020</v>
      </c>
      <c r="I531" s="3">
        <v>4</v>
      </c>
      <c r="J531" s="69"/>
      <c r="K531" t="s">
        <v>70</v>
      </c>
      <c r="L531">
        <v>37</v>
      </c>
      <c r="M531">
        <v>103.2</v>
      </c>
      <c r="N531" s="3">
        <v>468</v>
      </c>
      <c r="O531" s="3" t="str">
        <f t="shared" si="25"/>
        <v>2018</v>
      </c>
      <c r="P531" s="2">
        <v>665</v>
      </c>
    </row>
    <row r="532" spans="1:16" x14ac:dyDescent="0.35">
      <c r="A532" s="3">
        <v>2023</v>
      </c>
      <c r="B532" s="3">
        <v>7</v>
      </c>
      <c r="C532" s="3">
        <v>19</v>
      </c>
      <c r="D532" s="2">
        <v>354</v>
      </c>
      <c r="E532" s="3" t="s">
        <v>820</v>
      </c>
      <c r="F532" s="3">
        <v>3</v>
      </c>
      <c r="G532" s="3" t="s">
        <v>41</v>
      </c>
      <c r="H532" s="3" t="str">
        <f t="shared" si="26"/>
        <v>2013</v>
      </c>
      <c r="I532" s="3">
        <v>10</v>
      </c>
      <c r="J532" s="69"/>
      <c r="K532" s="3" t="s">
        <v>42</v>
      </c>
      <c r="L532" s="3" t="s">
        <v>318</v>
      </c>
      <c r="M532" s="3">
        <v>102.1</v>
      </c>
      <c r="N532" s="3">
        <v>470</v>
      </c>
      <c r="O532" s="3" t="str">
        <f t="shared" si="25"/>
        <v>2011</v>
      </c>
      <c r="P532" s="2">
        <v>354</v>
      </c>
    </row>
    <row r="533" spans="1:16" x14ac:dyDescent="0.35">
      <c r="A533" s="3">
        <v>2023</v>
      </c>
      <c r="B533" s="3">
        <v>8</v>
      </c>
      <c r="C533" s="3">
        <v>2</v>
      </c>
      <c r="D533" s="2">
        <v>443</v>
      </c>
      <c r="E533" s="3" t="s">
        <v>904</v>
      </c>
      <c r="F533" s="3">
        <v>3</v>
      </c>
      <c r="G533" s="3" t="s">
        <v>226</v>
      </c>
      <c r="H533" s="3" t="str">
        <f t="shared" si="26"/>
        <v>2017</v>
      </c>
      <c r="I533" s="3">
        <v>6</v>
      </c>
      <c r="J533" s="69"/>
      <c r="K533" s="3" t="s">
        <v>228</v>
      </c>
      <c r="L533" s="3">
        <v>7</v>
      </c>
      <c r="M533" s="3">
        <v>52.9</v>
      </c>
      <c r="N533" s="3">
        <v>470</v>
      </c>
      <c r="O533" s="3" t="str">
        <f t="shared" si="25"/>
        <v>2017</v>
      </c>
      <c r="P533" s="2">
        <v>443</v>
      </c>
    </row>
    <row r="534" spans="1:16" x14ac:dyDescent="0.35">
      <c r="A534" s="3">
        <v>2023</v>
      </c>
      <c r="B534" s="3">
        <v>11</v>
      </c>
      <c r="C534" s="3">
        <v>8</v>
      </c>
      <c r="D534" s="2">
        <v>509</v>
      </c>
      <c r="E534" s="3" t="s">
        <v>115</v>
      </c>
      <c r="F534" s="3">
        <v>4</v>
      </c>
      <c r="G534" s="3" t="s">
        <v>20</v>
      </c>
      <c r="H534" s="3" t="str">
        <f t="shared" si="26"/>
        <v>2020</v>
      </c>
      <c r="I534" s="3">
        <v>3</v>
      </c>
      <c r="J534" s="69"/>
      <c r="K534" s="3" t="s">
        <v>73</v>
      </c>
      <c r="L534" s="3">
        <v>37</v>
      </c>
      <c r="M534" s="3">
        <v>105</v>
      </c>
      <c r="N534" s="3">
        <v>470</v>
      </c>
      <c r="O534" s="3" t="str">
        <f t="shared" si="25"/>
        <v>2018</v>
      </c>
      <c r="P534" s="2">
        <v>509</v>
      </c>
    </row>
    <row r="535" spans="1:16" x14ac:dyDescent="0.35">
      <c r="A535" s="3">
        <v>2024</v>
      </c>
      <c r="B535" s="3">
        <v>8</v>
      </c>
      <c r="C535" s="3">
        <v>20</v>
      </c>
      <c r="D535" s="2">
        <v>764</v>
      </c>
      <c r="E535" s="3" t="s">
        <v>1156</v>
      </c>
      <c r="F535" s="3">
        <v>3</v>
      </c>
      <c r="G535" s="3" t="s">
        <v>226</v>
      </c>
      <c r="H535" s="3" t="str">
        <f t="shared" si="26"/>
        <v>2017</v>
      </c>
      <c r="I535" s="3">
        <v>7</v>
      </c>
      <c r="J535" s="69"/>
      <c r="K535" s="6" t="s">
        <v>228</v>
      </c>
      <c r="L535">
        <v>7</v>
      </c>
      <c r="M535">
        <v>101.9</v>
      </c>
      <c r="N535" s="3">
        <v>470</v>
      </c>
      <c r="O535" s="3" t="str">
        <f t="shared" si="25"/>
        <v>2017</v>
      </c>
      <c r="P535" s="2">
        <v>764</v>
      </c>
    </row>
    <row r="536" spans="1:16" x14ac:dyDescent="0.35">
      <c r="A536" s="3">
        <v>2024</v>
      </c>
      <c r="B536">
        <v>8</v>
      </c>
      <c r="C536" s="3">
        <v>19</v>
      </c>
      <c r="D536" s="2">
        <v>818</v>
      </c>
      <c r="E536" s="3" t="s">
        <v>301</v>
      </c>
      <c r="F536" s="3">
        <v>3</v>
      </c>
      <c r="G536" s="3" t="s">
        <v>225</v>
      </c>
      <c r="H536" s="3" t="str">
        <f t="shared" si="26"/>
        <v>2021</v>
      </c>
      <c r="I536" s="3">
        <v>3</v>
      </c>
      <c r="J536" s="69"/>
      <c r="K536">
        <v>3</v>
      </c>
      <c r="L536">
        <v>3</v>
      </c>
      <c r="M536">
        <v>96</v>
      </c>
      <c r="N536" s="3">
        <v>470</v>
      </c>
      <c r="O536" s="3" t="str">
        <f t="shared" si="25"/>
        <v>2021</v>
      </c>
      <c r="P536" s="2">
        <v>818</v>
      </c>
    </row>
    <row r="537" spans="1:16" x14ac:dyDescent="0.35">
      <c r="A537" s="3">
        <v>2023</v>
      </c>
      <c r="B537" s="3">
        <v>7</v>
      </c>
      <c r="C537" s="3">
        <v>19</v>
      </c>
      <c r="D537" s="2">
        <v>355</v>
      </c>
      <c r="E537" s="3" t="s">
        <v>821</v>
      </c>
      <c r="F537" s="3">
        <v>3</v>
      </c>
      <c r="G537" s="3" t="s">
        <v>41</v>
      </c>
      <c r="H537" s="3" t="str">
        <f t="shared" si="26"/>
        <v>2013</v>
      </c>
      <c r="I537" s="3">
        <v>10</v>
      </c>
      <c r="J537" s="69"/>
      <c r="K537" s="3" t="s">
        <v>42</v>
      </c>
      <c r="L537" s="3" t="s">
        <v>318</v>
      </c>
      <c r="M537" s="3">
        <v>103.1</v>
      </c>
      <c r="N537" s="3">
        <v>471</v>
      </c>
      <c r="O537" s="3" t="str">
        <f t="shared" si="25"/>
        <v>2011</v>
      </c>
      <c r="P537" s="2">
        <v>355</v>
      </c>
    </row>
    <row r="538" spans="1:16" x14ac:dyDescent="0.35">
      <c r="A538" s="3">
        <v>2023</v>
      </c>
      <c r="B538" s="3">
        <v>7</v>
      </c>
      <c r="C538" s="3">
        <v>17</v>
      </c>
      <c r="D538" s="2">
        <v>378</v>
      </c>
      <c r="E538" s="3" t="s">
        <v>844</v>
      </c>
      <c r="F538" s="3">
        <v>3</v>
      </c>
      <c r="G538" s="3" t="s">
        <v>45</v>
      </c>
      <c r="H538" s="3" t="str">
        <f t="shared" si="26"/>
        <v>2011</v>
      </c>
      <c r="I538" s="3">
        <v>12</v>
      </c>
      <c r="J538" s="69"/>
      <c r="K538" s="3" t="s">
        <v>46</v>
      </c>
      <c r="L538" s="3" t="s">
        <v>317</v>
      </c>
      <c r="M538" s="3">
        <v>95.5</v>
      </c>
      <c r="N538" s="3">
        <v>472</v>
      </c>
      <c r="O538" s="3" t="str">
        <f t="shared" si="25"/>
        <v>2007</v>
      </c>
      <c r="P538" s="2">
        <v>378</v>
      </c>
    </row>
    <row r="539" spans="1:16" x14ac:dyDescent="0.35">
      <c r="A539" s="3">
        <v>2024</v>
      </c>
      <c r="B539" s="3">
        <v>1</v>
      </c>
      <c r="C539" s="3">
        <v>18</v>
      </c>
      <c r="D539" s="2">
        <v>586</v>
      </c>
      <c r="E539" s="3" t="s">
        <v>1030</v>
      </c>
      <c r="F539" s="3">
        <v>1</v>
      </c>
      <c r="G539" s="3" t="s">
        <v>41</v>
      </c>
      <c r="H539" s="3" t="str">
        <f t="shared" si="26"/>
        <v>2012</v>
      </c>
      <c r="I539" s="3">
        <v>12</v>
      </c>
      <c r="J539" s="69"/>
      <c r="K539" t="s">
        <v>1031</v>
      </c>
      <c r="L539" s="3" t="s">
        <v>461</v>
      </c>
      <c r="M539">
        <v>102.5</v>
      </c>
      <c r="N539" s="3">
        <v>472</v>
      </c>
      <c r="O539" s="3" t="str">
        <f t="shared" si="25"/>
        <v>2011</v>
      </c>
      <c r="P539" s="2">
        <v>586</v>
      </c>
    </row>
    <row r="540" spans="1:16" x14ac:dyDescent="0.35">
      <c r="A540" s="3">
        <v>2021</v>
      </c>
      <c r="B540" s="3" t="s">
        <v>28</v>
      </c>
      <c r="C540" s="3" t="s">
        <v>28</v>
      </c>
      <c r="D540" s="2">
        <v>474</v>
      </c>
      <c r="E540" s="3" t="s">
        <v>931</v>
      </c>
      <c r="F540" s="3" t="s">
        <v>28</v>
      </c>
      <c r="G540" s="3" t="s">
        <v>226</v>
      </c>
      <c r="H540" s="3" t="str">
        <f t="shared" si="26"/>
        <v>2018</v>
      </c>
      <c r="I540" s="3">
        <v>3</v>
      </c>
      <c r="J540" s="69"/>
      <c r="K540" s="3" t="s">
        <v>51</v>
      </c>
      <c r="L540" s="3" t="s">
        <v>927</v>
      </c>
      <c r="M540" s="16">
        <v>135</v>
      </c>
      <c r="N540" s="3">
        <v>473</v>
      </c>
      <c r="O540" s="3" t="str">
        <f t="shared" si="25"/>
        <v>2017</v>
      </c>
      <c r="P540" s="2">
        <v>474</v>
      </c>
    </row>
    <row r="541" spans="1:16" x14ac:dyDescent="0.35">
      <c r="A541" s="3">
        <v>2021</v>
      </c>
      <c r="B541" s="3">
        <v>10</v>
      </c>
      <c r="C541" s="3">
        <v>11</v>
      </c>
      <c r="D541" s="2">
        <v>478</v>
      </c>
      <c r="E541" s="3" t="s">
        <v>933</v>
      </c>
      <c r="F541" s="3">
        <v>4</v>
      </c>
      <c r="G541" s="3" t="s">
        <v>226</v>
      </c>
      <c r="H541" s="3" t="str">
        <f t="shared" si="26"/>
        <v>2018</v>
      </c>
      <c r="I541" s="3">
        <v>3</v>
      </c>
      <c r="J541" s="69"/>
      <c r="K541" s="3" t="s">
        <v>51</v>
      </c>
      <c r="L541" s="3" t="s">
        <v>929</v>
      </c>
      <c r="M541" s="16">
        <v>95</v>
      </c>
      <c r="N541" s="3">
        <v>473</v>
      </c>
      <c r="O541" s="3" t="str">
        <f t="shared" si="25"/>
        <v>2017</v>
      </c>
      <c r="P541" s="2">
        <v>478</v>
      </c>
    </row>
    <row r="542" spans="1:16" x14ac:dyDescent="0.35">
      <c r="A542" s="3">
        <v>2018</v>
      </c>
      <c r="B542" s="3">
        <v>8</v>
      </c>
      <c r="C542" s="3">
        <v>15</v>
      </c>
      <c r="D542" s="2">
        <v>305</v>
      </c>
      <c r="E542" s="3" t="s">
        <v>771</v>
      </c>
      <c r="F542" s="3">
        <v>3</v>
      </c>
      <c r="G542" s="3" t="s">
        <v>41</v>
      </c>
      <c r="H542" s="3" t="str">
        <f t="shared" si="26"/>
        <v>2013</v>
      </c>
      <c r="I542" s="3">
        <v>5</v>
      </c>
      <c r="J542" s="69"/>
      <c r="K542" s="3" t="s">
        <v>49</v>
      </c>
      <c r="L542" s="3" t="s">
        <v>318</v>
      </c>
      <c r="M542" s="3">
        <v>106.9</v>
      </c>
      <c r="N542" s="3">
        <v>474</v>
      </c>
      <c r="O542" s="3" t="str">
        <f t="shared" si="25"/>
        <v>2011</v>
      </c>
      <c r="P542" s="2">
        <v>305</v>
      </c>
    </row>
    <row r="543" spans="1:16" x14ac:dyDescent="0.35">
      <c r="A543" s="3">
        <v>2022</v>
      </c>
      <c r="B543" s="3">
        <v>11</v>
      </c>
      <c r="C543" s="3">
        <v>7</v>
      </c>
      <c r="D543" s="2">
        <v>128</v>
      </c>
      <c r="E543" s="14" t="s">
        <v>573</v>
      </c>
      <c r="F543" s="15">
        <v>4</v>
      </c>
      <c r="G543" s="3" t="s">
        <v>41</v>
      </c>
      <c r="H543" s="3" t="str">
        <f t="shared" si="26"/>
        <v>2012</v>
      </c>
      <c r="I543" s="3">
        <v>10</v>
      </c>
      <c r="J543" s="69"/>
      <c r="K543" s="3" t="s">
        <v>461</v>
      </c>
      <c r="L543" s="3" t="s">
        <v>461</v>
      </c>
      <c r="M543" s="3">
        <v>118.7</v>
      </c>
      <c r="N543" s="3">
        <v>476</v>
      </c>
      <c r="O543" s="3" t="str">
        <f t="shared" si="25"/>
        <v>2011</v>
      </c>
      <c r="P543" s="2">
        <v>128</v>
      </c>
    </row>
    <row r="544" spans="1:16" x14ac:dyDescent="0.35">
      <c r="A544" s="3">
        <v>2024</v>
      </c>
      <c r="B544" s="3">
        <v>3</v>
      </c>
      <c r="C544" s="3">
        <v>13</v>
      </c>
      <c r="D544" s="2">
        <v>693</v>
      </c>
      <c r="E544" s="3" t="s">
        <v>1112</v>
      </c>
      <c r="F544" s="3">
        <v>2</v>
      </c>
      <c r="G544" s="3" t="s">
        <v>226</v>
      </c>
      <c r="H544" s="3" t="str">
        <f t="shared" si="26"/>
        <v>2017</v>
      </c>
      <c r="I544" s="3">
        <v>7</v>
      </c>
      <c r="J544" s="69"/>
      <c r="K544" t="s">
        <v>228</v>
      </c>
      <c r="L544">
        <v>7</v>
      </c>
      <c r="M544">
        <v>113.3</v>
      </c>
      <c r="N544" s="3">
        <v>476</v>
      </c>
      <c r="O544" s="3" t="str">
        <f t="shared" si="25"/>
        <v>2017</v>
      </c>
      <c r="P544" s="2">
        <v>693</v>
      </c>
    </row>
    <row r="545" spans="1:16" x14ac:dyDescent="0.35">
      <c r="A545" s="3">
        <v>2021</v>
      </c>
      <c r="B545" s="3">
        <v>10</v>
      </c>
      <c r="C545" s="3">
        <v>11</v>
      </c>
      <c r="D545" s="2">
        <v>479</v>
      </c>
      <c r="E545" s="3" t="s">
        <v>934</v>
      </c>
      <c r="F545" s="3">
        <v>4</v>
      </c>
      <c r="G545" s="3" t="s">
        <v>226</v>
      </c>
      <c r="H545" s="3" t="str">
        <f t="shared" si="26"/>
        <v>2018</v>
      </c>
      <c r="I545" s="3">
        <v>3</v>
      </c>
      <c r="J545" s="69"/>
      <c r="K545" s="3" t="s">
        <v>51</v>
      </c>
      <c r="L545" s="3" t="s">
        <v>929</v>
      </c>
      <c r="M545" s="16">
        <v>95</v>
      </c>
      <c r="N545" s="3">
        <v>477</v>
      </c>
      <c r="O545" s="3" t="str">
        <f t="shared" si="25"/>
        <v>2017</v>
      </c>
      <c r="P545" s="2">
        <v>479</v>
      </c>
    </row>
    <row r="546" spans="1:16" x14ac:dyDescent="0.35">
      <c r="A546" s="3">
        <v>2016</v>
      </c>
      <c r="B546" s="3">
        <v>11</v>
      </c>
      <c r="C546" s="3">
        <v>8</v>
      </c>
      <c r="D546" s="2">
        <v>186</v>
      </c>
      <c r="E546" s="3" t="s">
        <v>637</v>
      </c>
      <c r="F546" s="3">
        <v>4</v>
      </c>
      <c r="G546" s="3" t="s">
        <v>45</v>
      </c>
      <c r="H546" s="3" t="str">
        <f t="shared" si="26"/>
        <v>2011</v>
      </c>
      <c r="I546" s="3">
        <v>5</v>
      </c>
      <c r="J546" s="69"/>
      <c r="K546" s="3" t="s">
        <v>46</v>
      </c>
      <c r="L546" s="3" t="s">
        <v>317</v>
      </c>
      <c r="M546" s="3">
        <v>120.8</v>
      </c>
      <c r="N546" s="3">
        <v>478</v>
      </c>
      <c r="O546" s="3" t="str">
        <f t="shared" si="25"/>
        <v>2007</v>
      </c>
      <c r="P546" s="2">
        <v>186</v>
      </c>
    </row>
    <row r="547" spans="1:16" x14ac:dyDescent="0.35">
      <c r="A547" s="3">
        <v>2023</v>
      </c>
      <c r="B547" s="3">
        <v>7</v>
      </c>
      <c r="C547" s="3">
        <v>21</v>
      </c>
      <c r="D547" s="2">
        <v>445</v>
      </c>
      <c r="E547" s="3" t="s">
        <v>69</v>
      </c>
      <c r="F547" s="3">
        <v>3</v>
      </c>
      <c r="G547" s="3" t="s">
        <v>20</v>
      </c>
      <c r="H547" s="3" t="str">
        <f t="shared" si="26"/>
        <v>2020</v>
      </c>
      <c r="I547" s="3">
        <v>3</v>
      </c>
      <c r="J547" s="69"/>
      <c r="K547" s="3" t="s">
        <v>70</v>
      </c>
      <c r="L547" s="3">
        <v>37</v>
      </c>
      <c r="M547" s="3">
        <v>116.4</v>
      </c>
      <c r="N547" s="3">
        <v>478</v>
      </c>
      <c r="O547" s="3" t="str">
        <f t="shared" si="25"/>
        <v>2018</v>
      </c>
      <c r="P547" s="2">
        <v>445</v>
      </c>
    </row>
    <row r="548" spans="1:16" x14ac:dyDescent="0.35">
      <c r="A548" s="3">
        <v>2024</v>
      </c>
      <c r="B548" s="3">
        <v>1</v>
      </c>
      <c r="C548" s="3">
        <v>22</v>
      </c>
      <c r="D548" s="2">
        <v>551</v>
      </c>
      <c r="E548" s="3" t="s">
        <v>125</v>
      </c>
      <c r="F548" s="3">
        <v>1</v>
      </c>
      <c r="G548" s="3" t="s">
        <v>20</v>
      </c>
      <c r="H548" s="3" t="str">
        <f t="shared" si="26"/>
        <v>2020</v>
      </c>
      <c r="I548" s="3">
        <v>4</v>
      </c>
      <c r="J548" s="69"/>
      <c r="K548" s="3" t="s">
        <v>70</v>
      </c>
      <c r="L548">
        <v>37</v>
      </c>
      <c r="M548">
        <v>118.1</v>
      </c>
      <c r="N548" s="3">
        <v>478</v>
      </c>
      <c r="O548" s="3" t="str">
        <f t="shared" si="25"/>
        <v>2018</v>
      </c>
      <c r="P548" s="2">
        <v>551</v>
      </c>
    </row>
    <row r="549" spans="1:16" x14ac:dyDescent="0.35">
      <c r="A549" s="3">
        <v>2017</v>
      </c>
      <c r="B549" s="3">
        <v>1</v>
      </c>
      <c r="C549" s="3">
        <v>20</v>
      </c>
      <c r="D549" s="2">
        <v>98</v>
      </c>
      <c r="E549" s="14" t="s">
        <v>545</v>
      </c>
      <c r="F549" s="15">
        <v>1</v>
      </c>
      <c r="G549" s="3" t="s">
        <v>41</v>
      </c>
      <c r="H549" s="3" t="str">
        <f t="shared" si="26"/>
        <v>2012</v>
      </c>
      <c r="I549" s="3">
        <v>5</v>
      </c>
      <c r="J549" s="69"/>
      <c r="K549" s="3" t="s">
        <v>546</v>
      </c>
      <c r="L549" s="3" t="s">
        <v>461</v>
      </c>
      <c r="M549" s="3">
        <v>115.2</v>
      </c>
      <c r="N549" s="3">
        <v>480</v>
      </c>
      <c r="O549" s="3" t="str">
        <f t="shared" si="25"/>
        <v>2011</v>
      </c>
      <c r="P549" s="2">
        <v>98</v>
      </c>
    </row>
    <row r="550" spans="1:16" x14ac:dyDescent="0.35">
      <c r="A550" s="3">
        <v>2016</v>
      </c>
      <c r="B550" s="3">
        <v>11</v>
      </c>
      <c r="C550" s="3">
        <v>7</v>
      </c>
      <c r="D550" s="2">
        <v>204</v>
      </c>
      <c r="E550" s="3" t="s">
        <v>658</v>
      </c>
      <c r="F550" s="3">
        <v>4</v>
      </c>
      <c r="G550" s="3" t="s">
        <v>45</v>
      </c>
      <c r="H550" s="3" t="str">
        <f t="shared" si="26"/>
        <v>2009</v>
      </c>
      <c r="I550" s="3">
        <v>7</v>
      </c>
      <c r="J550" s="69"/>
      <c r="K550" s="3" t="s">
        <v>657</v>
      </c>
      <c r="L550" s="3" t="s">
        <v>488</v>
      </c>
      <c r="M550" s="3">
        <v>113.2</v>
      </c>
      <c r="N550" s="3">
        <v>480</v>
      </c>
      <c r="O550" s="3" t="str">
        <f t="shared" si="25"/>
        <v>2007</v>
      </c>
      <c r="P550" s="2">
        <v>204</v>
      </c>
    </row>
    <row r="551" spans="1:16" x14ac:dyDescent="0.35">
      <c r="A551" s="3">
        <v>2024</v>
      </c>
      <c r="B551" s="3">
        <v>8</v>
      </c>
      <c r="C551" s="3">
        <v>19</v>
      </c>
      <c r="D551" s="2">
        <v>793</v>
      </c>
      <c r="E551" s="3" t="s">
        <v>284</v>
      </c>
      <c r="F551" s="3">
        <v>3</v>
      </c>
      <c r="G551" s="3" t="s">
        <v>225</v>
      </c>
      <c r="H551" s="3" t="str">
        <f t="shared" si="26"/>
        <v>2021</v>
      </c>
      <c r="I551" s="3">
        <v>3</v>
      </c>
      <c r="J551" s="69"/>
      <c r="K551">
        <v>3</v>
      </c>
      <c r="L551">
        <v>3</v>
      </c>
      <c r="M551">
        <v>128.30000000000001</v>
      </c>
      <c r="N551" s="3">
        <v>481</v>
      </c>
      <c r="O551" s="3" t="str">
        <f t="shared" si="25"/>
        <v>2021</v>
      </c>
      <c r="P551" s="2">
        <v>793</v>
      </c>
    </row>
    <row r="552" spans="1:16" x14ac:dyDescent="0.35">
      <c r="A552" s="3">
        <v>2024</v>
      </c>
      <c r="B552" s="3">
        <v>1</v>
      </c>
      <c r="C552" s="3">
        <v>19</v>
      </c>
      <c r="D552" s="2">
        <v>599</v>
      </c>
      <c r="E552" s="3" t="s">
        <v>1043</v>
      </c>
      <c r="F552" s="3">
        <v>1</v>
      </c>
      <c r="G552" s="3" t="s">
        <v>41</v>
      </c>
      <c r="H552" s="3" t="str">
        <f t="shared" si="26"/>
        <v>2012</v>
      </c>
      <c r="I552" s="3">
        <v>12</v>
      </c>
      <c r="J552" s="69"/>
      <c r="K552" t="s">
        <v>541</v>
      </c>
      <c r="L552" s="3" t="s">
        <v>461</v>
      </c>
      <c r="M552">
        <v>122.2</v>
      </c>
      <c r="N552" s="3">
        <v>482</v>
      </c>
      <c r="O552" s="3" t="str">
        <f t="shared" si="25"/>
        <v>2011</v>
      </c>
      <c r="P552" s="2">
        <v>599</v>
      </c>
    </row>
    <row r="553" spans="1:16" x14ac:dyDescent="0.35">
      <c r="A553" s="3">
        <v>2011</v>
      </c>
      <c r="B553" s="3">
        <v>11</v>
      </c>
      <c r="C553" s="3">
        <v>14</v>
      </c>
      <c r="D553" s="2">
        <v>612</v>
      </c>
      <c r="E553" s="3" t="s">
        <v>1053</v>
      </c>
      <c r="F553" s="3">
        <v>4</v>
      </c>
      <c r="G553" s="3" t="s">
        <v>45</v>
      </c>
      <c r="H553" s="3" t="str">
        <f t="shared" si="26"/>
        <v>2009</v>
      </c>
      <c r="I553" s="3">
        <v>2</v>
      </c>
      <c r="J553" s="69"/>
      <c r="K553" t="s">
        <v>711</v>
      </c>
      <c r="L553" s="3" t="s">
        <v>512</v>
      </c>
      <c r="M553">
        <v>145.30000000000001</v>
      </c>
      <c r="N553" s="3">
        <v>482</v>
      </c>
      <c r="O553" s="3" t="str">
        <f t="shared" si="25"/>
        <v>2007</v>
      </c>
      <c r="P553" s="2">
        <v>612</v>
      </c>
    </row>
    <row r="554" spans="1:16" x14ac:dyDescent="0.35">
      <c r="A554" s="3">
        <v>2024</v>
      </c>
      <c r="B554" s="3">
        <v>3</v>
      </c>
      <c r="C554" s="3">
        <v>28</v>
      </c>
      <c r="D554" s="2">
        <v>681</v>
      </c>
      <c r="E554" s="3" t="s">
        <v>1102</v>
      </c>
      <c r="F554" s="3">
        <v>2</v>
      </c>
      <c r="G554" s="3" t="s">
        <v>41</v>
      </c>
      <c r="H554" s="3" t="str">
        <f t="shared" si="26"/>
        <v>2013</v>
      </c>
      <c r="I554" s="3">
        <v>11</v>
      </c>
      <c r="J554" s="69"/>
      <c r="K554" t="s">
        <v>49</v>
      </c>
      <c r="L554" t="s">
        <v>318</v>
      </c>
      <c r="M554">
        <v>117.6</v>
      </c>
      <c r="N554" s="3">
        <v>485</v>
      </c>
      <c r="O554" s="3" t="str">
        <f t="shared" si="25"/>
        <v>2011</v>
      </c>
      <c r="P554" s="2">
        <v>681</v>
      </c>
    </row>
    <row r="555" spans="1:16" x14ac:dyDescent="0.35">
      <c r="A555" s="3">
        <v>2024</v>
      </c>
      <c r="B555" s="3">
        <v>8</v>
      </c>
      <c r="C555" s="3">
        <v>6</v>
      </c>
      <c r="D555" s="2">
        <v>705</v>
      </c>
      <c r="E555" s="3" t="s">
        <v>241</v>
      </c>
      <c r="F555" s="3">
        <v>3</v>
      </c>
      <c r="G555" s="3" t="s">
        <v>20</v>
      </c>
      <c r="H555" s="3" t="str">
        <f t="shared" si="26"/>
        <v>2020</v>
      </c>
      <c r="I555" s="3">
        <v>4</v>
      </c>
      <c r="J555" s="69"/>
      <c r="K555" t="s">
        <v>233</v>
      </c>
      <c r="L555">
        <v>37</v>
      </c>
      <c r="M555">
        <v>107.3</v>
      </c>
      <c r="N555" s="3">
        <v>486</v>
      </c>
      <c r="O555" s="3" t="str">
        <f t="shared" si="25"/>
        <v>2018</v>
      </c>
      <c r="P555" s="2">
        <v>705</v>
      </c>
    </row>
    <row r="556" spans="1:16" x14ac:dyDescent="0.35">
      <c r="A556" s="3">
        <v>2017</v>
      </c>
      <c r="B556" s="3">
        <v>11</v>
      </c>
      <c r="C556" s="3">
        <v>13</v>
      </c>
      <c r="D556" s="2">
        <v>70</v>
      </c>
      <c r="E556" s="14" t="s">
        <v>515</v>
      </c>
      <c r="F556" s="15">
        <v>4</v>
      </c>
      <c r="G556" s="3" t="s">
        <v>41</v>
      </c>
      <c r="H556" s="3" t="str">
        <f t="shared" si="26"/>
        <v>2013</v>
      </c>
      <c r="I556" s="3">
        <v>4</v>
      </c>
      <c r="J556" s="69"/>
      <c r="K556" s="3" t="s">
        <v>42</v>
      </c>
      <c r="L556" s="3" t="s">
        <v>318</v>
      </c>
      <c r="M556" s="3">
        <v>111.5</v>
      </c>
      <c r="N556" s="3">
        <v>487</v>
      </c>
      <c r="O556" s="3" t="str">
        <f t="shared" si="25"/>
        <v>2011</v>
      </c>
      <c r="P556" s="2">
        <v>70</v>
      </c>
    </row>
    <row r="557" spans="1:16" x14ac:dyDescent="0.35">
      <c r="A557" s="3">
        <v>2024</v>
      </c>
      <c r="B557" s="3">
        <v>1</v>
      </c>
      <c r="C557" s="3">
        <v>25</v>
      </c>
      <c r="D557" s="2">
        <v>600</v>
      </c>
      <c r="E557" s="3" t="s">
        <v>1044</v>
      </c>
      <c r="F557" s="3">
        <v>1</v>
      </c>
      <c r="G557" s="3" t="s">
        <v>226</v>
      </c>
      <c r="H557" s="3" t="str">
        <f t="shared" si="26"/>
        <v>2017</v>
      </c>
      <c r="I557" s="3">
        <v>7</v>
      </c>
      <c r="J557" s="69"/>
      <c r="K557" t="s">
        <v>228</v>
      </c>
      <c r="L557">
        <v>7</v>
      </c>
      <c r="M557">
        <v>110.9</v>
      </c>
      <c r="N557" s="3">
        <v>487</v>
      </c>
      <c r="O557" s="3" t="str">
        <f t="shared" si="25"/>
        <v>2017</v>
      </c>
      <c r="P557" s="2">
        <v>600</v>
      </c>
    </row>
    <row r="558" spans="1:16" x14ac:dyDescent="0.35">
      <c r="A558" s="3">
        <v>2019</v>
      </c>
      <c r="B558" s="3">
        <v>11</v>
      </c>
      <c r="C558" s="3">
        <v>27</v>
      </c>
      <c r="D558" s="2">
        <v>39</v>
      </c>
      <c r="E558" s="3" t="s">
        <v>481</v>
      </c>
      <c r="F558" s="3">
        <v>4</v>
      </c>
      <c r="G558" s="3" t="s">
        <v>45</v>
      </c>
      <c r="H558" s="3" t="str">
        <f t="shared" si="26"/>
        <v>2011</v>
      </c>
      <c r="I558" s="3">
        <v>8</v>
      </c>
      <c r="J558" s="69"/>
      <c r="K558" s="3" t="s">
        <v>317</v>
      </c>
      <c r="L558" s="3" t="s">
        <v>317</v>
      </c>
      <c r="M558" s="3">
        <v>98.5</v>
      </c>
      <c r="N558" s="3">
        <v>488</v>
      </c>
      <c r="O558" s="3" t="str">
        <f t="shared" si="25"/>
        <v>2007</v>
      </c>
      <c r="P558" s="2">
        <v>39</v>
      </c>
    </row>
    <row r="559" spans="1:16" x14ac:dyDescent="0.35">
      <c r="A559" s="3">
        <v>2023</v>
      </c>
      <c r="B559" s="3">
        <v>2</v>
      </c>
      <c r="C559" s="3">
        <v>18</v>
      </c>
      <c r="D559" s="2">
        <v>146</v>
      </c>
      <c r="E559" s="14" t="s">
        <v>591</v>
      </c>
      <c r="F559" s="15">
        <v>1</v>
      </c>
      <c r="G559" s="3" t="s">
        <v>41</v>
      </c>
      <c r="H559" s="3" t="str">
        <f t="shared" si="26"/>
        <v>2013</v>
      </c>
      <c r="I559" s="3">
        <v>10</v>
      </c>
      <c r="J559" s="69"/>
      <c r="K559" s="3" t="s">
        <v>91</v>
      </c>
      <c r="L559" s="3" t="s">
        <v>318</v>
      </c>
      <c r="M559" s="3">
        <v>120.9</v>
      </c>
      <c r="N559" s="3">
        <v>489</v>
      </c>
      <c r="O559" s="3" t="str">
        <f t="shared" si="25"/>
        <v>2011</v>
      </c>
      <c r="P559" s="2">
        <v>146</v>
      </c>
    </row>
    <row r="560" spans="1:16" x14ac:dyDescent="0.35">
      <c r="A560" s="3">
        <v>2021</v>
      </c>
      <c r="B560" s="3">
        <v>10</v>
      </c>
      <c r="C560" s="3">
        <v>11</v>
      </c>
      <c r="D560" s="2">
        <v>460</v>
      </c>
      <c r="E560" s="3" t="s">
        <v>104</v>
      </c>
      <c r="F560" s="3">
        <v>4</v>
      </c>
      <c r="G560" s="3" t="s">
        <v>226</v>
      </c>
      <c r="H560" s="3" t="str">
        <f t="shared" si="26"/>
        <v>2018</v>
      </c>
      <c r="I560" s="3">
        <v>3</v>
      </c>
      <c r="J560" s="69"/>
      <c r="K560" s="3" t="s">
        <v>51</v>
      </c>
      <c r="L560" s="3" t="s">
        <v>916</v>
      </c>
      <c r="M560" s="16">
        <v>120</v>
      </c>
      <c r="N560" s="3">
        <v>489</v>
      </c>
      <c r="O560" s="3" t="str">
        <f t="shared" si="25"/>
        <v>2017</v>
      </c>
      <c r="P560" s="2">
        <v>460</v>
      </c>
    </row>
    <row r="561" spans="1:20" x14ac:dyDescent="0.35">
      <c r="A561" s="3">
        <v>2024</v>
      </c>
      <c r="B561" s="3">
        <v>1</v>
      </c>
      <c r="C561" s="3">
        <v>22</v>
      </c>
      <c r="D561" s="2">
        <v>568</v>
      </c>
      <c r="E561" s="3" t="s">
        <v>128</v>
      </c>
      <c r="F561" s="3">
        <v>1</v>
      </c>
      <c r="G561" s="3" t="s">
        <v>20</v>
      </c>
      <c r="H561" s="3" t="str">
        <f t="shared" si="26"/>
        <v>2020</v>
      </c>
      <c r="I561" s="3">
        <v>4</v>
      </c>
      <c r="J561" s="69"/>
      <c r="K561" t="s">
        <v>231</v>
      </c>
      <c r="L561">
        <v>8</v>
      </c>
      <c r="M561">
        <v>303.39999999999998</v>
      </c>
      <c r="N561" s="3">
        <v>490</v>
      </c>
      <c r="O561" s="3" t="str">
        <f t="shared" si="25"/>
        <v>2018</v>
      </c>
      <c r="P561" s="2">
        <v>568</v>
      </c>
    </row>
    <row r="562" spans="1:20" x14ac:dyDescent="0.35">
      <c r="A562" s="3">
        <v>2021</v>
      </c>
      <c r="B562" s="3">
        <v>10</v>
      </c>
      <c r="C562" s="3" t="s">
        <v>28</v>
      </c>
      <c r="D562" s="2">
        <v>33</v>
      </c>
      <c r="E562" s="3" t="s">
        <v>475</v>
      </c>
      <c r="F562" s="3">
        <v>4</v>
      </c>
      <c r="G562" s="3" t="s">
        <v>41</v>
      </c>
      <c r="H562" s="3" t="str">
        <f t="shared" si="26"/>
        <v>2012</v>
      </c>
      <c r="I562" s="3">
        <v>9</v>
      </c>
      <c r="J562" s="69"/>
      <c r="K562" s="3" t="s">
        <v>461</v>
      </c>
      <c r="L562" s="3" t="s">
        <v>461</v>
      </c>
      <c r="M562" s="3">
        <v>108.8</v>
      </c>
      <c r="N562" s="3">
        <v>491</v>
      </c>
      <c r="O562" s="3" t="str">
        <f t="shared" si="25"/>
        <v>2011</v>
      </c>
      <c r="P562" s="2">
        <v>33</v>
      </c>
    </row>
    <row r="563" spans="1:20" x14ac:dyDescent="0.35">
      <c r="A563" s="3">
        <v>2021</v>
      </c>
      <c r="B563" s="3">
        <v>10</v>
      </c>
      <c r="C563" s="3">
        <v>11</v>
      </c>
      <c r="D563" s="2">
        <v>473</v>
      </c>
      <c r="E563" s="3" t="s">
        <v>930</v>
      </c>
      <c r="F563" s="3">
        <v>4</v>
      </c>
      <c r="G563" s="3" t="s">
        <v>226</v>
      </c>
      <c r="H563" s="3" t="str">
        <f t="shared" si="26"/>
        <v>2018</v>
      </c>
      <c r="I563" s="3">
        <v>3</v>
      </c>
      <c r="J563" s="69"/>
      <c r="K563" s="3" t="s">
        <v>51</v>
      </c>
      <c r="L563" s="3" t="s">
        <v>929</v>
      </c>
      <c r="M563" s="16">
        <v>120</v>
      </c>
      <c r="N563" s="3">
        <v>491</v>
      </c>
      <c r="O563" s="3" t="str">
        <f t="shared" si="25"/>
        <v>2017</v>
      </c>
      <c r="P563" s="2">
        <v>473</v>
      </c>
    </row>
    <row r="564" spans="1:20" x14ac:dyDescent="0.35">
      <c r="A564" s="3">
        <v>2021</v>
      </c>
      <c r="B564" s="3">
        <v>10</v>
      </c>
      <c r="C564" s="3">
        <v>11</v>
      </c>
      <c r="D564" s="2">
        <v>468</v>
      </c>
      <c r="E564" s="3" t="s">
        <v>106</v>
      </c>
      <c r="F564" s="3">
        <v>4</v>
      </c>
      <c r="G564" s="3" t="s">
        <v>226</v>
      </c>
      <c r="H564" s="3" t="str">
        <f t="shared" si="26"/>
        <v>2018</v>
      </c>
      <c r="I564" s="3">
        <v>3</v>
      </c>
      <c r="J564" s="69"/>
      <c r="K564" s="3" t="s">
        <v>51</v>
      </c>
      <c r="L564" s="3" t="s">
        <v>920</v>
      </c>
      <c r="M564" s="16">
        <v>105</v>
      </c>
      <c r="N564" s="3">
        <v>492</v>
      </c>
      <c r="O564" s="3" t="str">
        <f t="shared" si="25"/>
        <v>2017</v>
      </c>
      <c r="P564" s="2">
        <v>468</v>
      </c>
    </row>
    <row r="565" spans="1:20" x14ac:dyDescent="0.35">
      <c r="A565" s="3">
        <v>2021</v>
      </c>
      <c r="B565" s="3">
        <v>10</v>
      </c>
      <c r="C565" s="3">
        <v>11</v>
      </c>
      <c r="D565" s="2">
        <v>464</v>
      </c>
      <c r="E565" s="3" t="s">
        <v>921</v>
      </c>
      <c r="F565" s="3">
        <v>4</v>
      </c>
      <c r="G565" s="3" t="s">
        <v>226</v>
      </c>
      <c r="H565" s="3" t="str">
        <f t="shared" si="26"/>
        <v>2018</v>
      </c>
      <c r="I565" s="3">
        <v>3</v>
      </c>
      <c r="J565" s="69"/>
      <c r="K565" s="3" t="s">
        <v>51</v>
      </c>
      <c r="L565" s="3" t="s">
        <v>920</v>
      </c>
      <c r="M565" s="16">
        <v>110</v>
      </c>
      <c r="N565" s="3">
        <v>493</v>
      </c>
      <c r="O565" s="3" t="str">
        <f t="shared" si="25"/>
        <v>2017</v>
      </c>
      <c r="P565" s="2">
        <v>464</v>
      </c>
    </row>
    <row r="566" spans="1:20" x14ac:dyDescent="0.35">
      <c r="A566" s="3">
        <v>2021</v>
      </c>
      <c r="B566" s="3">
        <v>4</v>
      </c>
      <c r="C566" s="3">
        <v>13</v>
      </c>
      <c r="D566" s="2">
        <v>497</v>
      </c>
      <c r="E566" s="3" t="s">
        <v>951</v>
      </c>
      <c r="F566" s="3">
        <v>2</v>
      </c>
      <c r="G566" s="3" t="s">
        <v>226</v>
      </c>
      <c r="H566" s="3" t="str">
        <f t="shared" si="26"/>
        <v>2018</v>
      </c>
      <c r="I566" s="3">
        <v>3</v>
      </c>
      <c r="J566" s="69"/>
      <c r="K566" s="3" t="s">
        <v>51</v>
      </c>
      <c r="L566" s="3" t="s">
        <v>916</v>
      </c>
      <c r="M566" s="16">
        <v>135</v>
      </c>
      <c r="N566" s="3">
        <v>495</v>
      </c>
      <c r="O566" s="3" t="str">
        <f t="shared" si="25"/>
        <v>2017</v>
      </c>
      <c r="P566" s="2">
        <v>497</v>
      </c>
    </row>
    <row r="567" spans="1:20" x14ac:dyDescent="0.35">
      <c r="A567" s="3">
        <v>2016</v>
      </c>
      <c r="B567" s="3">
        <v>9</v>
      </c>
      <c r="C567" s="3">
        <v>1</v>
      </c>
      <c r="D567" s="2">
        <v>234</v>
      </c>
      <c r="E567" s="3" t="s">
        <v>692</v>
      </c>
      <c r="F567" s="3">
        <v>3</v>
      </c>
      <c r="G567" s="3" t="s">
        <v>45</v>
      </c>
      <c r="H567" s="3" t="str">
        <f t="shared" si="26"/>
        <v>2011</v>
      </c>
      <c r="I567" s="3">
        <v>5</v>
      </c>
      <c r="J567" s="69"/>
      <c r="K567" s="3" t="s">
        <v>647</v>
      </c>
      <c r="L567" s="3" t="s">
        <v>317</v>
      </c>
      <c r="M567" s="3">
        <v>128.19999999999999</v>
      </c>
      <c r="N567" s="3">
        <v>498</v>
      </c>
      <c r="O567" s="3" t="str">
        <f t="shared" si="25"/>
        <v>2007</v>
      </c>
      <c r="P567" s="2">
        <v>234</v>
      </c>
    </row>
    <row r="568" spans="1:20" x14ac:dyDescent="0.35">
      <c r="A568" s="3">
        <v>2018</v>
      </c>
      <c r="B568" s="3">
        <v>8</v>
      </c>
      <c r="C568" s="3">
        <v>16</v>
      </c>
      <c r="D568" s="2">
        <v>323</v>
      </c>
      <c r="E568" s="3" t="s">
        <v>790</v>
      </c>
      <c r="F568" s="3">
        <v>3</v>
      </c>
      <c r="G568" s="3" t="s">
        <v>45</v>
      </c>
      <c r="H568" s="3" t="str">
        <f t="shared" si="26"/>
        <v>2011</v>
      </c>
      <c r="I568" s="3">
        <v>7</v>
      </c>
      <c r="J568" s="69"/>
      <c r="K568" s="3" t="s">
        <v>647</v>
      </c>
      <c r="L568" s="3" t="s">
        <v>317</v>
      </c>
      <c r="M568" s="3">
        <v>108.5</v>
      </c>
      <c r="N568" s="3">
        <v>500</v>
      </c>
      <c r="O568" s="3" t="str">
        <f t="shared" si="25"/>
        <v>2007</v>
      </c>
      <c r="P568" s="2">
        <v>323</v>
      </c>
    </row>
    <row r="569" spans="1:20" x14ac:dyDescent="0.35">
      <c r="A569" s="3">
        <v>2024</v>
      </c>
      <c r="B569" s="3">
        <v>1</v>
      </c>
      <c r="C569" s="3">
        <v>30</v>
      </c>
      <c r="D569" s="2">
        <v>641</v>
      </c>
      <c r="E569" s="3" t="s">
        <v>1075</v>
      </c>
      <c r="F569" s="3">
        <v>1</v>
      </c>
      <c r="G569" s="3" t="s">
        <v>225</v>
      </c>
      <c r="H569" s="3" t="str">
        <f t="shared" si="26"/>
        <v>2021</v>
      </c>
      <c r="I569" s="3">
        <v>3</v>
      </c>
      <c r="J569" s="69"/>
      <c r="K569" t="s">
        <v>1076</v>
      </c>
      <c r="L569">
        <v>3</v>
      </c>
      <c r="M569">
        <v>135.80000000000001</v>
      </c>
      <c r="N569" s="3">
        <v>500</v>
      </c>
      <c r="O569" s="3" t="str">
        <f t="shared" si="25"/>
        <v>2021</v>
      </c>
      <c r="P569" s="2">
        <v>641</v>
      </c>
    </row>
    <row r="570" spans="1:20" x14ac:dyDescent="0.35">
      <c r="A570" s="3">
        <v>2024</v>
      </c>
      <c r="B570" s="3">
        <v>8</v>
      </c>
      <c r="C570" s="3">
        <v>19</v>
      </c>
      <c r="D570" s="2">
        <v>794</v>
      </c>
      <c r="E570" s="3" t="s">
        <v>285</v>
      </c>
      <c r="F570" s="3">
        <v>3</v>
      </c>
      <c r="G570" s="3" t="s">
        <v>225</v>
      </c>
      <c r="H570" s="3" t="str">
        <f t="shared" si="26"/>
        <v>2021</v>
      </c>
      <c r="I570" s="3">
        <v>3</v>
      </c>
      <c r="J570" s="69"/>
      <c r="K570">
        <v>3</v>
      </c>
      <c r="L570">
        <v>3</v>
      </c>
      <c r="M570">
        <v>148.80000000000001</v>
      </c>
      <c r="N570" s="3">
        <v>502</v>
      </c>
      <c r="O570" s="3" t="str">
        <f t="shared" si="25"/>
        <v>2021</v>
      </c>
      <c r="P570" s="2">
        <v>794</v>
      </c>
    </row>
    <row r="571" spans="1:20" x14ac:dyDescent="0.35">
      <c r="A571" s="3">
        <v>2021</v>
      </c>
      <c r="B571" s="3">
        <v>10</v>
      </c>
      <c r="C571" s="3">
        <v>11</v>
      </c>
      <c r="D571" s="2">
        <v>477</v>
      </c>
      <c r="E571" s="3" t="s">
        <v>108</v>
      </c>
      <c r="F571" s="3">
        <v>4</v>
      </c>
      <c r="G571" s="3" t="s">
        <v>226</v>
      </c>
      <c r="H571" s="3" t="str">
        <f t="shared" si="26"/>
        <v>2018</v>
      </c>
      <c r="I571" s="3">
        <v>3</v>
      </c>
      <c r="J571" s="69"/>
      <c r="K571" s="3" t="s">
        <v>51</v>
      </c>
      <c r="L571" s="3" t="s">
        <v>929</v>
      </c>
      <c r="M571" s="16">
        <v>120</v>
      </c>
      <c r="N571" s="3">
        <v>504</v>
      </c>
      <c r="O571" s="3" t="str">
        <f t="shared" si="25"/>
        <v>2017</v>
      </c>
      <c r="P571" s="2">
        <v>477</v>
      </c>
    </row>
    <row r="572" spans="1:20" x14ac:dyDescent="0.35">
      <c r="A572" s="3">
        <v>2024</v>
      </c>
      <c r="B572">
        <v>8</v>
      </c>
      <c r="C572" s="3">
        <v>14</v>
      </c>
      <c r="D572" s="2">
        <v>860</v>
      </c>
      <c r="E572" s="3" t="s">
        <v>315</v>
      </c>
      <c r="F572" s="3">
        <v>3</v>
      </c>
      <c r="G572" t="s">
        <v>225</v>
      </c>
      <c r="H572" s="3" t="str">
        <f t="shared" si="26"/>
        <v>2021</v>
      </c>
      <c r="I572" s="3">
        <v>3</v>
      </c>
      <c r="J572" s="69"/>
      <c r="K572" t="s">
        <v>76</v>
      </c>
      <c r="L572">
        <v>1</v>
      </c>
      <c r="M572">
        <v>135.30000000000001</v>
      </c>
      <c r="N572" s="3">
        <v>504</v>
      </c>
      <c r="O572" s="3" t="str">
        <f t="shared" si="25"/>
        <v>2021</v>
      </c>
      <c r="P572" s="2">
        <v>860</v>
      </c>
    </row>
    <row r="573" spans="1:20" x14ac:dyDescent="0.35">
      <c r="A573" s="3">
        <v>2019</v>
      </c>
      <c r="B573" s="3">
        <v>11</v>
      </c>
      <c r="C573" s="3">
        <v>27</v>
      </c>
      <c r="D573" s="2">
        <v>48</v>
      </c>
      <c r="E573" s="3" t="s">
        <v>491</v>
      </c>
      <c r="F573" s="3">
        <v>4</v>
      </c>
      <c r="G573" s="3" t="s">
        <v>45</v>
      </c>
      <c r="H573" s="3" t="str">
        <f t="shared" si="26"/>
        <v>2009</v>
      </c>
      <c r="I573" s="3">
        <v>10</v>
      </c>
      <c r="J573" s="69"/>
      <c r="K573" s="3" t="s">
        <v>488</v>
      </c>
      <c r="L573" s="3" t="s">
        <v>488</v>
      </c>
      <c r="M573" s="3">
        <v>107.8</v>
      </c>
      <c r="N573" s="3">
        <v>505</v>
      </c>
      <c r="O573" s="3" t="str">
        <f t="shared" si="25"/>
        <v>2007</v>
      </c>
      <c r="P573" s="2">
        <v>48</v>
      </c>
      <c r="T573">
        <v>7.81</v>
      </c>
    </row>
    <row r="574" spans="1:20" x14ac:dyDescent="0.35">
      <c r="A574" s="3">
        <v>2024</v>
      </c>
      <c r="B574" s="3">
        <v>3</v>
      </c>
      <c r="C574" s="3">
        <v>13</v>
      </c>
      <c r="D574" s="2">
        <v>674</v>
      </c>
      <c r="E574" s="3" t="s">
        <v>1096</v>
      </c>
      <c r="F574" s="3">
        <v>2</v>
      </c>
      <c r="G574" s="3" t="s">
        <v>226</v>
      </c>
      <c r="H574" s="3" t="str">
        <f t="shared" si="26"/>
        <v>2017</v>
      </c>
      <c r="I574" s="3">
        <v>7</v>
      </c>
      <c r="J574" s="69"/>
      <c r="K574" t="s">
        <v>783</v>
      </c>
      <c r="L574">
        <v>7</v>
      </c>
      <c r="M574">
        <v>85.8</v>
      </c>
      <c r="N574" s="3">
        <v>505</v>
      </c>
      <c r="O574" s="3" t="str">
        <f t="shared" si="25"/>
        <v>2017</v>
      </c>
      <c r="P574" s="2">
        <v>674</v>
      </c>
    </row>
    <row r="575" spans="1:20" x14ac:dyDescent="0.35">
      <c r="A575" s="3">
        <v>2024</v>
      </c>
      <c r="B575" s="3">
        <v>8</v>
      </c>
      <c r="C575" s="3">
        <v>9</v>
      </c>
      <c r="D575" s="2">
        <v>720</v>
      </c>
      <c r="E575" s="3" t="s">
        <v>1136</v>
      </c>
      <c r="F575" s="3">
        <v>3</v>
      </c>
      <c r="G575" s="3" t="s">
        <v>41</v>
      </c>
      <c r="H575" s="3" t="str">
        <f t="shared" si="26"/>
        <v>2013</v>
      </c>
      <c r="I575" s="3">
        <v>11</v>
      </c>
      <c r="J575" s="69"/>
      <c r="K575" t="s">
        <v>755</v>
      </c>
      <c r="L575" t="s">
        <v>458</v>
      </c>
      <c r="M575">
        <v>142.69999999999999</v>
      </c>
      <c r="N575" s="3">
        <v>507</v>
      </c>
      <c r="O575" s="3" t="str">
        <f t="shared" si="25"/>
        <v>2011</v>
      </c>
      <c r="P575" s="2">
        <v>720</v>
      </c>
    </row>
    <row r="576" spans="1:20" x14ac:dyDescent="0.35">
      <c r="A576" s="3">
        <v>2022</v>
      </c>
      <c r="B576" s="3">
        <v>11</v>
      </c>
      <c r="C576" s="3">
        <v>1</v>
      </c>
      <c r="D576" s="2">
        <v>377</v>
      </c>
      <c r="E576" s="3" t="s">
        <v>843</v>
      </c>
      <c r="F576" s="3">
        <v>4</v>
      </c>
      <c r="G576" s="3" t="s">
        <v>41</v>
      </c>
      <c r="H576" s="3" t="str">
        <f t="shared" si="26"/>
        <v>2013</v>
      </c>
      <c r="I576" s="3">
        <v>9</v>
      </c>
      <c r="J576" s="69"/>
      <c r="K576" s="3" t="s">
        <v>42</v>
      </c>
      <c r="L576" s="3" t="s">
        <v>318</v>
      </c>
      <c r="M576" s="3">
        <v>120.5</v>
      </c>
      <c r="N576" s="3">
        <v>508</v>
      </c>
      <c r="O576" s="3" t="str">
        <f t="shared" si="25"/>
        <v>2011</v>
      </c>
      <c r="P576" s="2">
        <v>377</v>
      </c>
    </row>
    <row r="577" spans="1:20" x14ac:dyDescent="0.35">
      <c r="A577" s="3">
        <v>2023</v>
      </c>
      <c r="B577" s="3">
        <v>7</v>
      </c>
      <c r="C577" s="3">
        <v>31</v>
      </c>
      <c r="D577" s="2">
        <v>456</v>
      </c>
      <c r="E577" s="3" t="s">
        <v>80</v>
      </c>
      <c r="F577" s="3">
        <v>3</v>
      </c>
      <c r="G577" s="3" t="s">
        <v>225</v>
      </c>
      <c r="H577" s="3" t="str">
        <f t="shared" si="26"/>
        <v>2022</v>
      </c>
      <c r="I577" s="3">
        <v>1</v>
      </c>
      <c r="J577" s="69"/>
      <c r="K577" s="3" t="s">
        <v>67</v>
      </c>
      <c r="L577" s="3">
        <v>2</v>
      </c>
      <c r="M577" s="3">
        <v>140.6</v>
      </c>
      <c r="N577" s="3">
        <v>510</v>
      </c>
      <c r="O577" s="3" t="str">
        <f t="shared" si="25"/>
        <v>2021</v>
      </c>
      <c r="P577" s="2">
        <v>456</v>
      </c>
    </row>
    <row r="578" spans="1:20" x14ac:dyDescent="0.35">
      <c r="A578" s="3">
        <v>2023</v>
      </c>
      <c r="B578" s="3">
        <v>11</v>
      </c>
      <c r="C578" s="3">
        <v>7</v>
      </c>
      <c r="D578" s="2">
        <v>547</v>
      </c>
      <c r="E578" s="3" t="s">
        <v>996</v>
      </c>
      <c r="F578" s="3">
        <v>4</v>
      </c>
      <c r="G578" s="3" t="s">
        <v>41</v>
      </c>
      <c r="H578" s="3" t="str">
        <f t="shared" si="26"/>
        <v>2013</v>
      </c>
      <c r="I578" s="3">
        <v>10</v>
      </c>
      <c r="J578" s="69"/>
      <c r="K578" t="s">
        <v>42</v>
      </c>
      <c r="L578" s="3" t="s">
        <v>318</v>
      </c>
      <c r="M578" s="3">
        <v>130.30000000000001</v>
      </c>
      <c r="N578" s="3">
        <v>510</v>
      </c>
      <c r="O578" s="3" t="str">
        <f t="shared" ref="O578:O641" si="27">IF(G578="PHD", "2007", IF(G578="TSL", "2011", IF(G578 = "SRS", "2018", IF(G578="WCA 3B", "2017", IF(G578="WCA 3A", "2021")))))</f>
        <v>2011</v>
      </c>
      <c r="P578" s="2">
        <v>547</v>
      </c>
    </row>
    <row r="579" spans="1:20" x14ac:dyDescent="0.35">
      <c r="A579" s="3">
        <v>2022</v>
      </c>
      <c r="B579" s="3">
        <v>1</v>
      </c>
      <c r="C579" s="3" t="s">
        <v>28</v>
      </c>
      <c r="D579" s="2">
        <v>20</v>
      </c>
      <c r="E579" s="3" t="s">
        <v>25</v>
      </c>
      <c r="F579" s="3">
        <v>1</v>
      </c>
      <c r="G579" s="3" t="s">
        <v>20</v>
      </c>
      <c r="H579" s="3" t="str">
        <f t="shared" si="26"/>
        <v>2020</v>
      </c>
      <c r="I579" s="3">
        <v>2</v>
      </c>
      <c r="J579" s="69"/>
      <c r="K579" s="3">
        <v>8</v>
      </c>
      <c r="L579" s="3">
        <v>8</v>
      </c>
      <c r="M579" s="3">
        <v>217.6</v>
      </c>
      <c r="N579" s="3">
        <v>511</v>
      </c>
      <c r="O579" s="3" t="str">
        <f t="shared" si="27"/>
        <v>2018</v>
      </c>
      <c r="P579" s="2">
        <v>20</v>
      </c>
    </row>
    <row r="580" spans="1:20" x14ac:dyDescent="0.35">
      <c r="A580" s="3">
        <v>2022</v>
      </c>
      <c r="B580" s="3">
        <v>11</v>
      </c>
      <c r="C580" s="3">
        <v>18</v>
      </c>
      <c r="D580" s="2">
        <v>118</v>
      </c>
      <c r="E580" s="14" t="s">
        <v>564</v>
      </c>
      <c r="F580" s="15">
        <v>4</v>
      </c>
      <c r="G580" s="3" t="s">
        <v>225</v>
      </c>
      <c r="H580" s="3" t="str">
        <f t="shared" si="26"/>
        <v>2021</v>
      </c>
      <c r="I580" s="3">
        <v>1</v>
      </c>
      <c r="J580" s="69"/>
      <c r="K580" s="3">
        <v>1</v>
      </c>
      <c r="L580" s="3">
        <v>1</v>
      </c>
      <c r="M580" s="3">
        <v>15.5</v>
      </c>
      <c r="N580" s="3">
        <v>511</v>
      </c>
      <c r="O580" s="3" t="str">
        <f t="shared" si="27"/>
        <v>2021</v>
      </c>
      <c r="P580" s="2">
        <v>118</v>
      </c>
    </row>
    <row r="581" spans="1:20" x14ac:dyDescent="0.35">
      <c r="A581" s="3">
        <v>2024</v>
      </c>
      <c r="B581">
        <v>8</v>
      </c>
      <c r="C581" s="3">
        <v>19</v>
      </c>
      <c r="D581" s="2">
        <v>823</v>
      </c>
      <c r="E581" s="3" t="s">
        <v>305</v>
      </c>
      <c r="F581" s="3">
        <v>3</v>
      </c>
      <c r="G581" s="3" t="s">
        <v>225</v>
      </c>
      <c r="H581" s="3" t="str">
        <f t="shared" si="26"/>
        <v>2021</v>
      </c>
      <c r="I581" s="3">
        <v>3</v>
      </c>
      <c r="J581" s="69"/>
      <c r="K581">
        <v>3</v>
      </c>
      <c r="L581">
        <v>3</v>
      </c>
      <c r="M581">
        <v>117.9</v>
      </c>
      <c r="N581" s="3">
        <v>511</v>
      </c>
      <c r="O581" s="3" t="str">
        <f t="shared" si="27"/>
        <v>2021</v>
      </c>
      <c r="P581" s="2">
        <v>823</v>
      </c>
    </row>
    <row r="582" spans="1:20" x14ac:dyDescent="0.35">
      <c r="A582" s="3">
        <v>2024</v>
      </c>
      <c r="B582" s="3">
        <v>3</v>
      </c>
      <c r="C582" s="3">
        <v>28</v>
      </c>
      <c r="D582" s="2">
        <v>683</v>
      </c>
      <c r="E582" s="3" t="s">
        <v>1104</v>
      </c>
      <c r="F582" s="3">
        <v>2</v>
      </c>
      <c r="G582" s="3" t="s">
        <v>41</v>
      </c>
      <c r="H582" s="3" t="str">
        <f t="shared" si="26"/>
        <v>2013</v>
      </c>
      <c r="I582" s="3">
        <v>11</v>
      </c>
      <c r="J582" s="69"/>
      <c r="K582" t="s">
        <v>583</v>
      </c>
      <c r="L582" t="s">
        <v>318</v>
      </c>
      <c r="M582">
        <v>118.8</v>
      </c>
      <c r="N582" s="3">
        <v>512</v>
      </c>
      <c r="O582" s="3" t="str">
        <f t="shared" si="27"/>
        <v>2011</v>
      </c>
      <c r="P582" s="2">
        <v>683</v>
      </c>
    </row>
    <row r="583" spans="1:20" x14ac:dyDescent="0.35">
      <c r="A583" s="3">
        <v>2022</v>
      </c>
      <c r="B583" s="3">
        <v>11</v>
      </c>
      <c r="C583" s="3">
        <v>1</v>
      </c>
      <c r="D583" s="2">
        <v>364</v>
      </c>
      <c r="E583" s="3" t="s">
        <v>830</v>
      </c>
      <c r="F583" s="3">
        <v>4</v>
      </c>
      <c r="G583" s="3" t="s">
        <v>41</v>
      </c>
      <c r="H583" s="3" t="str">
        <f t="shared" ref="H583:H646" si="28">IF(L583="A55","2009",IF(L583="A59","2009",IF(L583="A60","2010",IF(L583="A62","2011",IF(L583="CP","2013",IF(L583="MD","2012",IF(L583="TS","2013",IF(L583="DL","2018",IF(L583="SCU","2018",IF(L583="NCU","2018",IF(L583="C1C","2018",IF(L583="C1E","2018",IF(L583="RS1S","2018",IF(L583="C2B","2018",IF(L583="DB3","2018",IF(AND(L583=6,G583="SRS"),"2018",IF(AND(L583=7,G583="SRS"),"2020",IF(AND(L583=8,G583="SRS"),"2020",IF(L583=23,"2019",IF(AND(L583=7,G583="WCA 3B"),"2017",IF(AND(L583=8,G583="WCA 3B"),"2019",IF(L583=1,"2021",IF(L583=2,"2022",IF(L583=3,"2021",IF(L583=4,"2021",IF(L583=5,"2022",IF(AND(L583=6,G583="WCA 3A"),"2022",IF(L583=9,"2023",IF(L583=10,"2023",IF(L583=37,"2020"))))))))))))))))))))))))))))))</f>
        <v>2013</v>
      </c>
      <c r="I583" s="3">
        <v>9</v>
      </c>
      <c r="J583" s="69"/>
      <c r="K583" s="3" t="s">
        <v>583</v>
      </c>
      <c r="L583" s="3" t="s">
        <v>318</v>
      </c>
      <c r="M583" s="3">
        <v>105.2</v>
      </c>
      <c r="N583" s="3">
        <v>513</v>
      </c>
      <c r="O583" s="3" t="str">
        <f t="shared" si="27"/>
        <v>2011</v>
      </c>
      <c r="P583" s="2">
        <v>364</v>
      </c>
    </row>
    <row r="584" spans="1:20" x14ac:dyDescent="0.35">
      <c r="A584" s="3">
        <v>2021</v>
      </c>
      <c r="B584" s="3">
        <v>10</v>
      </c>
      <c r="C584" s="3">
        <v>11</v>
      </c>
      <c r="D584" s="2">
        <v>467</v>
      </c>
      <c r="E584" s="3" t="s">
        <v>105</v>
      </c>
      <c r="F584" s="3">
        <v>4</v>
      </c>
      <c r="G584" s="3" t="s">
        <v>226</v>
      </c>
      <c r="H584" s="3" t="str">
        <f t="shared" si="28"/>
        <v>2018</v>
      </c>
      <c r="I584" s="3">
        <v>3</v>
      </c>
      <c r="J584" s="69"/>
      <c r="K584" s="3" t="s">
        <v>51</v>
      </c>
      <c r="L584" s="3" t="s">
        <v>920</v>
      </c>
      <c r="M584" s="16">
        <v>120</v>
      </c>
      <c r="N584" s="3">
        <v>513</v>
      </c>
      <c r="O584" s="3" t="str">
        <f t="shared" si="27"/>
        <v>2017</v>
      </c>
      <c r="P584" s="2">
        <v>467</v>
      </c>
    </row>
    <row r="585" spans="1:20" x14ac:dyDescent="0.35">
      <c r="A585" s="3">
        <v>2021</v>
      </c>
      <c r="B585" s="3" t="s">
        <v>28</v>
      </c>
      <c r="C585" s="3" t="s">
        <v>28</v>
      </c>
      <c r="D585" s="2">
        <v>488</v>
      </c>
      <c r="E585" s="3" t="s">
        <v>112</v>
      </c>
      <c r="F585" s="3" t="s">
        <v>28</v>
      </c>
      <c r="G585" s="3" t="s">
        <v>226</v>
      </c>
      <c r="H585" s="3" t="str">
        <f t="shared" si="28"/>
        <v>2018</v>
      </c>
      <c r="I585" s="3">
        <v>3</v>
      </c>
      <c r="J585" s="69"/>
      <c r="K585" s="3" t="s">
        <v>51</v>
      </c>
      <c r="L585" s="3" t="s">
        <v>942</v>
      </c>
      <c r="M585" s="16">
        <v>140</v>
      </c>
      <c r="N585" s="3">
        <v>514</v>
      </c>
      <c r="O585" s="3" t="str">
        <f t="shared" si="27"/>
        <v>2017</v>
      </c>
      <c r="P585" s="2">
        <v>488</v>
      </c>
    </row>
    <row r="586" spans="1:20" x14ac:dyDescent="0.35">
      <c r="A586" s="3">
        <v>2024</v>
      </c>
      <c r="B586" s="3">
        <v>8</v>
      </c>
      <c r="C586" s="3">
        <v>19</v>
      </c>
      <c r="D586" s="2">
        <v>750</v>
      </c>
      <c r="E586" s="3" t="s">
        <v>262</v>
      </c>
      <c r="F586" s="3">
        <v>3</v>
      </c>
      <c r="G586" s="3" t="s">
        <v>225</v>
      </c>
      <c r="H586" s="3" t="str">
        <f t="shared" si="28"/>
        <v>2021</v>
      </c>
      <c r="I586" s="3">
        <v>3</v>
      </c>
      <c r="J586" s="69"/>
      <c r="K586">
        <v>3</v>
      </c>
      <c r="L586">
        <v>3</v>
      </c>
      <c r="M586">
        <v>150.19999999999999</v>
      </c>
      <c r="N586" s="3">
        <v>514</v>
      </c>
      <c r="O586" s="3" t="str">
        <f t="shared" si="27"/>
        <v>2021</v>
      </c>
      <c r="P586" s="2">
        <v>750</v>
      </c>
    </row>
    <row r="587" spans="1:20" x14ac:dyDescent="0.35">
      <c r="A587" s="3">
        <v>2016</v>
      </c>
      <c r="B587" s="3">
        <v>9</v>
      </c>
      <c r="C587" s="3">
        <v>1</v>
      </c>
      <c r="D587" s="2">
        <v>263</v>
      </c>
      <c r="E587" s="3" t="s">
        <v>724</v>
      </c>
      <c r="F587" s="3">
        <v>3</v>
      </c>
      <c r="G587" s="3" t="s">
        <v>45</v>
      </c>
      <c r="H587" s="3" t="str">
        <f t="shared" si="28"/>
        <v>2011</v>
      </c>
      <c r="I587" s="3">
        <v>5</v>
      </c>
      <c r="J587" s="69"/>
      <c r="K587" s="3" t="s">
        <v>718</v>
      </c>
      <c r="L587" s="3" t="s">
        <v>317</v>
      </c>
      <c r="M587" s="3">
        <v>136.19999999999999</v>
      </c>
      <c r="N587" s="3">
        <v>515</v>
      </c>
      <c r="O587" s="3" t="str">
        <f t="shared" si="27"/>
        <v>2007</v>
      </c>
      <c r="P587" s="2">
        <v>263</v>
      </c>
      <c r="T587">
        <v>6.38</v>
      </c>
    </row>
    <row r="588" spans="1:20" x14ac:dyDescent="0.35">
      <c r="A588" s="3">
        <v>2023</v>
      </c>
      <c r="B588" s="3">
        <v>7</v>
      </c>
      <c r="C588" s="3">
        <v>19</v>
      </c>
      <c r="D588" s="2">
        <v>346</v>
      </c>
      <c r="E588" s="3" t="s">
        <v>812</v>
      </c>
      <c r="F588" s="3">
        <v>3</v>
      </c>
      <c r="G588" s="3" t="s">
        <v>41</v>
      </c>
      <c r="H588" s="3" t="str">
        <f t="shared" si="28"/>
        <v>2012</v>
      </c>
      <c r="I588" s="3">
        <v>11</v>
      </c>
      <c r="J588" s="69"/>
      <c r="K588" s="3" t="s">
        <v>541</v>
      </c>
      <c r="L588" s="3" t="s">
        <v>461</v>
      </c>
      <c r="M588" s="3">
        <v>119.3</v>
      </c>
      <c r="N588" s="3">
        <v>515</v>
      </c>
      <c r="O588" s="3" t="str">
        <f t="shared" si="27"/>
        <v>2011</v>
      </c>
      <c r="P588" s="2">
        <v>346</v>
      </c>
    </row>
    <row r="589" spans="1:20" x14ac:dyDescent="0.35">
      <c r="A589" s="3">
        <v>2023</v>
      </c>
      <c r="B589" s="3">
        <v>7</v>
      </c>
      <c r="C589" s="3">
        <v>19</v>
      </c>
      <c r="D589" s="2">
        <v>374</v>
      </c>
      <c r="E589" s="3" t="s">
        <v>840</v>
      </c>
      <c r="F589" s="3">
        <v>3</v>
      </c>
      <c r="G589" s="3" t="s">
        <v>41</v>
      </c>
      <c r="H589" s="3" t="str">
        <f t="shared" si="28"/>
        <v>2012</v>
      </c>
      <c r="I589" s="3">
        <v>11</v>
      </c>
      <c r="J589" s="69"/>
      <c r="K589" s="3" t="s">
        <v>544</v>
      </c>
      <c r="L589" s="3" t="s">
        <v>461</v>
      </c>
      <c r="M589" s="3">
        <v>116.9</v>
      </c>
      <c r="N589" s="3">
        <v>515</v>
      </c>
      <c r="O589" s="3" t="str">
        <f t="shared" si="27"/>
        <v>2011</v>
      </c>
      <c r="P589" s="2">
        <v>374</v>
      </c>
    </row>
    <row r="590" spans="1:20" x14ac:dyDescent="0.35">
      <c r="A590" s="3">
        <v>2022</v>
      </c>
      <c r="B590" s="3">
        <v>11</v>
      </c>
      <c r="C590" s="3">
        <v>1</v>
      </c>
      <c r="D590" s="2">
        <v>373</v>
      </c>
      <c r="E590" s="3" t="s">
        <v>839</v>
      </c>
      <c r="F590" s="3">
        <v>4</v>
      </c>
      <c r="G590" s="3" t="s">
        <v>41</v>
      </c>
      <c r="H590" s="3" t="str">
        <f t="shared" si="28"/>
        <v>2013</v>
      </c>
      <c r="I590" s="3">
        <v>9</v>
      </c>
      <c r="J590" s="69"/>
      <c r="K590" s="3" t="s">
        <v>42</v>
      </c>
      <c r="L590" s="3" t="s">
        <v>318</v>
      </c>
      <c r="M590" s="3">
        <v>121.2</v>
      </c>
      <c r="N590" s="3">
        <v>516</v>
      </c>
      <c r="O590" s="3" t="str">
        <f t="shared" si="27"/>
        <v>2011</v>
      </c>
      <c r="P590" s="2">
        <v>373</v>
      </c>
    </row>
    <row r="591" spans="1:20" x14ac:dyDescent="0.35">
      <c r="A591" s="3">
        <v>2021</v>
      </c>
      <c r="B591" s="3">
        <v>10</v>
      </c>
      <c r="C591" s="3">
        <v>11</v>
      </c>
      <c r="D591" s="2">
        <v>469</v>
      </c>
      <c r="E591" s="3" t="s">
        <v>924</v>
      </c>
      <c r="F591" s="3">
        <v>4</v>
      </c>
      <c r="G591" s="3" t="s">
        <v>226</v>
      </c>
      <c r="H591" s="3" t="str">
        <f t="shared" si="28"/>
        <v>2018</v>
      </c>
      <c r="I591" s="3">
        <v>3</v>
      </c>
      <c r="J591" s="69"/>
      <c r="K591" s="3" t="s">
        <v>51</v>
      </c>
      <c r="L591" s="3" t="s">
        <v>920</v>
      </c>
      <c r="M591" s="16">
        <v>125</v>
      </c>
      <c r="N591" s="3">
        <v>516</v>
      </c>
      <c r="O591" s="3" t="str">
        <f t="shared" si="27"/>
        <v>2017</v>
      </c>
      <c r="P591" s="2">
        <v>469</v>
      </c>
    </row>
    <row r="592" spans="1:20" x14ac:dyDescent="0.35">
      <c r="A592" s="3">
        <v>2021</v>
      </c>
      <c r="B592" s="3">
        <v>10</v>
      </c>
      <c r="C592" s="3">
        <v>11</v>
      </c>
      <c r="D592" s="2">
        <v>462</v>
      </c>
      <c r="E592" s="3" t="s">
        <v>918</v>
      </c>
      <c r="F592" s="3">
        <v>4</v>
      </c>
      <c r="G592" s="3" t="s">
        <v>226</v>
      </c>
      <c r="H592" s="3" t="str">
        <f t="shared" si="28"/>
        <v>2018</v>
      </c>
      <c r="I592" s="3">
        <v>3</v>
      </c>
      <c r="J592" s="69"/>
      <c r="K592" s="3" t="s">
        <v>51</v>
      </c>
      <c r="L592" s="3" t="s">
        <v>916</v>
      </c>
      <c r="M592" s="16">
        <v>160</v>
      </c>
      <c r="N592" s="3">
        <v>517</v>
      </c>
      <c r="O592" s="3" t="str">
        <f t="shared" si="27"/>
        <v>2017</v>
      </c>
      <c r="P592" s="2">
        <v>462</v>
      </c>
    </row>
    <row r="593" spans="1:16" x14ac:dyDescent="0.35">
      <c r="A593" s="3">
        <v>2021</v>
      </c>
      <c r="B593" s="3" t="s">
        <v>28</v>
      </c>
      <c r="C593" s="3" t="s">
        <v>28</v>
      </c>
      <c r="D593" s="2">
        <v>1</v>
      </c>
      <c r="E593" s="3" t="s">
        <v>444</v>
      </c>
      <c r="F593" s="3" t="s">
        <v>28</v>
      </c>
      <c r="G593" s="3" t="s">
        <v>45</v>
      </c>
      <c r="H593" s="3" t="str">
        <f t="shared" si="28"/>
        <v>2011</v>
      </c>
      <c r="I593" s="3">
        <v>10</v>
      </c>
      <c r="J593" s="69"/>
      <c r="K593" s="3" t="s">
        <v>317</v>
      </c>
      <c r="L593" s="3" t="s">
        <v>317</v>
      </c>
      <c r="M593" s="3">
        <v>138.80000000000001</v>
      </c>
      <c r="N593" s="3">
        <v>519</v>
      </c>
      <c r="O593" s="3" t="str">
        <f t="shared" si="27"/>
        <v>2007</v>
      </c>
      <c r="P593" s="2">
        <v>1</v>
      </c>
    </row>
    <row r="594" spans="1:16" x14ac:dyDescent="0.35">
      <c r="A594" s="3">
        <v>2016</v>
      </c>
      <c r="B594" s="3">
        <v>9</v>
      </c>
      <c r="C594" s="3">
        <v>1</v>
      </c>
      <c r="D594" s="2">
        <v>258</v>
      </c>
      <c r="E594" s="3" t="s">
        <v>719</v>
      </c>
      <c r="F594" s="3">
        <v>3</v>
      </c>
      <c r="G594" s="3" t="s">
        <v>45</v>
      </c>
      <c r="H594" s="3" t="str">
        <f t="shared" si="28"/>
        <v>2011</v>
      </c>
      <c r="I594" s="3">
        <v>5</v>
      </c>
      <c r="J594" s="69"/>
      <c r="K594" s="3" t="s">
        <v>718</v>
      </c>
      <c r="L594" s="3" t="s">
        <v>317</v>
      </c>
      <c r="M594" s="3">
        <v>139.9</v>
      </c>
      <c r="N594" s="3">
        <v>519</v>
      </c>
      <c r="O594" s="3" t="str">
        <f t="shared" si="27"/>
        <v>2007</v>
      </c>
      <c r="P594" s="2">
        <v>258</v>
      </c>
    </row>
    <row r="595" spans="1:16" x14ac:dyDescent="0.35">
      <c r="A595" s="3">
        <v>2021</v>
      </c>
      <c r="B595" s="3">
        <v>4</v>
      </c>
      <c r="C595" s="3">
        <v>13</v>
      </c>
      <c r="D595" s="2">
        <v>496</v>
      </c>
      <c r="E595" s="3" t="s">
        <v>950</v>
      </c>
      <c r="F595" s="3">
        <v>2</v>
      </c>
      <c r="G595" s="3" t="s">
        <v>226</v>
      </c>
      <c r="H595" s="3" t="str">
        <f t="shared" si="28"/>
        <v>2018</v>
      </c>
      <c r="I595" s="3">
        <v>3</v>
      </c>
      <c r="J595" s="69"/>
      <c r="K595" s="3" t="s">
        <v>51</v>
      </c>
      <c r="L595" s="3" t="s">
        <v>929</v>
      </c>
      <c r="M595" s="16">
        <v>165</v>
      </c>
      <c r="N595" s="3">
        <v>520</v>
      </c>
      <c r="O595" s="3" t="str">
        <f t="shared" si="27"/>
        <v>2017</v>
      </c>
      <c r="P595" s="2">
        <v>496</v>
      </c>
    </row>
    <row r="596" spans="1:16" x14ac:dyDescent="0.35">
      <c r="A596" s="3">
        <v>2024</v>
      </c>
      <c r="B596" s="3">
        <v>1</v>
      </c>
      <c r="C596" s="3">
        <v>17</v>
      </c>
      <c r="D596" s="2">
        <v>566</v>
      </c>
      <c r="E596" s="3" t="s">
        <v>1011</v>
      </c>
      <c r="F596" s="3">
        <v>1</v>
      </c>
      <c r="G596" s="3" t="s">
        <v>41</v>
      </c>
      <c r="H596" s="3" t="str">
        <f t="shared" si="28"/>
        <v>2013</v>
      </c>
      <c r="I596" s="3">
        <v>11</v>
      </c>
      <c r="J596" s="69"/>
      <c r="K596" t="s">
        <v>42</v>
      </c>
      <c r="L596" s="3" t="s">
        <v>318</v>
      </c>
      <c r="M596">
        <v>186</v>
      </c>
      <c r="N596" s="3">
        <v>521</v>
      </c>
      <c r="O596" s="3" t="str">
        <f t="shared" si="27"/>
        <v>2011</v>
      </c>
      <c r="P596" s="2">
        <v>566</v>
      </c>
    </row>
    <row r="597" spans="1:16" x14ac:dyDescent="0.35">
      <c r="A597" s="3">
        <v>2024</v>
      </c>
      <c r="B597" s="3">
        <v>1</v>
      </c>
      <c r="C597" s="3">
        <v>16</v>
      </c>
      <c r="D597" s="2">
        <v>595</v>
      </c>
      <c r="E597" s="3" t="s">
        <v>1039</v>
      </c>
      <c r="F597" s="3">
        <v>1</v>
      </c>
      <c r="G597" s="3" t="s">
        <v>45</v>
      </c>
      <c r="H597" s="3" t="str">
        <f t="shared" si="28"/>
        <v>2011</v>
      </c>
      <c r="I597" s="3">
        <v>13</v>
      </c>
      <c r="J597" s="69"/>
      <c r="K597" t="s">
        <v>990</v>
      </c>
      <c r="L597" s="3" t="s">
        <v>317</v>
      </c>
      <c r="M597">
        <v>141.80000000000001</v>
      </c>
      <c r="N597" s="3">
        <v>521</v>
      </c>
      <c r="O597" s="3" t="str">
        <f t="shared" si="27"/>
        <v>2007</v>
      </c>
      <c r="P597" s="2">
        <v>595</v>
      </c>
    </row>
    <row r="598" spans="1:16" x14ac:dyDescent="0.35">
      <c r="A598" s="3">
        <v>2023</v>
      </c>
      <c r="B598" s="3">
        <v>11</v>
      </c>
      <c r="C598" s="3">
        <v>3</v>
      </c>
      <c r="D598" s="2">
        <v>508</v>
      </c>
      <c r="E598" s="3" t="s">
        <v>962</v>
      </c>
      <c r="F598" s="3">
        <v>4</v>
      </c>
      <c r="G598" s="3" t="s">
        <v>226</v>
      </c>
      <c r="H598" s="3" t="str">
        <f t="shared" si="28"/>
        <v>2017</v>
      </c>
      <c r="I598" s="3">
        <v>6</v>
      </c>
      <c r="J598" s="69"/>
      <c r="K598" s="3" t="s">
        <v>783</v>
      </c>
      <c r="L598" s="3">
        <v>7</v>
      </c>
      <c r="M598" s="3">
        <v>124.3</v>
      </c>
      <c r="N598" s="3">
        <v>524</v>
      </c>
      <c r="O598" s="3" t="str">
        <f t="shared" si="27"/>
        <v>2017</v>
      </c>
      <c r="P598" s="2">
        <v>508</v>
      </c>
    </row>
    <row r="599" spans="1:16" x14ac:dyDescent="0.35">
      <c r="A599" s="3">
        <v>2024</v>
      </c>
      <c r="B599" s="3">
        <v>8</v>
      </c>
      <c r="C599" s="3">
        <v>9</v>
      </c>
      <c r="D599" s="2">
        <v>714</v>
      </c>
      <c r="E599" s="3" t="s">
        <v>1130</v>
      </c>
      <c r="F599" s="3">
        <v>3</v>
      </c>
      <c r="G599" s="3" t="s">
        <v>41</v>
      </c>
      <c r="H599" s="3" t="str">
        <f t="shared" si="28"/>
        <v>2013</v>
      </c>
      <c r="I599" s="3">
        <v>11</v>
      </c>
      <c r="J599" s="69"/>
      <c r="K599" t="s">
        <v>42</v>
      </c>
      <c r="L599" t="s">
        <v>318</v>
      </c>
      <c r="M599">
        <v>143.6</v>
      </c>
      <c r="N599" s="3">
        <v>524</v>
      </c>
      <c r="O599" s="3" t="str">
        <f t="shared" si="27"/>
        <v>2011</v>
      </c>
      <c r="P599" s="2">
        <v>714</v>
      </c>
    </row>
    <row r="600" spans="1:16" x14ac:dyDescent="0.35">
      <c r="A600" s="3">
        <v>2024</v>
      </c>
      <c r="B600" s="3">
        <v>6</v>
      </c>
      <c r="C600" s="3">
        <v>19</v>
      </c>
      <c r="D600" s="2">
        <v>800</v>
      </c>
      <c r="E600" s="3" t="s">
        <v>290</v>
      </c>
      <c r="F600" s="3">
        <v>3</v>
      </c>
      <c r="G600" s="3" t="s">
        <v>225</v>
      </c>
      <c r="H600" s="3" t="str">
        <f t="shared" si="28"/>
        <v>2021</v>
      </c>
      <c r="I600" s="3">
        <v>3</v>
      </c>
      <c r="J600" s="69"/>
      <c r="K600" t="s">
        <v>1162</v>
      </c>
      <c r="L600">
        <v>3</v>
      </c>
      <c r="M600">
        <v>182.5</v>
      </c>
      <c r="N600" s="3">
        <v>524</v>
      </c>
      <c r="O600" s="3" t="str">
        <f t="shared" si="27"/>
        <v>2021</v>
      </c>
      <c r="P600" s="2">
        <v>800</v>
      </c>
    </row>
    <row r="601" spans="1:16" x14ac:dyDescent="0.35">
      <c r="A601" s="3">
        <v>2017</v>
      </c>
      <c r="B601" s="3">
        <v>1</v>
      </c>
      <c r="C601" s="3">
        <v>20</v>
      </c>
      <c r="D601" s="2">
        <v>96</v>
      </c>
      <c r="E601" s="14" t="s">
        <v>542</v>
      </c>
      <c r="F601" s="15">
        <v>1</v>
      </c>
      <c r="G601" s="3" t="s">
        <v>41</v>
      </c>
      <c r="H601" s="3" t="str">
        <f t="shared" si="28"/>
        <v>2012</v>
      </c>
      <c r="I601" s="3">
        <v>5</v>
      </c>
      <c r="J601" s="69"/>
      <c r="K601" s="3" t="s">
        <v>541</v>
      </c>
      <c r="L601" s="3" t="s">
        <v>461</v>
      </c>
      <c r="M601" s="3">
        <v>128.80000000000001</v>
      </c>
      <c r="N601" s="3">
        <v>525</v>
      </c>
      <c r="O601" s="3" t="str">
        <f t="shared" si="27"/>
        <v>2011</v>
      </c>
      <c r="P601" s="2">
        <v>96</v>
      </c>
    </row>
    <row r="602" spans="1:16" x14ac:dyDescent="0.35">
      <c r="A602" s="3">
        <v>2024</v>
      </c>
      <c r="B602">
        <v>4</v>
      </c>
      <c r="C602" s="3">
        <v>9</v>
      </c>
      <c r="D602" s="2">
        <v>862</v>
      </c>
      <c r="E602" s="3" t="s">
        <v>316</v>
      </c>
      <c r="F602" s="3">
        <v>2</v>
      </c>
      <c r="G602" t="s">
        <v>225</v>
      </c>
      <c r="H602" s="3" t="str">
        <f t="shared" si="28"/>
        <v>2022</v>
      </c>
      <c r="I602" s="3">
        <v>2</v>
      </c>
      <c r="J602" s="69"/>
      <c r="K602" t="s">
        <v>234</v>
      </c>
      <c r="L602">
        <v>6</v>
      </c>
      <c r="M602">
        <v>174.1</v>
      </c>
      <c r="N602" s="3">
        <v>525</v>
      </c>
      <c r="O602" s="3" t="str">
        <f t="shared" si="27"/>
        <v>2021</v>
      </c>
      <c r="P602" s="2">
        <v>862</v>
      </c>
    </row>
    <row r="603" spans="1:16" x14ac:dyDescent="0.35">
      <c r="A603" s="3">
        <v>2016</v>
      </c>
      <c r="B603" s="3">
        <v>11</v>
      </c>
      <c r="C603" s="3">
        <v>16</v>
      </c>
      <c r="D603" s="2">
        <v>201</v>
      </c>
      <c r="E603" s="3" t="s">
        <v>654</v>
      </c>
      <c r="F603" s="3">
        <v>4</v>
      </c>
      <c r="G603" s="3" t="s">
        <v>41</v>
      </c>
      <c r="H603" s="3" t="str">
        <f t="shared" si="28"/>
        <v>2013</v>
      </c>
      <c r="I603" s="3">
        <v>3</v>
      </c>
      <c r="J603" s="69"/>
      <c r="K603" s="3" t="s">
        <v>42</v>
      </c>
      <c r="L603" s="3" t="s">
        <v>318</v>
      </c>
      <c r="M603" s="3">
        <v>139.80000000000001</v>
      </c>
      <c r="N603" s="3">
        <v>526</v>
      </c>
      <c r="O603" s="3" t="str">
        <f t="shared" si="27"/>
        <v>2011</v>
      </c>
      <c r="P603" s="2">
        <v>201</v>
      </c>
    </row>
    <row r="604" spans="1:16" x14ac:dyDescent="0.35">
      <c r="A604" s="3">
        <v>2024</v>
      </c>
      <c r="B604" s="3">
        <v>1</v>
      </c>
      <c r="C604" s="3">
        <v>17</v>
      </c>
      <c r="D604" s="2">
        <v>607</v>
      </c>
      <c r="E604" s="3" t="s">
        <v>1049</v>
      </c>
      <c r="F604" s="3">
        <v>1</v>
      </c>
      <c r="G604" s="3" t="s">
        <v>41</v>
      </c>
      <c r="H604" s="3" t="str">
        <f t="shared" si="28"/>
        <v>2013</v>
      </c>
      <c r="I604" s="3">
        <v>11</v>
      </c>
      <c r="J604" s="69"/>
      <c r="K604" t="s">
        <v>583</v>
      </c>
      <c r="L604" s="3" t="s">
        <v>318</v>
      </c>
      <c r="M604">
        <v>151.19999999999999</v>
      </c>
      <c r="N604" s="3">
        <v>527</v>
      </c>
      <c r="O604" s="3" t="str">
        <f t="shared" si="27"/>
        <v>2011</v>
      </c>
      <c r="P604" s="2">
        <v>607</v>
      </c>
    </row>
    <row r="605" spans="1:16" x14ac:dyDescent="0.35">
      <c r="A605" s="3">
        <v>2019</v>
      </c>
      <c r="B605" s="3">
        <v>10</v>
      </c>
      <c r="C605" s="3">
        <v>29</v>
      </c>
      <c r="D605" s="2">
        <v>370</v>
      </c>
      <c r="E605" s="3" t="s">
        <v>836</v>
      </c>
      <c r="F605" s="3">
        <v>4</v>
      </c>
      <c r="G605" s="3" t="s">
        <v>226</v>
      </c>
      <c r="H605" s="3" t="str">
        <f t="shared" si="28"/>
        <v>2017</v>
      </c>
      <c r="I605" s="3">
        <v>2</v>
      </c>
      <c r="J605" s="69"/>
      <c r="K605" s="3" t="s">
        <v>228</v>
      </c>
      <c r="L605" s="3">
        <v>7</v>
      </c>
      <c r="M605" s="3">
        <v>91.8</v>
      </c>
      <c r="N605" s="3">
        <v>528</v>
      </c>
      <c r="O605" s="3" t="str">
        <f t="shared" si="27"/>
        <v>2017</v>
      </c>
      <c r="P605" s="2">
        <v>370</v>
      </c>
    </row>
    <row r="606" spans="1:16" x14ac:dyDescent="0.35">
      <c r="A606" s="3">
        <v>2017</v>
      </c>
      <c r="B606" s="3">
        <v>8</v>
      </c>
      <c r="C606" s="3">
        <v>14</v>
      </c>
      <c r="D606" s="2">
        <v>123</v>
      </c>
      <c r="E606" s="14" t="s">
        <v>567</v>
      </c>
      <c r="F606" s="15">
        <v>3</v>
      </c>
      <c r="G606" s="3" t="s">
        <v>41</v>
      </c>
      <c r="H606" s="3" t="str">
        <f t="shared" si="28"/>
        <v>2012</v>
      </c>
      <c r="I606" s="3">
        <v>5</v>
      </c>
      <c r="J606" s="69"/>
      <c r="K606" s="3" t="s">
        <v>568</v>
      </c>
      <c r="L606" s="3" t="s">
        <v>461</v>
      </c>
      <c r="M606" s="3">
        <v>154.80000000000001</v>
      </c>
      <c r="N606" s="3">
        <v>530</v>
      </c>
      <c r="O606" s="3" t="str">
        <f t="shared" si="27"/>
        <v>2011</v>
      </c>
      <c r="P606" s="2">
        <v>123</v>
      </c>
    </row>
    <row r="607" spans="1:16" x14ac:dyDescent="0.35">
      <c r="A607" s="3">
        <v>2018</v>
      </c>
      <c r="B607" s="3">
        <v>8</v>
      </c>
      <c r="C607" s="3">
        <v>15</v>
      </c>
      <c r="D607" s="2">
        <v>303</v>
      </c>
      <c r="E607" s="3" t="s">
        <v>769</v>
      </c>
      <c r="F607" s="3">
        <v>3</v>
      </c>
      <c r="G607" s="3" t="s">
        <v>41</v>
      </c>
      <c r="H607" s="3" t="str">
        <f t="shared" si="28"/>
        <v>2013</v>
      </c>
      <c r="I607" s="3">
        <v>5</v>
      </c>
      <c r="J607" s="69"/>
      <c r="K607" s="3" t="s">
        <v>49</v>
      </c>
      <c r="L607" s="3" t="s">
        <v>318</v>
      </c>
      <c r="M607" s="3">
        <v>151.6</v>
      </c>
      <c r="N607" s="3">
        <v>534</v>
      </c>
      <c r="O607" s="3" t="str">
        <f t="shared" si="27"/>
        <v>2011</v>
      </c>
      <c r="P607" s="2">
        <v>303</v>
      </c>
    </row>
    <row r="608" spans="1:16" x14ac:dyDescent="0.35">
      <c r="A608" s="3">
        <v>2023</v>
      </c>
      <c r="B608" s="3">
        <v>7</v>
      </c>
      <c r="C608" s="3">
        <v>19</v>
      </c>
      <c r="D608" s="2">
        <v>356</v>
      </c>
      <c r="E608" s="3" t="s">
        <v>822</v>
      </c>
      <c r="F608" s="3">
        <v>3</v>
      </c>
      <c r="G608" s="3" t="s">
        <v>41</v>
      </c>
      <c r="H608" s="3" t="str">
        <f t="shared" si="28"/>
        <v>2013</v>
      </c>
      <c r="I608" s="3">
        <v>10</v>
      </c>
      <c r="J608" s="69"/>
      <c r="K608" s="3" t="s">
        <v>42</v>
      </c>
      <c r="L608" s="3" t="s">
        <v>318</v>
      </c>
      <c r="M608" s="3">
        <v>12.1</v>
      </c>
      <c r="N608" s="3">
        <v>534</v>
      </c>
      <c r="O608" s="3" t="str">
        <f t="shared" si="27"/>
        <v>2011</v>
      </c>
      <c r="P608" s="2">
        <v>356</v>
      </c>
    </row>
    <row r="609" spans="1:17" x14ac:dyDescent="0.35">
      <c r="A609" s="3">
        <v>2022</v>
      </c>
      <c r="B609" s="3">
        <v>1</v>
      </c>
      <c r="C609" s="3" t="s">
        <v>28</v>
      </c>
      <c r="D609" s="2">
        <v>61</v>
      </c>
      <c r="E609" s="3" t="s">
        <v>504</v>
      </c>
      <c r="F609" s="3">
        <v>1</v>
      </c>
      <c r="G609" s="3" t="s">
        <v>41</v>
      </c>
      <c r="H609" s="3" t="str">
        <f t="shared" si="28"/>
        <v>2012</v>
      </c>
      <c r="I609" s="3">
        <v>10</v>
      </c>
      <c r="J609" s="69"/>
      <c r="K609" s="3" t="s">
        <v>461</v>
      </c>
      <c r="L609" s="3" t="s">
        <v>461</v>
      </c>
      <c r="M609" s="3">
        <v>223.2</v>
      </c>
      <c r="N609" s="3">
        <v>535</v>
      </c>
      <c r="O609" s="3" t="str">
        <f t="shared" si="27"/>
        <v>2011</v>
      </c>
      <c r="P609" s="2">
        <v>61</v>
      </c>
    </row>
    <row r="610" spans="1:17" x14ac:dyDescent="0.35">
      <c r="A610" s="3">
        <v>2017</v>
      </c>
      <c r="B610" s="3">
        <v>11</v>
      </c>
      <c r="C610" s="3">
        <v>8</v>
      </c>
      <c r="D610" s="2">
        <v>91</v>
      </c>
      <c r="E610" s="14" t="s">
        <v>536</v>
      </c>
      <c r="F610" s="15">
        <v>4</v>
      </c>
      <c r="G610" s="3" t="s">
        <v>45</v>
      </c>
      <c r="H610" s="3" t="str">
        <f t="shared" si="28"/>
        <v>2009</v>
      </c>
      <c r="I610" s="3">
        <v>8</v>
      </c>
      <c r="J610" s="69"/>
      <c r="K610" s="3" t="s">
        <v>488</v>
      </c>
      <c r="L610" s="3" t="s">
        <v>488</v>
      </c>
      <c r="M610" s="3">
        <v>20</v>
      </c>
      <c r="N610" s="3">
        <v>535</v>
      </c>
      <c r="O610" s="3" t="str">
        <f t="shared" si="27"/>
        <v>2007</v>
      </c>
      <c r="P610" s="2">
        <v>91</v>
      </c>
    </row>
    <row r="611" spans="1:17" x14ac:dyDescent="0.35">
      <c r="A611" s="3">
        <v>2016</v>
      </c>
      <c r="B611" s="3">
        <v>9</v>
      </c>
      <c r="C611" s="3">
        <v>2</v>
      </c>
      <c r="D611" s="2">
        <v>292</v>
      </c>
      <c r="E611" s="3" t="s">
        <v>758</v>
      </c>
      <c r="F611" s="3">
        <v>3</v>
      </c>
      <c r="G611" s="3" t="s">
        <v>41</v>
      </c>
      <c r="H611" s="3" t="str">
        <f t="shared" si="28"/>
        <v>2013</v>
      </c>
      <c r="I611" s="3">
        <v>3</v>
      </c>
      <c r="J611" s="69"/>
      <c r="K611" s="3" t="s">
        <v>42</v>
      </c>
      <c r="L611" s="3" t="s">
        <v>318</v>
      </c>
      <c r="M611" s="3">
        <v>175.5</v>
      </c>
      <c r="N611" s="3">
        <v>535</v>
      </c>
      <c r="O611" s="3" t="str">
        <f t="shared" si="27"/>
        <v>2011</v>
      </c>
      <c r="P611" s="2">
        <v>292</v>
      </c>
    </row>
    <row r="612" spans="1:17" x14ac:dyDescent="0.35">
      <c r="A612" s="3">
        <v>2024</v>
      </c>
      <c r="B612">
        <v>8</v>
      </c>
      <c r="C612" s="3">
        <v>16</v>
      </c>
      <c r="D612" s="2">
        <v>858</v>
      </c>
      <c r="E612" s="3" t="s">
        <v>313</v>
      </c>
      <c r="F612" s="3">
        <v>3</v>
      </c>
      <c r="G612" t="s">
        <v>225</v>
      </c>
      <c r="H612" s="3" t="str">
        <f t="shared" si="28"/>
        <v>2022</v>
      </c>
      <c r="I612" s="3">
        <v>2</v>
      </c>
      <c r="J612" s="69"/>
      <c r="K612" t="s">
        <v>235</v>
      </c>
      <c r="L612">
        <v>5</v>
      </c>
      <c r="M612">
        <v>183.7</v>
      </c>
      <c r="N612" s="3">
        <v>535</v>
      </c>
      <c r="O612" s="3" t="str">
        <f t="shared" si="27"/>
        <v>2021</v>
      </c>
      <c r="P612" s="2">
        <v>858</v>
      </c>
    </row>
    <row r="613" spans="1:17" x14ac:dyDescent="0.35">
      <c r="A613" s="3">
        <v>2016</v>
      </c>
      <c r="B613" s="3">
        <v>9</v>
      </c>
      <c r="C613" s="3">
        <v>1</v>
      </c>
      <c r="D613" s="2">
        <v>243</v>
      </c>
      <c r="E613" s="3" t="s">
        <v>701</v>
      </c>
      <c r="F613" s="3">
        <v>3</v>
      </c>
      <c r="G613" s="3" t="s">
        <v>45</v>
      </c>
      <c r="H613" s="3" t="str">
        <f t="shared" si="28"/>
        <v>2011</v>
      </c>
      <c r="I613" s="3">
        <v>5</v>
      </c>
      <c r="J613" s="69"/>
      <c r="K613" s="3" t="s">
        <v>647</v>
      </c>
      <c r="L613" s="3" t="s">
        <v>317</v>
      </c>
      <c r="M613" s="3">
        <v>212.8</v>
      </c>
      <c r="N613" s="3">
        <v>537</v>
      </c>
      <c r="O613" s="3" t="str">
        <f t="shared" si="27"/>
        <v>2007</v>
      </c>
      <c r="P613" s="2">
        <v>243</v>
      </c>
      <c r="Q613" s="2">
        <v>22.29</v>
      </c>
    </row>
    <row r="614" spans="1:17" x14ac:dyDescent="0.35">
      <c r="A614" s="3">
        <v>2021</v>
      </c>
      <c r="B614" s="3">
        <v>10</v>
      </c>
      <c r="C614" s="3">
        <v>11</v>
      </c>
      <c r="D614" s="2">
        <v>461</v>
      </c>
      <c r="E614" s="3" t="s">
        <v>917</v>
      </c>
      <c r="F614" s="3">
        <v>4</v>
      </c>
      <c r="G614" s="3" t="s">
        <v>226</v>
      </c>
      <c r="H614" s="3" t="str">
        <f t="shared" si="28"/>
        <v>2018</v>
      </c>
      <c r="I614" s="3">
        <v>3</v>
      </c>
      <c r="J614" s="69"/>
      <c r="K614" s="3" t="s">
        <v>51</v>
      </c>
      <c r="L614" s="3" t="s">
        <v>916</v>
      </c>
      <c r="M614" s="16">
        <v>135</v>
      </c>
      <c r="N614" s="3">
        <v>537</v>
      </c>
      <c r="O614" s="3" t="str">
        <f t="shared" si="27"/>
        <v>2017</v>
      </c>
      <c r="P614" s="2">
        <v>461</v>
      </c>
    </row>
    <row r="615" spans="1:17" x14ac:dyDescent="0.35">
      <c r="A615" s="3">
        <v>2016</v>
      </c>
      <c r="B615" s="3">
        <v>9</v>
      </c>
      <c r="C615" s="3">
        <v>1</v>
      </c>
      <c r="D615" s="2">
        <v>298</v>
      </c>
      <c r="E615" s="3" t="s">
        <v>764</v>
      </c>
      <c r="F615" s="3">
        <v>3</v>
      </c>
      <c r="G615" s="3" t="s">
        <v>45</v>
      </c>
      <c r="H615" s="3" t="str">
        <f t="shared" si="28"/>
        <v>2011</v>
      </c>
      <c r="I615" s="3">
        <v>5</v>
      </c>
      <c r="J615" s="69"/>
      <c r="K615" s="3" t="s">
        <v>632</v>
      </c>
      <c r="L615" s="3" t="s">
        <v>317</v>
      </c>
      <c r="M615" s="3">
        <v>20.3</v>
      </c>
      <c r="N615" s="3">
        <v>540</v>
      </c>
      <c r="O615" s="3" t="str">
        <f t="shared" si="27"/>
        <v>2007</v>
      </c>
      <c r="P615" s="2">
        <v>298</v>
      </c>
    </row>
    <row r="616" spans="1:17" x14ac:dyDescent="0.35">
      <c r="A616" s="3">
        <v>2021</v>
      </c>
      <c r="B616" s="3">
        <v>10</v>
      </c>
      <c r="C616" s="3" t="s">
        <v>28</v>
      </c>
      <c r="D616" s="2">
        <v>16</v>
      </c>
      <c r="E616" s="3" t="s">
        <v>459</v>
      </c>
      <c r="F616" s="3">
        <v>4</v>
      </c>
      <c r="G616" s="3" t="s">
        <v>41</v>
      </c>
      <c r="H616" s="3" t="str">
        <f t="shared" si="28"/>
        <v>2013</v>
      </c>
      <c r="I616" s="3">
        <v>8</v>
      </c>
      <c r="J616" s="69"/>
      <c r="K616" s="3" t="s">
        <v>458</v>
      </c>
      <c r="L616" s="3" t="s">
        <v>458</v>
      </c>
      <c r="M616" s="3">
        <v>160.6</v>
      </c>
      <c r="N616" s="3">
        <v>541</v>
      </c>
      <c r="O616" s="3" t="str">
        <f t="shared" si="27"/>
        <v>2011</v>
      </c>
      <c r="P616" s="2">
        <v>16</v>
      </c>
    </row>
    <row r="617" spans="1:17" x14ac:dyDescent="0.35">
      <c r="A617" s="3">
        <v>2024</v>
      </c>
      <c r="B617" s="3">
        <v>1</v>
      </c>
      <c r="C617" s="3">
        <v>24</v>
      </c>
      <c r="D617" s="2">
        <v>606</v>
      </c>
      <c r="E617" s="3" t="s">
        <v>99</v>
      </c>
      <c r="F617" s="3">
        <v>1</v>
      </c>
      <c r="G617" s="3" t="s">
        <v>20</v>
      </c>
      <c r="H617" s="3" t="str">
        <f t="shared" si="28"/>
        <v>2018</v>
      </c>
      <c r="I617" s="3">
        <v>6</v>
      </c>
      <c r="J617" s="69"/>
      <c r="K617" t="s">
        <v>234</v>
      </c>
      <c r="L617">
        <v>6</v>
      </c>
      <c r="M617">
        <v>212.1</v>
      </c>
      <c r="N617" s="3">
        <v>543</v>
      </c>
      <c r="O617" s="3" t="str">
        <f t="shared" si="27"/>
        <v>2018</v>
      </c>
      <c r="P617" s="2">
        <v>606</v>
      </c>
    </row>
    <row r="618" spans="1:17" x14ac:dyDescent="0.35">
      <c r="A618" s="3">
        <v>2024</v>
      </c>
      <c r="B618" s="3">
        <v>6</v>
      </c>
      <c r="C618" s="3">
        <v>19</v>
      </c>
      <c r="D618" s="2">
        <v>805</v>
      </c>
      <c r="E618" s="3" t="s">
        <v>1175</v>
      </c>
      <c r="F618" s="3">
        <v>3</v>
      </c>
      <c r="G618" s="3" t="s">
        <v>225</v>
      </c>
      <c r="H618" s="3" t="str">
        <f t="shared" si="28"/>
        <v>2021</v>
      </c>
      <c r="I618" s="3">
        <v>3</v>
      </c>
      <c r="J618" s="69"/>
      <c r="K618" t="s">
        <v>237</v>
      </c>
      <c r="L618">
        <v>3</v>
      </c>
      <c r="M618">
        <v>176.9</v>
      </c>
      <c r="N618" s="3">
        <v>543</v>
      </c>
      <c r="O618" s="3" t="str">
        <f t="shared" si="27"/>
        <v>2021</v>
      </c>
      <c r="P618" s="2">
        <v>805</v>
      </c>
    </row>
    <row r="619" spans="1:17" x14ac:dyDescent="0.35">
      <c r="A619" s="3">
        <v>2024</v>
      </c>
      <c r="B619" s="3">
        <v>1</v>
      </c>
      <c r="C619" s="3">
        <v>17</v>
      </c>
      <c r="D619" s="2">
        <v>565</v>
      </c>
      <c r="E619" s="3" t="s">
        <v>1010</v>
      </c>
      <c r="F619" s="3">
        <v>1</v>
      </c>
      <c r="G619" s="3" t="s">
        <v>41</v>
      </c>
      <c r="H619" s="3" t="str">
        <f t="shared" si="28"/>
        <v>2013</v>
      </c>
      <c r="I619" s="3">
        <v>11</v>
      </c>
      <c r="J619" s="69"/>
      <c r="K619" t="s">
        <v>42</v>
      </c>
      <c r="L619" s="3" t="s">
        <v>318</v>
      </c>
      <c r="M619">
        <v>192</v>
      </c>
      <c r="N619" s="3">
        <v>544</v>
      </c>
      <c r="O619" s="3" t="str">
        <f t="shared" si="27"/>
        <v>2011</v>
      </c>
      <c r="P619" s="2">
        <v>565</v>
      </c>
    </row>
    <row r="620" spans="1:17" x14ac:dyDescent="0.35">
      <c r="A620" s="3">
        <v>2016</v>
      </c>
      <c r="B620" s="3">
        <v>11</v>
      </c>
      <c r="C620" s="3">
        <v>7</v>
      </c>
      <c r="D620" s="2">
        <v>193</v>
      </c>
      <c r="E620" s="3" t="s">
        <v>645</v>
      </c>
      <c r="F620" s="3">
        <v>4</v>
      </c>
      <c r="G620" s="3" t="s">
        <v>45</v>
      </c>
      <c r="H620" s="3" t="str">
        <f t="shared" si="28"/>
        <v>2011</v>
      </c>
      <c r="I620" s="3">
        <v>5</v>
      </c>
      <c r="J620" s="69"/>
      <c r="K620" s="3" t="s">
        <v>644</v>
      </c>
      <c r="L620" s="3" t="s">
        <v>317</v>
      </c>
      <c r="M620" s="3">
        <v>16.100000000000001</v>
      </c>
      <c r="N620" s="3">
        <v>545</v>
      </c>
      <c r="O620" s="3" t="str">
        <f t="shared" si="27"/>
        <v>2007</v>
      </c>
      <c r="P620" s="2">
        <v>193</v>
      </c>
    </row>
    <row r="621" spans="1:17" x14ac:dyDescent="0.35">
      <c r="A621" s="3">
        <v>2023</v>
      </c>
      <c r="B621" s="3">
        <v>2</v>
      </c>
      <c r="C621" s="3">
        <v>13</v>
      </c>
      <c r="D621" s="2">
        <v>151</v>
      </c>
      <c r="E621" s="3" t="s">
        <v>596</v>
      </c>
      <c r="F621" s="3">
        <v>1</v>
      </c>
      <c r="G621" s="3" t="s">
        <v>41</v>
      </c>
      <c r="H621" s="3" t="str">
        <f t="shared" si="28"/>
        <v>2012</v>
      </c>
      <c r="I621" s="3">
        <v>11</v>
      </c>
      <c r="J621" s="69"/>
      <c r="K621" s="3" t="s">
        <v>461</v>
      </c>
      <c r="L621" s="3" t="s">
        <v>461</v>
      </c>
      <c r="M621" s="3">
        <v>162.9</v>
      </c>
      <c r="N621" s="3">
        <v>548</v>
      </c>
      <c r="O621" s="3" t="str">
        <f t="shared" si="27"/>
        <v>2011</v>
      </c>
      <c r="P621" s="2">
        <v>151</v>
      </c>
    </row>
    <row r="622" spans="1:17" x14ac:dyDescent="0.35">
      <c r="A622" s="3">
        <v>2016</v>
      </c>
      <c r="B622" s="3">
        <v>8</v>
      </c>
      <c r="C622" s="3">
        <v>31</v>
      </c>
      <c r="D622" s="2">
        <v>284</v>
      </c>
      <c r="E622" s="3" t="s">
        <v>748</v>
      </c>
      <c r="F622" s="3">
        <v>3</v>
      </c>
      <c r="G622" s="3" t="s">
        <v>45</v>
      </c>
      <c r="H622" s="3" t="str">
        <f t="shared" si="28"/>
        <v>2011</v>
      </c>
      <c r="I622" s="3">
        <v>5</v>
      </c>
      <c r="J622" s="69"/>
      <c r="K622" s="3" t="s">
        <v>749</v>
      </c>
      <c r="L622" s="3" t="s">
        <v>317</v>
      </c>
      <c r="M622" s="3">
        <v>168.7</v>
      </c>
      <c r="N622" s="3">
        <v>548</v>
      </c>
      <c r="O622" s="3" t="str">
        <f t="shared" si="27"/>
        <v>2007</v>
      </c>
      <c r="P622" s="2">
        <v>284</v>
      </c>
    </row>
    <row r="623" spans="1:17" x14ac:dyDescent="0.35">
      <c r="A623" s="3">
        <v>2016</v>
      </c>
      <c r="B623" s="3">
        <v>9</v>
      </c>
      <c r="C623" s="3">
        <v>1</v>
      </c>
      <c r="D623" s="2">
        <v>235</v>
      </c>
      <c r="E623" s="3" t="s">
        <v>693</v>
      </c>
      <c r="F623" s="3">
        <v>3</v>
      </c>
      <c r="G623" s="3" t="s">
        <v>45</v>
      </c>
      <c r="H623" s="3" t="str">
        <f t="shared" si="28"/>
        <v>2011</v>
      </c>
      <c r="I623" s="3">
        <v>5</v>
      </c>
      <c r="J623" s="69"/>
      <c r="K623" s="3" t="s">
        <v>647</v>
      </c>
      <c r="L623" s="3" t="s">
        <v>317</v>
      </c>
      <c r="M623" s="3">
        <v>179.3</v>
      </c>
      <c r="N623" s="3">
        <v>549</v>
      </c>
      <c r="O623" s="3" t="str">
        <f t="shared" si="27"/>
        <v>2007</v>
      </c>
      <c r="P623" s="2">
        <v>235</v>
      </c>
    </row>
    <row r="624" spans="1:17" x14ac:dyDescent="0.35">
      <c r="A624" s="3">
        <v>2023</v>
      </c>
      <c r="B624" s="3">
        <v>7</v>
      </c>
      <c r="C624" s="3">
        <v>19</v>
      </c>
      <c r="D624" s="2">
        <v>345</v>
      </c>
      <c r="E624" s="3" t="s">
        <v>811</v>
      </c>
      <c r="F624" s="3">
        <v>3</v>
      </c>
      <c r="G624" s="3" t="s">
        <v>41</v>
      </c>
      <c r="H624" s="3" t="str">
        <f t="shared" si="28"/>
        <v>2012</v>
      </c>
      <c r="I624" s="3">
        <v>11</v>
      </c>
      <c r="J624" s="69"/>
      <c r="K624" s="3" t="s">
        <v>541</v>
      </c>
      <c r="L624" s="3" t="s">
        <v>461</v>
      </c>
      <c r="M624" s="3">
        <v>143.69999999999999</v>
      </c>
      <c r="N624" s="3">
        <v>549</v>
      </c>
      <c r="O624" s="3" t="str">
        <f t="shared" si="27"/>
        <v>2011</v>
      </c>
      <c r="P624" s="2">
        <v>345</v>
      </c>
    </row>
    <row r="625" spans="1:20" x14ac:dyDescent="0.35">
      <c r="A625" s="3">
        <v>2016</v>
      </c>
      <c r="B625" s="3">
        <v>11</v>
      </c>
      <c r="C625" s="3">
        <v>8</v>
      </c>
      <c r="D625" s="2">
        <v>182</v>
      </c>
      <c r="E625" s="3" t="s">
        <v>633</v>
      </c>
      <c r="F625" s="3">
        <v>4</v>
      </c>
      <c r="G625" s="3" t="s">
        <v>45</v>
      </c>
      <c r="H625" s="3" t="str">
        <f t="shared" si="28"/>
        <v>2011</v>
      </c>
      <c r="I625" s="3">
        <v>5</v>
      </c>
      <c r="J625" s="69"/>
      <c r="K625" s="3" t="s">
        <v>632</v>
      </c>
      <c r="L625" s="3" t="s">
        <v>317</v>
      </c>
      <c r="M625" s="3">
        <v>196.4</v>
      </c>
      <c r="N625" s="3">
        <v>550</v>
      </c>
      <c r="O625" s="3" t="str">
        <f t="shared" si="27"/>
        <v>2007</v>
      </c>
      <c r="P625" s="2">
        <v>182</v>
      </c>
    </row>
    <row r="626" spans="1:20" x14ac:dyDescent="0.35">
      <c r="A626" s="3">
        <v>2016</v>
      </c>
      <c r="B626" s="3">
        <v>11</v>
      </c>
      <c r="C626" s="3">
        <v>8</v>
      </c>
      <c r="D626" s="2">
        <v>194</v>
      </c>
      <c r="E626" s="3" t="s">
        <v>646</v>
      </c>
      <c r="F626" s="3">
        <v>4</v>
      </c>
      <c r="G626" s="3" t="s">
        <v>45</v>
      </c>
      <c r="H626" s="3" t="str">
        <f t="shared" si="28"/>
        <v>2011</v>
      </c>
      <c r="I626" s="3">
        <v>5</v>
      </c>
      <c r="J626" s="69"/>
      <c r="K626" s="3" t="s">
        <v>647</v>
      </c>
      <c r="L626" s="3" t="s">
        <v>317</v>
      </c>
      <c r="M626" s="3">
        <v>16.899999999999999</v>
      </c>
      <c r="N626" s="3">
        <v>551</v>
      </c>
      <c r="O626" s="3" t="str">
        <f t="shared" si="27"/>
        <v>2007</v>
      </c>
      <c r="P626" s="2">
        <v>194</v>
      </c>
    </row>
    <row r="627" spans="1:20" x14ac:dyDescent="0.35">
      <c r="A627" s="3">
        <v>2016</v>
      </c>
      <c r="B627" s="3">
        <v>9</v>
      </c>
      <c r="C627" s="3">
        <v>1</v>
      </c>
      <c r="D627" s="2">
        <v>300</v>
      </c>
      <c r="E627" s="3" t="s">
        <v>766</v>
      </c>
      <c r="F627" s="3">
        <v>3</v>
      </c>
      <c r="G627" s="3" t="s">
        <v>45</v>
      </c>
      <c r="H627" s="3" t="str">
        <f t="shared" si="28"/>
        <v>2011</v>
      </c>
      <c r="I627" s="3">
        <v>5</v>
      </c>
      <c r="J627" s="69"/>
      <c r="K627" s="3" t="s">
        <v>632</v>
      </c>
      <c r="L627" s="3" t="s">
        <v>317</v>
      </c>
      <c r="M627" s="3">
        <v>182.3</v>
      </c>
      <c r="N627" s="3">
        <v>551</v>
      </c>
      <c r="O627" s="3" t="str">
        <f t="shared" si="27"/>
        <v>2007</v>
      </c>
      <c r="P627" s="2">
        <v>300</v>
      </c>
    </row>
    <row r="628" spans="1:20" x14ac:dyDescent="0.35">
      <c r="A628" s="3">
        <v>2019</v>
      </c>
      <c r="B628" s="3">
        <v>2</v>
      </c>
      <c r="C628" s="3">
        <v>21</v>
      </c>
      <c r="D628" s="2">
        <v>172</v>
      </c>
      <c r="E628" s="3" t="s">
        <v>621</v>
      </c>
      <c r="F628" s="3">
        <v>1</v>
      </c>
      <c r="G628" s="3" t="s">
        <v>45</v>
      </c>
      <c r="H628" s="3" t="str">
        <f t="shared" si="28"/>
        <v>2011</v>
      </c>
      <c r="I628" s="3">
        <v>8</v>
      </c>
      <c r="J628" s="69"/>
      <c r="K628" s="3" t="s">
        <v>615</v>
      </c>
      <c r="L628" s="3" t="s">
        <v>317</v>
      </c>
      <c r="M628" s="3">
        <v>195.7</v>
      </c>
      <c r="N628" s="3">
        <v>552</v>
      </c>
      <c r="O628" s="3" t="str">
        <f t="shared" si="27"/>
        <v>2007</v>
      </c>
      <c r="P628" s="2">
        <v>172</v>
      </c>
    </row>
    <row r="629" spans="1:20" x14ac:dyDescent="0.35">
      <c r="A629" s="3">
        <v>2024</v>
      </c>
      <c r="B629" s="3">
        <v>8</v>
      </c>
      <c r="C629" s="3">
        <v>9</v>
      </c>
      <c r="D629" s="2">
        <v>767</v>
      </c>
      <c r="E629" s="3" t="s">
        <v>1158</v>
      </c>
      <c r="F629" s="3">
        <v>3</v>
      </c>
      <c r="G629" s="3" t="s">
        <v>41</v>
      </c>
      <c r="H629" s="3" t="str">
        <f t="shared" si="28"/>
        <v>2013</v>
      </c>
      <c r="I629" s="3">
        <v>11</v>
      </c>
      <c r="J629" s="69"/>
      <c r="K629" s="6" t="s">
        <v>509</v>
      </c>
      <c r="L629" t="s">
        <v>458</v>
      </c>
      <c r="M629">
        <v>148.5</v>
      </c>
      <c r="N629" s="3">
        <v>553</v>
      </c>
      <c r="O629" s="3" t="str">
        <f t="shared" si="27"/>
        <v>2011</v>
      </c>
      <c r="P629" s="2">
        <v>767</v>
      </c>
      <c r="T629">
        <v>7.16</v>
      </c>
    </row>
    <row r="630" spans="1:20" x14ac:dyDescent="0.35">
      <c r="A630" s="3">
        <v>2016</v>
      </c>
      <c r="B630" s="3">
        <v>11</v>
      </c>
      <c r="C630" s="3">
        <v>16</v>
      </c>
      <c r="D630" s="2">
        <v>179</v>
      </c>
      <c r="E630" s="3" t="s">
        <v>629</v>
      </c>
      <c r="F630" s="3">
        <v>4</v>
      </c>
      <c r="G630" s="3" t="s">
        <v>41</v>
      </c>
      <c r="H630" s="3" t="str">
        <f t="shared" si="28"/>
        <v>2013</v>
      </c>
      <c r="I630" s="3">
        <v>3</v>
      </c>
      <c r="J630" s="69"/>
      <c r="K630" s="3" t="s">
        <v>583</v>
      </c>
      <c r="L630" s="3" t="s">
        <v>318</v>
      </c>
      <c r="M630" s="3">
        <v>180.1</v>
      </c>
      <c r="N630" s="3">
        <v>553</v>
      </c>
      <c r="O630" s="3" t="str">
        <f t="shared" si="27"/>
        <v>2011</v>
      </c>
      <c r="P630" s="2">
        <v>179</v>
      </c>
    </row>
    <row r="631" spans="1:20" x14ac:dyDescent="0.35">
      <c r="A631" s="3">
        <v>2021</v>
      </c>
      <c r="B631" s="3">
        <v>10</v>
      </c>
      <c r="C631" s="3">
        <v>11</v>
      </c>
      <c r="D631" s="2">
        <v>463</v>
      </c>
      <c r="E631" s="3" t="s">
        <v>919</v>
      </c>
      <c r="F631" s="3">
        <v>4</v>
      </c>
      <c r="G631" s="3" t="s">
        <v>226</v>
      </c>
      <c r="H631" s="3" t="str">
        <f t="shared" si="28"/>
        <v>2018</v>
      </c>
      <c r="I631" s="3">
        <v>3</v>
      </c>
      <c r="J631" s="69"/>
      <c r="K631" s="3" t="s">
        <v>51</v>
      </c>
      <c r="L631" s="3" t="s">
        <v>920</v>
      </c>
      <c r="M631" s="16">
        <v>160</v>
      </c>
      <c r="N631" s="3">
        <v>553</v>
      </c>
      <c r="O631" s="3" t="str">
        <f t="shared" si="27"/>
        <v>2017</v>
      </c>
      <c r="P631" s="2">
        <v>463</v>
      </c>
    </row>
    <row r="632" spans="1:20" x14ac:dyDescent="0.35">
      <c r="A632" s="3">
        <v>2021</v>
      </c>
      <c r="B632" s="3">
        <v>10</v>
      </c>
      <c r="C632" s="3" t="s">
        <v>28</v>
      </c>
      <c r="D632" s="2">
        <v>36</v>
      </c>
      <c r="E632" s="3" t="s">
        <v>478</v>
      </c>
      <c r="F632" s="3">
        <v>4</v>
      </c>
      <c r="G632" s="3" t="s">
        <v>41</v>
      </c>
      <c r="H632" s="3" t="str">
        <f t="shared" si="28"/>
        <v>2012</v>
      </c>
      <c r="I632" s="3">
        <v>9</v>
      </c>
      <c r="J632" s="69"/>
      <c r="K632" s="3" t="s">
        <v>461</v>
      </c>
      <c r="L632" s="3" t="s">
        <v>461</v>
      </c>
      <c r="M632" s="3">
        <v>161.80000000000001</v>
      </c>
      <c r="N632" s="3">
        <v>554</v>
      </c>
      <c r="O632" s="3" t="str">
        <f t="shared" si="27"/>
        <v>2011</v>
      </c>
      <c r="P632" s="2">
        <v>36</v>
      </c>
    </row>
    <row r="633" spans="1:20" x14ac:dyDescent="0.35">
      <c r="A633" s="3">
        <v>2023</v>
      </c>
      <c r="B633" s="3">
        <v>7</v>
      </c>
      <c r="C633" s="3">
        <v>21</v>
      </c>
      <c r="D633" s="2">
        <v>447</v>
      </c>
      <c r="E633" s="3" t="s">
        <v>72</v>
      </c>
      <c r="F633" s="3">
        <v>3</v>
      </c>
      <c r="G633" s="3" t="s">
        <v>20</v>
      </c>
      <c r="H633" s="3" t="str">
        <f t="shared" si="28"/>
        <v>2020</v>
      </c>
      <c r="I633" s="3">
        <v>3</v>
      </c>
      <c r="J633" s="69"/>
      <c r="K633" s="3" t="s">
        <v>73</v>
      </c>
      <c r="L633" s="3">
        <v>37</v>
      </c>
      <c r="M633" s="3">
        <v>168.8</v>
      </c>
      <c r="N633" s="3">
        <v>555</v>
      </c>
      <c r="O633" s="3" t="str">
        <f t="shared" si="27"/>
        <v>2018</v>
      </c>
      <c r="P633" s="2">
        <v>447</v>
      </c>
    </row>
    <row r="634" spans="1:20" x14ac:dyDescent="0.35">
      <c r="A634" s="3">
        <v>2021</v>
      </c>
      <c r="B634" s="3">
        <v>10</v>
      </c>
      <c r="C634" s="3">
        <v>11</v>
      </c>
      <c r="D634" s="2">
        <v>470</v>
      </c>
      <c r="E634" s="3" t="s">
        <v>925</v>
      </c>
      <c r="F634" s="3">
        <v>4</v>
      </c>
      <c r="G634" s="3" t="s">
        <v>226</v>
      </c>
      <c r="H634" s="3" t="str">
        <f t="shared" si="28"/>
        <v>2018</v>
      </c>
      <c r="I634" s="3">
        <v>3</v>
      </c>
      <c r="J634" s="69"/>
      <c r="K634" s="3" t="s">
        <v>51</v>
      </c>
      <c r="L634" s="3" t="s">
        <v>920</v>
      </c>
      <c r="M634" s="16">
        <v>165</v>
      </c>
      <c r="N634" s="3">
        <v>555</v>
      </c>
      <c r="O634" s="3" t="str">
        <f t="shared" si="27"/>
        <v>2017</v>
      </c>
      <c r="P634" s="2">
        <v>470</v>
      </c>
    </row>
    <row r="635" spans="1:20" x14ac:dyDescent="0.35">
      <c r="A635" s="3">
        <v>2024</v>
      </c>
      <c r="B635" s="3">
        <v>2</v>
      </c>
      <c r="C635" s="3">
        <v>28</v>
      </c>
      <c r="D635" s="2">
        <v>669</v>
      </c>
      <c r="E635" s="3" t="s">
        <v>1089</v>
      </c>
      <c r="F635" s="3">
        <v>2</v>
      </c>
      <c r="G635" s="3" t="s">
        <v>225</v>
      </c>
      <c r="H635" s="3" t="str">
        <f t="shared" si="28"/>
        <v>2023</v>
      </c>
      <c r="I635" s="3">
        <v>1</v>
      </c>
      <c r="J635" s="69"/>
      <c r="K635" t="s">
        <v>1090</v>
      </c>
      <c r="L635">
        <v>9</v>
      </c>
      <c r="M635">
        <v>208.7</v>
      </c>
      <c r="N635" s="3">
        <v>555</v>
      </c>
      <c r="O635" s="3" t="str">
        <f t="shared" si="27"/>
        <v>2021</v>
      </c>
      <c r="P635" s="2">
        <v>669</v>
      </c>
    </row>
    <row r="636" spans="1:20" x14ac:dyDescent="0.35">
      <c r="A636" s="3">
        <v>2022</v>
      </c>
      <c r="B636" s="3">
        <v>1</v>
      </c>
      <c r="C636" s="3" t="s">
        <v>28</v>
      </c>
      <c r="D636" s="2">
        <v>18</v>
      </c>
      <c r="E636" s="3" t="s">
        <v>462</v>
      </c>
      <c r="F636" s="3">
        <v>1</v>
      </c>
      <c r="G636" s="3" t="s">
        <v>41</v>
      </c>
      <c r="H636" s="3" t="str">
        <f t="shared" si="28"/>
        <v>2012</v>
      </c>
      <c r="I636" s="3">
        <v>10</v>
      </c>
      <c r="J636" s="69"/>
      <c r="K636" s="3" t="s">
        <v>461</v>
      </c>
      <c r="L636" s="3" t="s">
        <v>461</v>
      </c>
      <c r="M636" s="3">
        <v>163.5</v>
      </c>
      <c r="N636" s="3">
        <v>556</v>
      </c>
      <c r="O636" s="3" t="str">
        <f t="shared" si="27"/>
        <v>2011</v>
      </c>
      <c r="P636" s="2">
        <v>18</v>
      </c>
    </row>
    <row r="637" spans="1:20" x14ac:dyDescent="0.35">
      <c r="A637" s="3">
        <v>2024</v>
      </c>
      <c r="B637" s="3">
        <v>8</v>
      </c>
      <c r="C637" s="3">
        <v>19</v>
      </c>
      <c r="D637" s="2">
        <v>751</v>
      </c>
      <c r="E637" s="3" t="s">
        <v>1150</v>
      </c>
      <c r="F637" s="3">
        <v>3</v>
      </c>
      <c r="G637" s="3" t="s">
        <v>225</v>
      </c>
      <c r="H637" s="3" t="str">
        <f t="shared" si="28"/>
        <v>2021</v>
      </c>
      <c r="I637" s="3">
        <v>3</v>
      </c>
      <c r="J637" s="69"/>
      <c r="K637">
        <v>3</v>
      </c>
      <c r="L637">
        <v>3</v>
      </c>
      <c r="M637">
        <v>182.8</v>
      </c>
      <c r="N637" s="3">
        <v>558</v>
      </c>
      <c r="O637" s="3" t="str">
        <f t="shared" si="27"/>
        <v>2021</v>
      </c>
      <c r="P637" s="2">
        <v>751</v>
      </c>
    </row>
    <row r="638" spans="1:20" x14ac:dyDescent="0.35">
      <c r="A638" s="3">
        <v>2019</v>
      </c>
      <c r="B638" s="3">
        <v>2</v>
      </c>
      <c r="C638" s="3">
        <v>18</v>
      </c>
      <c r="D638" s="2">
        <v>155</v>
      </c>
      <c r="E638" s="3" t="s">
        <v>600</v>
      </c>
      <c r="F638" s="3">
        <v>1</v>
      </c>
      <c r="G638" s="3" t="s">
        <v>41</v>
      </c>
      <c r="H638" s="3" t="str">
        <f t="shared" si="28"/>
        <v>2013</v>
      </c>
      <c r="I638" s="3">
        <v>6</v>
      </c>
      <c r="J638" s="69"/>
      <c r="K638" s="3" t="s">
        <v>91</v>
      </c>
      <c r="L638" s="3" t="s">
        <v>318</v>
      </c>
      <c r="M638" s="3">
        <v>189.6</v>
      </c>
      <c r="N638" s="3">
        <v>559</v>
      </c>
      <c r="O638" s="3" t="str">
        <f t="shared" si="27"/>
        <v>2011</v>
      </c>
      <c r="P638" s="2">
        <v>155</v>
      </c>
    </row>
    <row r="639" spans="1:20" x14ac:dyDescent="0.35">
      <c r="A639" s="3">
        <v>2019</v>
      </c>
      <c r="B639" s="3">
        <v>11</v>
      </c>
      <c r="C639" s="3">
        <v>27</v>
      </c>
      <c r="D639" s="2">
        <v>43</v>
      </c>
      <c r="E639" s="3" t="s">
        <v>485</v>
      </c>
      <c r="F639" s="3">
        <v>4</v>
      </c>
      <c r="G639" s="3" t="s">
        <v>45</v>
      </c>
      <c r="H639" s="3" t="str">
        <f t="shared" si="28"/>
        <v>2011</v>
      </c>
      <c r="I639" s="3">
        <v>8</v>
      </c>
      <c r="J639" s="69"/>
      <c r="K639" s="3" t="s">
        <v>317</v>
      </c>
      <c r="L639" s="3" t="s">
        <v>317</v>
      </c>
      <c r="M639" s="3">
        <v>188.8</v>
      </c>
      <c r="N639" s="3">
        <v>560</v>
      </c>
      <c r="O639" s="3" t="str">
        <f t="shared" si="27"/>
        <v>2007</v>
      </c>
      <c r="P639" s="2">
        <v>43</v>
      </c>
    </row>
    <row r="640" spans="1:20" x14ac:dyDescent="0.35">
      <c r="A640" s="3">
        <v>2024</v>
      </c>
      <c r="B640" s="3">
        <v>1</v>
      </c>
      <c r="C640" s="3">
        <v>17</v>
      </c>
      <c r="D640" s="2">
        <v>563</v>
      </c>
      <c r="E640" s="3" t="s">
        <v>1008</v>
      </c>
      <c r="F640" s="3">
        <v>1</v>
      </c>
      <c r="G640" s="3" t="s">
        <v>41</v>
      </c>
      <c r="H640" s="3" t="str">
        <f t="shared" si="28"/>
        <v>2013</v>
      </c>
      <c r="I640" s="3">
        <v>11</v>
      </c>
      <c r="J640" s="69"/>
      <c r="K640" t="s">
        <v>42</v>
      </c>
      <c r="L640" s="3" t="s">
        <v>318</v>
      </c>
      <c r="M640">
        <v>180.6</v>
      </c>
      <c r="N640" s="3">
        <v>561</v>
      </c>
      <c r="O640" s="3" t="str">
        <f t="shared" si="27"/>
        <v>2011</v>
      </c>
      <c r="P640" s="2">
        <v>563</v>
      </c>
    </row>
    <row r="641" spans="1:16" x14ac:dyDescent="0.35">
      <c r="A641" s="3">
        <v>2024</v>
      </c>
      <c r="B641" s="3">
        <v>2</v>
      </c>
      <c r="C641" s="3">
        <v>23</v>
      </c>
      <c r="D641" s="2">
        <v>640</v>
      </c>
      <c r="E641" s="3" t="s">
        <v>100</v>
      </c>
      <c r="F641" s="3">
        <v>1</v>
      </c>
      <c r="G641" s="3" t="s">
        <v>225</v>
      </c>
      <c r="H641" s="3" t="str">
        <f t="shared" si="28"/>
        <v>2022</v>
      </c>
      <c r="I641" s="3">
        <v>2</v>
      </c>
      <c r="J641" s="69"/>
      <c r="K641" t="s">
        <v>21</v>
      </c>
      <c r="L641" s="3">
        <v>2</v>
      </c>
      <c r="M641">
        <v>210.6</v>
      </c>
      <c r="N641" s="3">
        <v>561</v>
      </c>
      <c r="O641" s="3" t="str">
        <f t="shared" si="27"/>
        <v>2021</v>
      </c>
      <c r="P641" s="2">
        <v>640</v>
      </c>
    </row>
    <row r="642" spans="1:16" x14ac:dyDescent="0.35">
      <c r="A642" s="3">
        <v>2024</v>
      </c>
      <c r="B642" s="3">
        <v>4</v>
      </c>
      <c r="C642" s="3">
        <v>5</v>
      </c>
      <c r="D642" s="2">
        <v>652</v>
      </c>
      <c r="E642" s="3" t="s">
        <v>1079</v>
      </c>
      <c r="F642" s="3">
        <v>2</v>
      </c>
      <c r="G642" s="3" t="s">
        <v>225</v>
      </c>
      <c r="H642" s="3" t="str">
        <f t="shared" si="28"/>
        <v>2021</v>
      </c>
      <c r="I642" s="3">
        <v>3</v>
      </c>
      <c r="J642" s="69"/>
      <c r="K642" t="s">
        <v>76</v>
      </c>
      <c r="L642" s="3">
        <v>1</v>
      </c>
      <c r="M642">
        <v>16.02</v>
      </c>
      <c r="N642" s="3">
        <v>561</v>
      </c>
      <c r="O642" s="3" t="str">
        <f t="shared" ref="O642:O705" si="29">IF(G642="PHD", "2007", IF(G642="TSL", "2011", IF(G642 = "SRS", "2018", IF(G642="WCA 3B", "2017", IF(G642="WCA 3A", "2021")))))</f>
        <v>2021</v>
      </c>
      <c r="P642" s="2">
        <v>652</v>
      </c>
    </row>
    <row r="643" spans="1:16" x14ac:dyDescent="0.35">
      <c r="A643" s="3">
        <v>2024</v>
      </c>
      <c r="B643" s="3">
        <v>8</v>
      </c>
      <c r="C643" s="3">
        <v>9</v>
      </c>
      <c r="D643" s="2">
        <v>769</v>
      </c>
      <c r="E643" s="3" t="s">
        <v>1160</v>
      </c>
      <c r="F643" s="3">
        <v>3</v>
      </c>
      <c r="G643" s="3" t="s">
        <v>41</v>
      </c>
      <c r="H643" s="3" t="str">
        <f t="shared" si="28"/>
        <v>2013</v>
      </c>
      <c r="I643" s="3">
        <v>11</v>
      </c>
      <c r="J643" s="69"/>
      <c r="K643" s="6" t="s">
        <v>509</v>
      </c>
      <c r="L643" t="s">
        <v>458</v>
      </c>
      <c r="M643">
        <v>176.8</v>
      </c>
      <c r="N643" s="3">
        <v>561</v>
      </c>
      <c r="O643" s="3" t="str">
        <f t="shared" si="29"/>
        <v>2011</v>
      </c>
      <c r="P643" s="2">
        <v>769</v>
      </c>
    </row>
    <row r="644" spans="1:16" x14ac:dyDescent="0.35">
      <c r="A644" s="3">
        <v>2024</v>
      </c>
      <c r="B644" s="3">
        <v>3</v>
      </c>
      <c r="C644" s="3">
        <v>12</v>
      </c>
      <c r="D644" s="2">
        <v>685</v>
      </c>
      <c r="E644" s="3" t="s">
        <v>1106</v>
      </c>
      <c r="F644" s="3">
        <v>2</v>
      </c>
      <c r="G644" s="3" t="s">
        <v>45</v>
      </c>
      <c r="H644" s="3" t="str">
        <f t="shared" si="28"/>
        <v>2011</v>
      </c>
      <c r="I644" s="3">
        <v>13</v>
      </c>
      <c r="J644" s="69"/>
      <c r="K644" t="s">
        <v>1105</v>
      </c>
      <c r="L644" t="s">
        <v>317</v>
      </c>
      <c r="M644">
        <v>215.5</v>
      </c>
      <c r="N644" s="3">
        <v>562</v>
      </c>
      <c r="O644" s="3" t="str">
        <f t="shared" si="29"/>
        <v>2007</v>
      </c>
      <c r="P644" s="2">
        <v>685</v>
      </c>
    </row>
    <row r="645" spans="1:16" x14ac:dyDescent="0.35">
      <c r="A645" s="3">
        <v>2024</v>
      </c>
      <c r="B645" s="3">
        <v>8</v>
      </c>
      <c r="C645" s="2">
        <v>20</v>
      </c>
      <c r="D645" s="2">
        <v>763</v>
      </c>
      <c r="E645" s="3" t="s">
        <v>1155</v>
      </c>
      <c r="F645" s="3">
        <v>3</v>
      </c>
      <c r="G645" s="3" t="s">
        <v>226</v>
      </c>
      <c r="H645" s="3" t="str">
        <f t="shared" si="28"/>
        <v>2017</v>
      </c>
      <c r="I645" s="3">
        <v>7</v>
      </c>
      <c r="J645" s="69"/>
      <c r="K645" s="6" t="s">
        <v>228</v>
      </c>
      <c r="L645">
        <v>7</v>
      </c>
      <c r="M645">
        <v>177.2</v>
      </c>
      <c r="N645" s="3">
        <v>562</v>
      </c>
      <c r="O645" s="3" t="str">
        <f t="shared" si="29"/>
        <v>2017</v>
      </c>
      <c r="P645" s="2">
        <v>763</v>
      </c>
    </row>
    <row r="646" spans="1:16" x14ac:dyDescent="0.35">
      <c r="A646" s="3">
        <v>2019</v>
      </c>
      <c r="B646" s="3">
        <v>2</v>
      </c>
      <c r="C646" s="3">
        <v>21</v>
      </c>
      <c r="D646" s="2">
        <v>171</v>
      </c>
      <c r="E646" s="3" t="s">
        <v>620</v>
      </c>
      <c r="F646" s="3">
        <v>1</v>
      </c>
      <c r="G646" s="3" t="s">
        <v>45</v>
      </c>
      <c r="H646" s="3" t="str">
        <f t="shared" si="28"/>
        <v>2011</v>
      </c>
      <c r="I646" s="3">
        <v>8</v>
      </c>
      <c r="J646" s="69"/>
      <c r="K646" s="3" t="s">
        <v>615</v>
      </c>
      <c r="L646" s="3" t="s">
        <v>317</v>
      </c>
      <c r="M646" s="3">
        <v>16.600000000000001</v>
      </c>
      <c r="N646" s="3">
        <v>563</v>
      </c>
      <c r="O646" s="3" t="str">
        <f t="shared" si="29"/>
        <v>2007</v>
      </c>
      <c r="P646" s="2">
        <v>171</v>
      </c>
    </row>
    <row r="647" spans="1:16" x14ac:dyDescent="0.35">
      <c r="A647" s="3">
        <v>2021</v>
      </c>
      <c r="B647" s="3">
        <v>10</v>
      </c>
      <c r="C647" s="3">
        <v>11</v>
      </c>
      <c r="D647" s="2">
        <v>485</v>
      </c>
      <c r="E647" s="3" t="s">
        <v>940</v>
      </c>
      <c r="F647" s="3">
        <v>4</v>
      </c>
      <c r="G647" s="3" t="s">
        <v>226</v>
      </c>
      <c r="H647" s="3" t="str">
        <f t="shared" ref="H647:H710" si="30">IF(L647="A55","2009",IF(L647="A59","2009",IF(L647="A60","2010",IF(L647="A62","2011",IF(L647="CP","2013",IF(L647="MD","2012",IF(L647="TS","2013",IF(L647="DL","2018",IF(L647="SCU","2018",IF(L647="NCU","2018",IF(L647="C1C","2018",IF(L647="C1E","2018",IF(L647="RS1S","2018",IF(L647="C2B","2018",IF(L647="DB3","2018",IF(AND(L647=6,G647="SRS"),"2018",IF(AND(L647=7,G647="SRS"),"2020",IF(AND(L647=8,G647="SRS"),"2020",IF(L647=23,"2019",IF(AND(L647=7,G647="WCA 3B"),"2017",IF(AND(L647=8,G647="WCA 3B"),"2019",IF(L647=1,"2021",IF(L647=2,"2022",IF(L647=3,"2021",IF(L647=4,"2021",IF(L647=5,"2022",IF(AND(L647=6,G647="WCA 3A"),"2022",IF(L647=9,"2023",IF(L647=10,"2023",IF(L647=37,"2020"))))))))))))))))))))))))))))))</f>
        <v>2018</v>
      </c>
      <c r="I647" s="3">
        <v>3</v>
      </c>
      <c r="J647" s="69"/>
      <c r="K647" s="3" t="s">
        <v>51</v>
      </c>
      <c r="L647" s="3" t="s">
        <v>939</v>
      </c>
      <c r="M647" s="16">
        <v>210</v>
      </c>
      <c r="N647" s="3">
        <v>563</v>
      </c>
      <c r="O647" s="3" t="str">
        <f t="shared" si="29"/>
        <v>2017</v>
      </c>
      <c r="P647" s="2">
        <v>485</v>
      </c>
    </row>
    <row r="648" spans="1:16" x14ac:dyDescent="0.35">
      <c r="A648" s="3">
        <v>2023</v>
      </c>
      <c r="B648" s="3">
        <v>7</v>
      </c>
      <c r="C648" s="3">
        <v>31</v>
      </c>
      <c r="D648" s="2">
        <v>418</v>
      </c>
      <c r="E648" s="3" t="s">
        <v>881</v>
      </c>
      <c r="F648" s="3">
        <v>3</v>
      </c>
      <c r="G648" s="3" t="s">
        <v>225</v>
      </c>
      <c r="H648" s="3" t="str">
        <f t="shared" si="30"/>
        <v>2022</v>
      </c>
      <c r="I648" s="3">
        <v>1</v>
      </c>
      <c r="J648" s="69"/>
      <c r="K648" s="3" t="s">
        <v>58</v>
      </c>
      <c r="L648" s="3">
        <v>2</v>
      </c>
      <c r="M648" s="3">
        <v>212.9</v>
      </c>
      <c r="N648" s="3">
        <v>563.80000000000007</v>
      </c>
      <c r="O648" s="3" t="str">
        <f t="shared" si="29"/>
        <v>2021</v>
      </c>
      <c r="P648" s="2">
        <v>418</v>
      </c>
    </row>
    <row r="649" spans="1:16" x14ac:dyDescent="0.35">
      <c r="A649" s="3">
        <v>2022</v>
      </c>
      <c r="B649" s="3">
        <v>1</v>
      </c>
      <c r="C649" s="3" t="s">
        <v>28</v>
      </c>
      <c r="D649" s="2">
        <v>10</v>
      </c>
      <c r="E649" s="3" t="s">
        <v>453</v>
      </c>
      <c r="F649" s="3">
        <v>1</v>
      </c>
      <c r="G649" s="3" t="s">
        <v>41</v>
      </c>
      <c r="H649" s="3" t="str">
        <f t="shared" si="30"/>
        <v>2013</v>
      </c>
      <c r="I649" s="3">
        <v>9</v>
      </c>
      <c r="J649" s="69"/>
      <c r="K649" s="3" t="s">
        <v>318</v>
      </c>
      <c r="L649" s="3" t="s">
        <v>318</v>
      </c>
      <c r="M649" s="3">
        <v>174.7</v>
      </c>
      <c r="N649" s="3">
        <v>566</v>
      </c>
      <c r="O649" s="3" t="str">
        <f t="shared" si="29"/>
        <v>2011</v>
      </c>
      <c r="P649" s="2">
        <v>10</v>
      </c>
    </row>
    <row r="650" spans="1:16" x14ac:dyDescent="0.35">
      <c r="A650" s="3">
        <v>2016</v>
      </c>
      <c r="B650" s="3">
        <v>9</v>
      </c>
      <c r="C650" s="3">
        <v>2</v>
      </c>
      <c r="D650" s="2">
        <v>296</v>
      </c>
      <c r="E650" s="3" t="s">
        <v>762</v>
      </c>
      <c r="F650" s="3">
        <v>3</v>
      </c>
      <c r="G650" s="3" t="s">
        <v>41</v>
      </c>
      <c r="H650" s="3" t="str">
        <f t="shared" si="30"/>
        <v>2013</v>
      </c>
      <c r="I650" s="3">
        <v>3</v>
      </c>
      <c r="J650" s="69"/>
      <c r="K650" s="3" t="s">
        <v>583</v>
      </c>
      <c r="L650" s="3" t="s">
        <v>318</v>
      </c>
      <c r="M650" s="3">
        <v>168.6</v>
      </c>
      <c r="N650" s="3">
        <v>566</v>
      </c>
      <c r="O650" s="3" t="str">
        <f t="shared" si="29"/>
        <v>2011</v>
      </c>
      <c r="P650" s="2">
        <v>296</v>
      </c>
    </row>
    <row r="651" spans="1:16" x14ac:dyDescent="0.35">
      <c r="A651" s="3">
        <v>2024</v>
      </c>
      <c r="B651" s="3">
        <v>8</v>
      </c>
      <c r="C651" s="3">
        <v>13</v>
      </c>
      <c r="D651" s="2">
        <v>758</v>
      </c>
      <c r="E651" s="3" t="s">
        <v>268</v>
      </c>
      <c r="F651" s="3">
        <v>3</v>
      </c>
      <c r="G651" s="3" t="s">
        <v>225</v>
      </c>
      <c r="H651" s="3" t="str">
        <f t="shared" si="30"/>
        <v>2021</v>
      </c>
      <c r="I651" s="3">
        <v>3</v>
      </c>
      <c r="J651" s="69"/>
      <c r="K651" s="6" t="s">
        <v>1076</v>
      </c>
      <c r="L651">
        <v>3</v>
      </c>
      <c r="M651">
        <v>205.8</v>
      </c>
      <c r="N651" s="3">
        <v>566</v>
      </c>
      <c r="O651" s="3" t="str">
        <f t="shared" si="29"/>
        <v>2021</v>
      </c>
      <c r="P651" s="2">
        <v>758</v>
      </c>
    </row>
    <row r="652" spans="1:16" x14ac:dyDescent="0.35">
      <c r="A652" s="3">
        <v>2019</v>
      </c>
      <c r="B652" s="3">
        <v>11</v>
      </c>
      <c r="C652" s="3">
        <v>27</v>
      </c>
      <c r="D652" s="2">
        <v>38</v>
      </c>
      <c r="E652" s="3" t="s">
        <v>480</v>
      </c>
      <c r="F652" s="3">
        <v>4</v>
      </c>
      <c r="G652" s="3" t="s">
        <v>45</v>
      </c>
      <c r="H652" s="3" t="str">
        <f t="shared" si="30"/>
        <v>2011</v>
      </c>
      <c r="I652" s="3">
        <v>8</v>
      </c>
      <c r="J652" s="69"/>
      <c r="K652" s="3" t="s">
        <v>317</v>
      </c>
      <c r="L652" s="3" t="s">
        <v>317</v>
      </c>
      <c r="M652" s="3">
        <v>187.2</v>
      </c>
      <c r="N652" s="3">
        <v>568</v>
      </c>
      <c r="O652" s="3" t="str">
        <f t="shared" si="29"/>
        <v>2007</v>
      </c>
      <c r="P652" s="2">
        <v>38</v>
      </c>
    </row>
    <row r="653" spans="1:16" x14ac:dyDescent="0.35">
      <c r="A653" s="3">
        <v>2016</v>
      </c>
      <c r="B653" s="3">
        <v>11</v>
      </c>
      <c r="C653" s="3">
        <v>7</v>
      </c>
      <c r="D653" s="2">
        <v>205</v>
      </c>
      <c r="E653" s="3" t="s">
        <v>659</v>
      </c>
      <c r="F653" s="3">
        <v>4</v>
      </c>
      <c r="G653" s="3" t="s">
        <v>45</v>
      </c>
      <c r="H653" s="3" t="str">
        <f t="shared" si="30"/>
        <v>2009</v>
      </c>
      <c r="I653" s="3">
        <v>7</v>
      </c>
      <c r="J653" s="69"/>
      <c r="K653" s="3" t="s">
        <v>657</v>
      </c>
      <c r="L653" s="3" t="s">
        <v>488</v>
      </c>
      <c r="M653" s="3">
        <v>197.1</v>
      </c>
      <c r="N653" s="3">
        <v>568</v>
      </c>
      <c r="O653" s="3" t="str">
        <f t="shared" si="29"/>
        <v>2007</v>
      </c>
      <c r="P653" s="2">
        <v>205</v>
      </c>
    </row>
    <row r="654" spans="1:16" x14ac:dyDescent="0.35">
      <c r="A654" s="3">
        <v>2017</v>
      </c>
      <c r="B654" s="3">
        <v>7</v>
      </c>
      <c r="C654" s="3">
        <v>8</v>
      </c>
      <c r="D654" s="2">
        <v>92</v>
      </c>
      <c r="E654" s="14" t="s">
        <v>537</v>
      </c>
      <c r="F654" s="15">
        <v>3</v>
      </c>
      <c r="G654" s="3" t="s">
        <v>41</v>
      </c>
      <c r="H654" s="3" t="str">
        <f t="shared" si="30"/>
        <v>2013</v>
      </c>
      <c r="I654" s="3">
        <v>4</v>
      </c>
      <c r="J654" s="69"/>
      <c r="K654" s="3" t="s">
        <v>318</v>
      </c>
      <c r="L654" s="3" t="s">
        <v>318</v>
      </c>
      <c r="M654" s="3">
        <v>168.6</v>
      </c>
      <c r="N654" s="3">
        <v>570</v>
      </c>
      <c r="O654" s="3" t="str">
        <f t="shared" si="29"/>
        <v>2011</v>
      </c>
      <c r="P654" s="2">
        <v>92</v>
      </c>
    </row>
    <row r="655" spans="1:16" x14ac:dyDescent="0.35">
      <c r="A655" s="3">
        <v>2016</v>
      </c>
      <c r="B655" s="3">
        <v>11</v>
      </c>
      <c r="C655" s="3">
        <v>8</v>
      </c>
      <c r="D655" s="2">
        <v>195</v>
      </c>
      <c r="E655" s="3" t="s">
        <v>648</v>
      </c>
      <c r="F655" s="3">
        <v>4</v>
      </c>
      <c r="G655" s="3" t="s">
        <v>45</v>
      </c>
      <c r="H655" s="3" t="str">
        <f t="shared" si="30"/>
        <v>2011</v>
      </c>
      <c r="I655" s="3">
        <v>5</v>
      </c>
      <c r="J655" s="69"/>
      <c r="K655" s="3" t="s">
        <v>647</v>
      </c>
      <c r="L655" s="3" t="s">
        <v>317</v>
      </c>
      <c r="M655" s="3">
        <v>199.7</v>
      </c>
      <c r="N655" s="3">
        <v>570</v>
      </c>
      <c r="O655" s="3" t="str">
        <f t="shared" si="29"/>
        <v>2007</v>
      </c>
      <c r="P655" s="2">
        <v>195</v>
      </c>
    </row>
    <row r="656" spans="1:16" x14ac:dyDescent="0.35">
      <c r="A656" s="3">
        <v>2023</v>
      </c>
      <c r="B656" s="3">
        <v>7</v>
      </c>
      <c r="C656" s="3">
        <v>31</v>
      </c>
      <c r="D656" s="2">
        <v>417</v>
      </c>
      <c r="E656" s="3" t="s">
        <v>57</v>
      </c>
      <c r="F656" s="3">
        <v>3</v>
      </c>
      <c r="G656" s="3" t="s">
        <v>225</v>
      </c>
      <c r="H656" s="3" t="str">
        <f t="shared" si="30"/>
        <v>2022</v>
      </c>
      <c r="I656" s="3">
        <v>1</v>
      </c>
      <c r="J656" s="69"/>
      <c r="K656" s="3" t="s">
        <v>58</v>
      </c>
      <c r="L656" s="3">
        <v>2</v>
      </c>
      <c r="M656" s="3">
        <v>20.6</v>
      </c>
      <c r="N656" s="3">
        <v>571.5</v>
      </c>
      <c r="O656" s="3" t="str">
        <f t="shared" si="29"/>
        <v>2021</v>
      </c>
      <c r="P656" s="2">
        <v>417</v>
      </c>
    </row>
    <row r="657" spans="1:20" x14ac:dyDescent="0.35">
      <c r="A657" s="3">
        <v>2022</v>
      </c>
      <c r="B657" s="3">
        <v>1</v>
      </c>
      <c r="C657" s="3" t="s">
        <v>28</v>
      </c>
      <c r="D657" s="2">
        <v>9</v>
      </c>
      <c r="E657" s="3" t="s">
        <v>452</v>
      </c>
      <c r="F657" s="3">
        <v>1</v>
      </c>
      <c r="G657" s="3" t="s">
        <v>41</v>
      </c>
      <c r="H657" s="3" t="str">
        <f t="shared" si="30"/>
        <v>2013</v>
      </c>
      <c r="I657" s="3">
        <v>9</v>
      </c>
      <c r="J657" s="69"/>
      <c r="K657" s="3" t="s">
        <v>318</v>
      </c>
      <c r="L657" s="3" t="s">
        <v>318</v>
      </c>
      <c r="M657" s="3">
        <v>25</v>
      </c>
      <c r="N657" s="3">
        <v>572</v>
      </c>
      <c r="O657" s="3" t="str">
        <f t="shared" si="29"/>
        <v>2011</v>
      </c>
      <c r="P657" s="2">
        <v>9</v>
      </c>
    </row>
    <row r="658" spans="1:20" x14ac:dyDescent="0.35">
      <c r="A658" s="3">
        <v>2016</v>
      </c>
      <c r="B658" s="3">
        <v>11</v>
      </c>
      <c r="C658" s="3">
        <v>8</v>
      </c>
      <c r="D658" s="2">
        <v>189</v>
      </c>
      <c r="E658" s="3" t="s">
        <v>640</v>
      </c>
      <c r="F658" s="3">
        <v>4</v>
      </c>
      <c r="G658" s="3" t="s">
        <v>45</v>
      </c>
      <c r="H658" s="3" t="str">
        <f t="shared" si="30"/>
        <v>2011</v>
      </c>
      <c r="I658" s="3">
        <v>5</v>
      </c>
      <c r="J658" s="69"/>
      <c r="K658" s="3" t="s">
        <v>46</v>
      </c>
      <c r="L658" s="3" t="s">
        <v>317</v>
      </c>
      <c r="M658" s="3">
        <v>188.3</v>
      </c>
      <c r="N658" s="3">
        <v>572</v>
      </c>
      <c r="O658" s="3" t="str">
        <f t="shared" si="29"/>
        <v>2007</v>
      </c>
      <c r="P658" s="2">
        <v>189</v>
      </c>
    </row>
    <row r="659" spans="1:20" x14ac:dyDescent="0.35">
      <c r="A659" s="3">
        <v>2021</v>
      </c>
      <c r="B659" s="3">
        <v>10</v>
      </c>
      <c r="C659" s="3">
        <v>11</v>
      </c>
      <c r="D659" s="2">
        <v>476</v>
      </c>
      <c r="E659" s="3" t="s">
        <v>107</v>
      </c>
      <c r="F659" s="3">
        <v>4</v>
      </c>
      <c r="G659" s="3" t="s">
        <v>226</v>
      </c>
      <c r="H659" s="3" t="str">
        <f t="shared" si="30"/>
        <v>2018</v>
      </c>
      <c r="I659" s="3">
        <v>3</v>
      </c>
      <c r="J659" s="69"/>
      <c r="K659" s="3" t="s">
        <v>51</v>
      </c>
      <c r="L659" s="3" t="s">
        <v>929</v>
      </c>
      <c r="M659" s="16">
        <v>185</v>
      </c>
      <c r="N659" s="3">
        <v>572</v>
      </c>
      <c r="O659" s="3" t="str">
        <f t="shared" si="29"/>
        <v>2017</v>
      </c>
      <c r="P659" s="2">
        <v>476</v>
      </c>
    </row>
    <row r="660" spans="1:20" x14ac:dyDescent="0.35">
      <c r="A660" s="3">
        <v>2024</v>
      </c>
      <c r="B660" s="3">
        <v>3</v>
      </c>
      <c r="C660" s="3">
        <v>29</v>
      </c>
      <c r="D660" s="2">
        <v>663</v>
      </c>
      <c r="E660" s="3" t="s">
        <v>1084</v>
      </c>
      <c r="F660" s="3">
        <v>2</v>
      </c>
      <c r="G660" s="3" t="s">
        <v>41</v>
      </c>
      <c r="H660" s="3" t="str">
        <f t="shared" si="30"/>
        <v>2012</v>
      </c>
      <c r="I660" s="3">
        <v>12</v>
      </c>
      <c r="J660" s="69"/>
      <c r="K660" t="s">
        <v>551</v>
      </c>
      <c r="L660" t="s">
        <v>461</v>
      </c>
      <c r="M660">
        <v>208.4</v>
      </c>
      <c r="N660" s="3">
        <v>573</v>
      </c>
      <c r="O660" s="3" t="str">
        <f t="shared" si="29"/>
        <v>2011</v>
      </c>
      <c r="P660" s="2">
        <v>663</v>
      </c>
    </row>
    <row r="661" spans="1:20" x14ac:dyDescent="0.35">
      <c r="A661" s="3">
        <v>2019</v>
      </c>
      <c r="B661" s="3">
        <v>10</v>
      </c>
      <c r="C661" s="3">
        <v>29</v>
      </c>
      <c r="D661" s="2">
        <v>405</v>
      </c>
      <c r="E661" s="3" t="s">
        <v>50</v>
      </c>
      <c r="F661" s="3">
        <v>4</v>
      </c>
      <c r="G661" s="3" t="s">
        <v>226</v>
      </c>
      <c r="H661" s="3" t="str">
        <f t="shared" si="30"/>
        <v>2017</v>
      </c>
      <c r="I661" s="3">
        <v>2</v>
      </c>
      <c r="J661" s="69"/>
      <c r="K661" s="3">
        <v>7</v>
      </c>
      <c r="L661" s="3">
        <v>7</v>
      </c>
      <c r="M661" s="3">
        <v>164.8</v>
      </c>
      <c r="N661" s="3">
        <v>574</v>
      </c>
      <c r="O661" s="3" t="str">
        <f t="shared" si="29"/>
        <v>2017</v>
      </c>
      <c r="P661" s="2">
        <v>405</v>
      </c>
    </row>
    <row r="662" spans="1:20" x14ac:dyDescent="0.35">
      <c r="A662" s="3">
        <v>2024</v>
      </c>
      <c r="B662">
        <v>8</v>
      </c>
      <c r="C662" s="3">
        <v>9</v>
      </c>
      <c r="D662" s="2">
        <v>856</v>
      </c>
      <c r="E662" s="3" t="s">
        <v>1186</v>
      </c>
      <c r="F662" s="3">
        <v>3</v>
      </c>
      <c r="G662" t="s">
        <v>41</v>
      </c>
      <c r="H662" s="3" t="str">
        <f t="shared" si="30"/>
        <v>2013</v>
      </c>
      <c r="I662" s="3">
        <v>11</v>
      </c>
      <c r="J662" s="69"/>
      <c r="K662" t="s">
        <v>42</v>
      </c>
      <c r="L662" t="s">
        <v>318</v>
      </c>
      <c r="M662">
        <v>210.7</v>
      </c>
      <c r="N662" s="3">
        <v>574</v>
      </c>
      <c r="O662" s="3" t="str">
        <f t="shared" si="29"/>
        <v>2011</v>
      </c>
      <c r="P662" s="2">
        <v>856</v>
      </c>
    </row>
    <row r="663" spans="1:20" x14ac:dyDescent="0.35">
      <c r="A663" s="3">
        <v>2016</v>
      </c>
      <c r="B663" s="3">
        <v>8</v>
      </c>
      <c r="C663" s="3">
        <v>30</v>
      </c>
      <c r="D663" s="2">
        <v>269</v>
      </c>
      <c r="E663" s="3" t="s">
        <v>730</v>
      </c>
      <c r="F663" s="3">
        <v>3</v>
      </c>
      <c r="G663" s="3" t="s">
        <v>45</v>
      </c>
      <c r="H663" s="3" t="str">
        <f t="shared" si="30"/>
        <v>2009</v>
      </c>
      <c r="I663" s="3">
        <v>7</v>
      </c>
      <c r="J663" s="69"/>
      <c r="K663" s="3" t="s">
        <v>731</v>
      </c>
      <c r="L663" s="3" t="s">
        <v>512</v>
      </c>
      <c r="M663" s="3">
        <v>202.3</v>
      </c>
      <c r="N663" s="3">
        <v>575</v>
      </c>
      <c r="O663" s="3" t="str">
        <f t="shared" si="29"/>
        <v>2007</v>
      </c>
      <c r="P663" s="2">
        <v>269</v>
      </c>
    </row>
    <row r="664" spans="1:20" x14ac:dyDescent="0.35">
      <c r="A664" s="3">
        <v>2024</v>
      </c>
      <c r="B664">
        <v>8</v>
      </c>
      <c r="C664" s="3">
        <v>19</v>
      </c>
      <c r="D664" s="2">
        <v>824</v>
      </c>
      <c r="E664" s="3" t="s">
        <v>306</v>
      </c>
      <c r="F664" s="3">
        <v>3</v>
      </c>
      <c r="G664" s="3" t="s">
        <v>225</v>
      </c>
      <c r="H664" s="3" t="str">
        <f t="shared" si="30"/>
        <v>2021</v>
      </c>
      <c r="I664" s="3">
        <v>3</v>
      </c>
      <c r="J664" s="69"/>
      <c r="K664">
        <v>3</v>
      </c>
      <c r="L664">
        <v>3</v>
      </c>
      <c r="M664">
        <v>217.5</v>
      </c>
      <c r="N664" s="3">
        <v>575</v>
      </c>
      <c r="O664" s="3" t="str">
        <f t="shared" si="29"/>
        <v>2021</v>
      </c>
      <c r="P664" s="2">
        <v>824</v>
      </c>
    </row>
    <row r="665" spans="1:20" x14ac:dyDescent="0.35">
      <c r="A665" s="3">
        <v>2024</v>
      </c>
      <c r="B665">
        <v>8</v>
      </c>
      <c r="C665" s="3">
        <v>16</v>
      </c>
      <c r="D665" s="2">
        <v>859</v>
      </c>
      <c r="E665" s="3" t="s">
        <v>314</v>
      </c>
      <c r="F665" s="3">
        <v>3</v>
      </c>
      <c r="G665" t="s">
        <v>225</v>
      </c>
      <c r="H665" s="3" t="str">
        <f t="shared" si="30"/>
        <v>2022</v>
      </c>
      <c r="I665" s="3">
        <v>2</v>
      </c>
      <c r="J665" s="69"/>
      <c r="K665" t="s">
        <v>896</v>
      </c>
      <c r="L665">
        <v>5</v>
      </c>
      <c r="M665">
        <v>196</v>
      </c>
      <c r="N665" s="3">
        <v>575</v>
      </c>
      <c r="O665" s="3" t="str">
        <f t="shared" si="29"/>
        <v>2021</v>
      </c>
      <c r="P665" s="2">
        <v>859</v>
      </c>
    </row>
    <row r="666" spans="1:20" x14ac:dyDescent="0.35">
      <c r="A666" s="3">
        <v>2018</v>
      </c>
      <c r="B666" s="3">
        <v>8</v>
      </c>
      <c r="C666" s="3">
        <v>16</v>
      </c>
      <c r="D666" s="2">
        <v>326</v>
      </c>
      <c r="E666" s="3" t="s">
        <v>793</v>
      </c>
      <c r="F666" s="3">
        <v>3</v>
      </c>
      <c r="G666" s="3" t="s">
        <v>45</v>
      </c>
      <c r="H666" s="3" t="str">
        <f t="shared" si="30"/>
        <v>2011</v>
      </c>
      <c r="I666" s="3">
        <v>7</v>
      </c>
      <c r="J666" s="69"/>
      <c r="K666" s="3" t="s">
        <v>647</v>
      </c>
      <c r="L666" s="3" t="s">
        <v>317</v>
      </c>
      <c r="M666" s="3">
        <v>157.69999999999999</v>
      </c>
      <c r="N666" s="3">
        <v>576</v>
      </c>
      <c r="O666" s="3" t="str">
        <f t="shared" si="29"/>
        <v>2007</v>
      </c>
      <c r="P666" s="2">
        <v>326</v>
      </c>
    </row>
    <row r="667" spans="1:20" x14ac:dyDescent="0.35">
      <c r="A667" s="3">
        <v>2023</v>
      </c>
      <c r="B667" s="3">
        <v>2</v>
      </c>
      <c r="C667" s="3">
        <v>8</v>
      </c>
      <c r="D667" s="2">
        <v>160</v>
      </c>
      <c r="E667" s="3" t="s">
        <v>606</v>
      </c>
      <c r="F667" s="3">
        <v>1</v>
      </c>
      <c r="G667" s="3" t="s">
        <v>225</v>
      </c>
      <c r="H667" s="3" t="str">
        <f t="shared" si="30"/>
        <v>2022</v>
      </c>
      <c r="I667" s="3">
        <v>1</v>
      </c>
      <c r="J667" s="69"/>
      <c r="K667" s="3">
        <v>5</v>
      </c>
      <c r="L667" s="3">
        <v>5</v>
      </c>
      <c r="M667" s="3">
        <v>221.8</v>
      </c>
      <c r="N667" s="3">
        <v>577</v>
      </c>
      <c r="O667" s="3" t="str">
        <f t="shared" si="29"/>
        <v>2021</v>
      </c>
      <c r="P667" s="2">
        <v>160</v>
      </c>
    </row>
    <row r="668" spans="1:20" x14ac:dyDescent="0.35">
      <c r="A668" s="3">
        <v>2016</v>
      </c>
      <c r="B668" s="3">
        <v>8</v>
      </c>
      <c r="C668" s="3">
        <v>31</v>
      </c>
      <c r="D668" s="2">
        <v>275</v>
      </c>
      <c r="E668" s="3" t="s">
        <v>737</v>
      </c>
      <c r="F668" s="3">
        <v>3</v>
      </c>
      <c r="G668" s="3" t="s">
        <v>45</v>
      </c>
      <c r="H668" s="3" t="str">
        <f t="shared" si="30"/>
        <v>2009</v>
      </c>
      <c r="I668" s="3">
        <v>7</v>
      </c>
      <c r="J668" s="69"/>
      <c r="K668" s="3" t="s">
        <v>644</v>
      </c>
      <c r="L668" s="3" t="s">
        <v>488</v>
      </c>
      <c r="M668" s="3">
        <v>188.6</v>
      </c>
      <c r="N668" s="3">
        <v>580</v>
      </c>
      <c r="O668" s="3" t="str">
        <f t="shared" si="29"/>
        <v>2007</v>
      </c>
      <c r="P668" s="2">
        <v>275</v>
      </c>
      <c r="Q668" s="2">
        <v>13.66</v>
      </c>
      <c r="T668">
        <v>6.73</v>
      </c>
    </row>
    <row r="669" spans="1:20" x14ac:dyDescent="0.35">
      <c r="A669" s="3">
        <v>2017</v>
      </c>
      <c r="B669" s="3">
        <v>11</v>
      </c>
      <c r="C669" s="3">
        <v>13</v>
      </c>
      <c r="D669" s="2">
        <v>69</v>
      </c>
      <c r="E669" s="14" t="s">
        <v>514</v>
      </c>
      <c r="F669" s="15">
        <v>4</v>
      </c>
      <c r="G669" s="3" t="s">
        <v>41</v>
      </c>
      <c r="H669" s="3" t="str">
        <f t="shared" si="30"/>
        <v>2013</v>
      </c>
      <c r="I669" s="3">
        <v>4</v>
      </c>
      <c r="J669" s="69"/>
      <c r="K669" s="3" t="s">
        <v>42</v>
      </c>
      <c r="L669" s="3" t="s">
        <v>318</v>
      </c>
      <c r="M669" s="3">
        <v>189.4</v>
      </c>
      <c r="N669" s="3">
        <v>580</v>
      </c>
      <c r="O669" s="3" t="str">
        <f t="shared" si="29"/>
        <v>2011</v>
      </c>
      <c r="P669" s="2">
        <v>69</v>
      </c>
    </row>
    <row r="670" spans="1:20" x14ac:dyDescent="0.35">
      <c r="A670" s="3">
        <v>2018</v>
      </c>
      <c r="B670" s="3">
        <v>8</v>
      </c>
      <c r="C670" s="3">
        <v>15</v>
      </c>
      <c r="D670" s="2">
        <v>307</v>
      </c>
      <c r="E670" s="3" t="s">
        <v>773</v>
      </c>
      <c r="F670" s="3">
        <v>3</v>
      </c>
      <c r="G670" s="3" t="s">
        <v>41</v>
      </c>
      <c r="H670" s="3" t="str">
        <f t="shared" si="30"/>
        <v>2013</v>
      </c>
      <c r="I670" s="3">
        <v>5</v>
      </c>
      <c r="J670" s="69"/>
      <c r="K670" s="3" t="s">
        <v>49</v>
      </c>
      <c r="L670" s="3" t="s">
        <v>318</v>
      </c>
      <c r="M670" s="3">
        <v>199.3</v>
      </c>
      <c r="N670" s="3">
        <v>584</v>
      </c>
      <c r="O670" s="3" t="str">
        <f t="shared" si="29"/>
        <v>2011</v>
      </c>
      <c r="P670" s="2">
        <v>307</v>
      </c>
    </row>
    <row r="671" spans="1:20" x14ac:dyDescent="0.35">
      <c r="A671" s="3">
        <v>2021</v>
      </c>
      <c r="B671" s="3">
        <v>10</v>
      </c>
      <c r="C671" s="3" t="s">
        <v>28</v>
      </c>
      <c r="D671" s="2">
        <v>27</v>
      </c>
      <c r="E671" s="3" t="s">
        <v>469</v>
      </c>
      <c r="F671" s="3">
        <v>4</v>
      </c>
      <c r="G671" s="3" t="s">
        <v>41</v>
      </c>
      <c r="H671" s="3" t="str">
        <f t="shared" si="30"/>
        <v>2012</v>
      </c>
      <c r="I671" s="3">
        <v>9</v>
      </c>
      <c r="J671" s="69"/>
      <c r="K671" s="3" t="s">
        <v>461</v>
      </c>
      <c r="L671" s="3" t="s">
        <v>461</v>
      </c>
      <c r="M671" s="3">
        <v>205.7</v>
      </c>
      <c r="N671" s="3">
        <v>587</v>
      </c>
      <c r="O671" s="3" t="str">
        <f t="shared" si="29"/>
        <v>2011</v>
      </c>
      <c r="P671" s="2">
        <v>27</v>
      </c>
    </row>
    <row r="672" spans="1:20" x14ac:dyDescent="0.35">
      <c r="A672" s="3">
        <v>2024</v>
      </c>
      <c r="B672">
        <v>8</v>
      </c>
      <c r="C672" s="3">
        <v>19</v>
      </c>
      <c r="D672" s="2">
        <v>821</v>
      </c>
      <c r="E672" s="3" t="s">
        <v>303</v>
      </c>
      <c r="F672" s="3">
        <v>3</v>
      </c>
      <c r="G672" s="3" t="s">
        <v>225</v>
      </c>
      <c r="H672" s="3" t="str">
        <f t="shared" si="30"/>
        <v>2021</v>
      </c>
      <c r="I672" s="3">
        <v>3</v>
      </c>
      <c r="J672" s="69"/>
      <c r="K672">
        <v>3</v>
      </c>
      <c r="L672">
        <v>3</v>
      </c>
      <c r="M672">
        <v>243.9</v>
      </c>
      <c r="N672" s="3">
        <v>587</v>
      </c>
      <c r="O672" s="3" t="str">
        <f t="shared" si="29"/>
        <v>2021</v>
      </c>
      <c r="P672" s="2">
        <v>821</v>
      </c>
    </row>
    <row r="673" spans="1:20" x14ac:dyDescent="0.35">
      <c r="A673" s="3">
        <v>2021</v>
      </c>
      <c r="B673" s="3" t="s">
        <v>28</v>
      </c>
      <c r="C673" s="3" t="s">
        <v>28</v>
      </c>
      <c r="D673" s="2">
        <v>475</v>
      </c>
      <c r="E673" s="3" t="s">
        <v>932</v>
      </c>
      <c r="F673" s="3" t="s">
        <v>28</v>
      </c>
      <c r="G673" s="3" t="s">
        <v>226</v>
      </c>
      <c r="H673" s="3" t="str">
        <f t="shared" si="30"/>
        <v>2018</v>
      </c>
      <c r="I673" s="3">
        <v>3</v>
      </c>
      <c r="J673" s="69"/>
      <c r="K673" s="3" t="s">
        <v>51</v>
      </c>
      <c r="L673" s="3" t="s">
        <v>916</v>
      </c>
      <c r="M673" s="16">
        <v>235</v>
      </c>
      <c r="N673" s="3">
        <v>588</v>
      </c>
      <c r="O673" s="3" t="str">
        <f t="shared" si="29"/>
        <v>2017</v>
      </c>
      <c r="P673" s="2">
        <v>475</v>
      </c>
    </row>
    <row r="674" spans="1:20" x14ac:dyDescent="0.35">
      <c r="A674" s="3">
        <v>2024</v>
      </c>
      <c r="B674" s="3">
        <v>8</v>
      </c>
      <c r="C674" s="3">
        <v>14</v>
      </c>
      <c r="D674" s="2">
        <v>696</v>
      </c>
      <c r="E674" s="3" t="s">
        <v>1115</v>
      </c>
      <c r="F674" s="3">
        <v>3</v>
      </c>
      <c r="G674" s="3" t="s">
        <v>225</v>
      </c>
      <c r="H674" s="3" t="str">
        <f t="shared" si="30"/>
        <v>2021</v>
      </c>
      <c r="I674" s="3">
        <v>3</v>
      </c>
      <c r="J674" s="69"/>
      <c r="K674" t="s">
        <v>1018</v>
      </c>
      <c r="L674">
        <v>1</v>
      </c>
      <c r="M674">
        <v>179.2</v>
      </c>
      <c r="N674" s="3">
        <v>588</v>
      </c>
      <c r="O674" s="3" t="str">
        <f t="shared" si="29"/>
        <v>2021</v>
      </c>
      <c r="P674" s="2">
        <v>696</v>
      </c>
    </row>
    <row r="675" spans="1:20" x14ac:dyDescent="0.35">
      <c r="A675" s="3">
        <v>2019</v>
      </c>
      <c r="B675" s="3">
        <v>11</v>
      </c>
      <c r="C675" s="3">
        <v>27</v>
      </c>
      <c r="D675" s="2">
        <v>41</v>
      </c>
      <c r="E675" s="3" t="s">
        <v>483</v>
      </c>
      <c r="F675" s="3">
        <v>4</v>
      </c>
      <c r="G675" s="3" t="s">
        <v>45</v>
      </c>
      <c r="H675" s="3" t="str">
        <f t="shared" si="30"/>
        <v>2011</v>
      </c>
      <c r="I675" s="3">
        <v>8</v>
      </c>
      <c r="J675" s="69"/>
      <c r="K675" s="3" t="s">
        <v>317</v>
      </c>
      <c r="L675" s="3" t="s">
        <v>317</v>
      </c>
      <c r="M675" s="3">
        <v>229.6</v>
      </c>
      <c r="N675" s="3">
        <v>591</v>
      </c>
      <c r="O675" s="3" t="str">
        <f t="shared" si="29"/>
        <v>2007</v>
      </c>
      <c r="P675" s="2">
        <v>41</v>
      </c>
    </row>
    <row r="676" spans="1:20" x14ac:dyDescent="0.35">
      <c r="A676" s="3">
        <v>2023</v>
      </c>
      <c r="B676" s="3">
        <v>7</v>
      </c>
      <c r="C676" s="3">
        <v>31</v>
      </c>
      <c r="D676" s="2">
        <v>416</v>
      </c>
      <c r="E676" s="3" t="s">
        <v>880</v>
      </c>
      <c r="F676" s="3">
        <v>3</v>
      </c>
      <c r="G676" s="3" t="s">
        <v>225</v>
      </c>
      <c r="H676" s="3" t="str">
        <f t="shared" si="30"/>
        <v>2022</v>
      </c>
      <c r="I676" s="3">
        <v>1</v>
      </c>
      <c r="J676" s="69"/>
      <c r="K676" s="3" t="s">
        <v>58</v>
      </c>
      <c r="L676" s="3">
        <v>2</v>
      </c>
      <c r="M676" s="3">
        <v>24.9</v>
      </c>
      <c r="N676" s="3">
        <v>591</v>
      </c>
      <c r="O676" s="3" t="str">
        <f t="shared" si="29"/>
        <v>2021</v>
      </c>
      <c r="P676" s="2">
        <v>416</v>
      </c>
    </row>
    <row r="677" spans="1:20" x14ac:dyDescent="0.35">
      <c r="A677" s="3">
        <v>2022</v>
      </c>
      <c r="B677" s="3">
        <v>3</v>
      </c>
      <c r="C677" s="3" t="s">
        <v>28</v>
      </c>
      <c r="D677" s="2">
        <v>37</v>
      </c>
      <c r="E677" s="3" t="s">
        <v>479</v>
      </c>
      <c r="F677" s="3">
        <v>2</v>
      </c>
      <c r="G677" s="3" t="s">
        <v>20</v>
      </c>
      <c r="H677" s="3" t="str">
        <f t="shared" si="30"/>
        <v>2018</v>
      </c>
      <c r="I677" s="3">
        <v>4</v>
      </c>
      <c r="J677" s="69"/>
      <c r="K677" s="3">
        <v>6</v>
      </c>
      <c r="L677" s="3">
        <v>6</v>
      </c>
      <c r="M677" s="3">
        <v>297.3</v>
      </c>
      <c r="N677" s="3">
        <v>592</v>
      </c>
      <c r="O677" s="3" t="str">
        <f t="shared" si="29"/>
        <v>2018</v>
      </c>
      <c r="P677" s="2">
        <v>37</v>
      </c>
    </row>
    <row r="678" spans="1:20" x14ac:dyDescent="0.35">
      <c r="A678" s="3">
        <v>2019</v>
      </c>
      <c r="B678" s="3">
        <v>8</v>
      </c>
      <c r="C678" s="3">
        <v>6</v>
      </c>
      <c r="D678" s="2">
        <v>317</v>
      </c>
      <c r="E678" s="3" t="s">
        <v>784</v>
      </c>
      <c r="F678" s="3">
        <v>3</v>
      </c>
      <c r="G678" s="3" t="s">
        <v>226</v>
      </c>
      <c r="H678" s="3" t="str">
        <f t="shared" si="30"/>
        <v>2017</v>
      </c>
      <c r="I678" s="3">
        <v>2</v>
      </c>
      <c r="J678" s="69"/>
      <c r="K678" s="3" t="s">
        <v>783</v>
      </c>
      <c r="L678" s="3">
        <v>7</v>
      </c>
      <c r="M678" s="3">
        <v>173.3</v>
      </c>
      <c r="N678" s="3">
        <v>593</v>
      </c>
      <c r="O678" s="3" t="str">
        <f t="shared" si="29"/>
        <v>2017</v>
      </c>
      <c r="P678" s="2">
        <v>317</v>
      </c>
    </row>
    <row r="679" spans="1:20" x14ac:dyDescent="0.35">
      <c r="A679" s="3">
        <v>2024</v>
      </c>
      <c r="B679" s="3">
        <v>3</v>
      </c>
      <c r="C679" s="3">
        <v>28</v>
      </c>
      <c r="D679" s="2">
        <v>682</v>
      </c>
      <c r="E679" s="3" t="s">
        <v>1103</v>
      </c>
      <c r="F679" s="3">
        <v>2</v>
      </c>
      <c r="G679" s="3" t="s">
        <v>41</v>
      </c>
      <c r="H679" s="3" t="str">
        <f t="shared" si="30"/>
        <v>2013</v>
      </c>
      <c r="I679" s="3">
        <v>11</v>
      </c>
      <c r="J679" s="69"/>
      <c r="K679" t="s">
        <v>583</v>
      </c>
      <c r="L679" t="s">
        <v>318</v>
      </c>
      <c r="M679">
        <v>201.4</v>
      </c>
      <c r="N679" s="3">
        <v>595</v>
      </c>
      <c r="O679" s="3" t="str">
        <f t="shared" si="29"/>
        <v>2011</v>
      </c>
      <c r="P679" s="2">
        <v>682</v>
      </c>
    </row>
    <row r="680" spans="1:20" x14ac:dyDescent="0.35">
      <c r="A680" s="3">
        <v>2022</v>
      </c>
      <c r="B680" s="3">
        <v>1</v>
      </c>
      <c r="C680" s="3" t="s">
        <v>28</v>
      </c>
      <c r="D680" s="2">
        <v>21</v>
      </c>
      <c r="E680" s="3" t="s">
        <v>464</v>
      </c>
      <c r="F680" s="3">
        <v>1</v>
      </c>
      <c r="G680" s="3" t="s">
        <v>20</v>
      </c>
      <c r="H680" s="3" t="str">
        <f t="shared" si="30"/>
        <v>2020</v>
      </c>
      <c r="I680" s="3">
        <v>2</v>
      </c>
      <c r="J680" s="69"/>
      <c r="K680" s="3">
        <v>8</v>
      </c>
      <c r="L680" s="3">
        <v>8</v>
      </c>
      <c r="M680" s="3">
        <v>244.1</v>
      </c>
      <c r="N680" s="3">
        <v>596</v>
      </c>
      <c r="O680" s="3" t="str">
        <f t="shared" si="29"/>
        <v>2018</v>
      </c>
      <c r="P680" s="2">
        <v>21</v>
      </c>
    </row>
    <row r="681" spans="1:20" x14ac:dyDescent="0.35">
      <c r="A681" s="3">
        <v>2016</v>
      </c>
      <c r="B681" s="3">
        <v>11</v>
      </c>
      <c r="C681" s="3">
        <v>7</v>
      </c>
      <c r="D681" s="2">
        <v>226</v>
      </c>
      <c r="E681" s="3" t="s">
        <v>684</v>
      </c>
      <c r="F681" s="3">
        <v>4</v>
      </c>
      <c r="G681" s="3" t="s">
        <v>45</v>
      </c>
      <c r="H681" s="3" t="str">
        <f t="shared" si="30"/>
        <v>2009</v>
      </c>
      <c r="I681" s="3">
        <v>7</v>
      </c>
      <c r="J681" s="69"/>
      <c r="K681" s="3" t="s">
        <v>671</v>
      </c>
      <c r="L681" s="3" t="s">
        <v>512</v>
      </c>
      <c r="M681" s="3">
        <v>211.2</v>
      </c>
      <c r="N681" s="3">
        <v>597</v>
      </c>
      <c r="O681" s="3" t="str">
        <f t="shared" si="29"/>
        <v>2007</v>
      </c>
      <c r="P681" s="2">
        <v>226</v>
      </c>
    </row>
    <row r="682" spans="1:20" x14ac:dyDescent="0.35">
      <c r="A682" s="3">
        <v>2023</v>
      </c>
      <c r="B682" s="3">
        <v>6</v>
      </c>
      <c r="C682" s="3">
        <v>18</v>
      </c>
      <c r="D682" s="2">
        <v>338</v>
      </c>
      <c r="E682" s="3" t="s">
        <v>804</v>
      </c>
      <c r="F682" s="3">
        <v>3</v>
      </c>
      <c r="G682" s="3" t="s">
        <v>41</v>
      </c>
      <c r="H682" s="3" t="str">
        <f t="shared" si="30"/>
        <v>2013</v>
      </c>
      <c r="I682" s="3">
        <v>10</v>
      </c>
      <c r="J682" s="69"/>
      <c r="K682" s="3" t="s">
        <v>755</v>
      </c>
      <c r="L682" s="3" t="s">
        <v>458</v>
      </c>
      <c r="M682" s="3">
        <v>199.4</v>
      </c>
      <c r="N682" s="3">
        <v>597</v>
      </c>
      <c r="O682" s="3" t="str">
        <f t="shared" si="29"/>
        <v>2011</v>
      </c>
      <c r="P682" s="2">
        <v>338</v>
      </c>
    </row>
    <row r="683" spans="1:20" x14ac:dyDescent="0.35">
      <c r="A683" s="3">
        <v>2023</v>
      </c>
      <c r="B683" s="3">
        <v>10</v>
      </c>
      <c r="C683" s="3">
        <v>31</v>
      </c>
      <c r="D683" s="2">
        <v>541</v>
      </c>
      <c r="E683" s="3" t="s">
        <v>121</v>
      </c>
      <c r="F683" s="3">
        <v>4</v>
      </c>
      <c r="G683" s="3" t="s">
        <v>225</v>
      </c>
      <c r="H683" s="3" t="str">
        <f t="shared" si="30"/>
        <v>2022</v>
      </c>
      <c r="I683" s="3">
        <v>1</v>
      </c>
      <c r="J683" s="69"/>
      <c r="K683" t="s">
        <v>67</v>
      </c>
      <c r="L683" s="3">
        <v>2</v>
      </c>
      <c r="M683" s="3">
        <v>215.3</v>
      </c>
      <c r="N683" s="3">
        <v>597</v>
      </c>
      <c r="O683" s="3" t="str">
        <f t="shared" si="29"/>
        <v>2021</v>
      </c>
      <c r="P683" s="2">
        <v>541</v>
      </c>
    </row>
    <row r="684" spans="1:20" x14ac:dyDescent="0.35">
      <c r="A684" s="3">
        <v>2024</v>
      </c>
      <c r="B684" s="3">
        <v>8</v>
      </c>
      <c r="C684" s="3">
        <v>15</v>
      </c>
      <c r="D684" s="2">
        <v>770</v>
      </c>
      <c r="E684" s="3" t="s">
        <v>271</v>
      </c>
      <c r="F684" s="3">
        <v>3</v>
      </c>
      <c r="G684" s="3" t="s">
        <v>225</v>
      </c>
      <c r="H684" s="3" t="str">
        <f t="shared" si="30"/>
        <v>2021</v>
      </c>
      <c r="I684" s="3">
        <v>3</v>
      </c>
      <c r="J684" s="69"/>
      <c r="K684">
        <v>3</v>
      </c>
      <c r="L684">
        <v>3</v>
      </c>
      <c r="M684">
        <v>275.89999999999998</v>
      </c>
      <c r="N684" s="3">
        <v>597</v>
      </c>
      <c r="O684" s="3" t="str">
        <f t="shared" si="29"/>
        <v>2021</v>
      </c>
      <c r="P684" s="2">
        <v>770</v>
      </c>
    </row>
    <row r="685" spans="1:20" x14ac:dyDescent="0.35">
      <c r="A685" s="3">
        <v>2016</v>
      </c>
      <c r="B685" s="3">
        <v>9</v>
      </c>
      <c r="C685" s="3">
        <v>1</v>
      </c>
      <c r="D685" s="2">
        <v>257</v>
      </c>
      <c r="E685" s="3" t="s">
        <v>717</v>
      </c>
      <c r="F685" s="3">
        <v>3</v>
      </c>
      <c r="G685" s="3" t="s">
        <v>45</v>
      </c>
      <c r="H685" s="3" t="str">
        <f t="shared" si="30"/>
        <v>2011</v>
      </c>
      <c r="I685" s="3">
        <v>5</v>
      </c>
      <c r="J685" s="69"/>
      <c r="K685" s="3" t="s">
        <v>718</v>
      </c>
      <c r="L685" s="3" t="s">
        <v>317</v>
      </c>
      <c r="M685" s="3">
        <v>207.5</v>
      </c>
      <c r="N685" s="3">
        <v>598</v>
      </c>
      <c r="O685" s="3" t="str">
        <f t="shared" si="29"/>
        <v>2007</v>
      </c>
      <c r="P685" s="2">
        <v>257</v>
      </c>
      <c r="T685">
        <v>6.52</v>
      </c>
    </row>
    <row r="686" spans="1:20" x14ac:dyDescent="0.35">
      <c r="A686" s="3">
        <v>2016</v>
      </c>
      <c r="B686" s="3">
        <v>9</v>
      </c>
      <c r="C686" s="3">
        <v>1</v>
      </c>
      <c r="D686" s="2">
        <v>256</v>
      </c>
      <c r="E686" s="3" t="s">
        <v>715</v>
      </c>
      <c r="F686" s="3">
        <v>3</v>
      </c>
      <c r="G686" s="3" t="s">
        <v>45</v>
      </c>
      <c r="H686" s="3" t="str">
        <f t="shared" si="30"/>
        <v>2009</v>
      </c>
      <c r="I686" s="3">
        <v>7</v>
      </c>
      <c r="J686" s="69"/>
      <c r="K686" s="3" t="s">
        <v>716</v>
      </c>
      <c r="L686" s="3" t="s">
        <v>512</v>
      </c>
      <c r="M686" s="3">
        <v>203.8</v>
      </c>
      <c r="N686" s="3">
        <v>598</v>
      </c>
      <c r="O686" s="3" t="str">
        <f t="shared" si="29"/>
        <v>2007</v>
      </c>
      <c r="P686" s="2">
        <v>256</v>
      </c>
    </row>
    <row r="687" spans="1:20" x14ac:dyDescent="0.35">
      <c r="A687" s="3">
        <v>2023</v>
      </c>
      <c r="B687" s="3">
        <v>10</v>
      </c>
      <c r="C687" s="3">
        <v>31</v>
      </c>
      <c r="D687" s="2">
        <v>540</v>
      </c>
      <c r="E687" s="3" t="s">
        <v>120</v>
      </c>
      <c r="F687" s="3">
        <v>4</v>
      </c>
      <c r="G687" s="3" t="s">
        <v>225</v>
      </c>
      <c r="H687" s="3" t="str">
        <f t="shared" si="30"/>
        <v>2022</v>
      </c>
      <c r="I687" s="3">
        <v>1</v>
      </c>
      <c r="J687" s="69"/>
      <c r="K687" t="s">
        <v>67</v>
      </c>
      <c r="L687" s="3">
        <v>2</v>
      </c>
      <c r="M687" s="3">
        <v>230.2</v>
      </c>
      <c r="N687" s="3">
        <v>600</v>
      </c>
      <c r="O687" s="3" t="str">
        <f t="shared" si="29"/>
        <v>2021</v>
      </c>
      <c r="P687" s="2">
        <v>540</v>
      </c>
    </row>
    <row r="688" spans="1:20" x14ac:dyDescent="0.35">
      <c r="A688" s="3">
        <v>2024</v>
      </c>
      <c r="B688" s="3">
        <v>4</v>
      </c>
      <c r="C688" s="3">
        <v>5</v>
      </c>
      <c r="D688" s="2">
        <v>656</v>
      </c>
      <c r="E688" s="3" t="s">
        <v>148</v>
      </c>
      <c r="F688" s="3">
        <v>2</v>
      </c>
      <c r="G688" s="3" t="s">
        <v>225</v>
      </c>
      <c r="H688" s="3" t="str">
        <f t="shared" si="30"/>
        <v>2021</v>
      </c>
      <c r="I688" s="3">
        <v>3</v>
      </c>
      <c r="J688" s="69"/>
      <c r="K688" t="s">
        <v>227</v>
      </c>
      <c r="L688" s="3">
        <v>4</v>
      </c>
      <c r="M688">
        <v>208.9</v>
      </c>
      <c r="N688" s="3">
        <v>600</v>
      </c>
      <c r="O688" s="3" t="str">
        <f t="shared" si="29"/>
        <v>2021</v>
      </c>
      <c r="P688" s="2">
        <v>656</v>
      </c>
    </row>
    <row r="689" spans="1:16" x14ac:dyDescent="0.35">
      <c r="A689" s="3">
        <v>2024</v>
      </c>
      <c r="B689" s="3">
        <v>8</v>
      </c>
      <c r="C689" s="3">
        <v>19</v>
      </c>
      <c r="D689" s="2">
        <v>739</v>
      </c>
      <c r="E689" s="3" t="s">
        <v>1148</v>
      </c>
      <c r="F689" s="3">
        <v>3</v>
      </c>
      <c r="G689" s="3" t="s">
        <v>225</v>
      </c>
      <c r="H689" s="3" t="str">
        <f t="shared" si="30"/>
        <v>2021</v>
      </c>
      <c r="I689" s="3">
        <v>3</v>
      </c>
      <c r="J689" s="69"/>
      <c r="K689">
        <v>3</v>
      </c>
      <c r="L689">
        <v>3</v>
      </c>
      <c r="M689">
        <v>224.2</v>
      </c>
      <c r="N689" s="3">
        <v>600</v>
      </c>
      <c r="O689" s="3" t="str">
        <f t="shared" si="29"/>
        <v>2021</v>
      </c>
      <c r="P689" s="2">
        <v>739</v>
      </c>
    </row>
    <row r="690" spans="1:16" x14ac:dyDescent="0.35">
      <c r="A690" s="3">
        <v>2016</v>
      </c>
      <c r="B690" s="3">
        <v>11</v>
      </c>
      <c r="C690" s="3">
        <v>7</v>
      </c>
      <c r="D690" s="2">
        <v>209</v>
      </c>
      <c r="E690" s="3" t="s">
        <v>664</v>
      </c>
      <c r="F690" s="3">
        <v>4</v>
      </c>
      <c r="G690" s="3" t="s">
        <v>45</v>
      </c>
      <c r="H690" s="3" t="str">
        <f t="shared" si="30"/>
        <v>2009</v>
      </c>
      <c r="I690" s="3">
        <v>7</v>
      </c>
      <c r="J690" s="69"/>
      <c r="K690" s="3" t="s">
        <v>662</v>
      </c>
      <c r="L690" s="3" t="s">
        <v>488</v>
      </c>
      <c r="M690" s="3">
        <v>197.4</v>
      </c>
      <c r="N690" s="3">
        <v>601</v>
      </c>
      <c r="O690" s="3" t="str">
        <f t="shared" si="29"/>
        <v>2007</v>
      </c>
      <c r="P690" s="2">
        <v>209</v>
      </c>
    </row>
    <row r="691" spans="1:16" x14ac:dyDescent="0.35">
      <c r="A691" s="3">
        <v>2023</v>
      </c>
      <c r="B691" s="3">
        <v>7</v>
      </c>
      <c r="C691" s="3">
        <v>19</v>
      </c>
      <c r="D691" s="2">
        <v>353</v>
      </c>
      <c r="E691" s="3" t="s">
        <v>819</v>
      </c>
      <c r="F691" s="3">
        <v>3</v>
      </c>
      <c r="G691" s="3" t="s">
        <v>41</v>
      </c>
      <c r="H691" s="3" t="str">
        <f t="shared" si="30"/>
        <v>2013</v>
      </c>
      <c r="I691" s="3">
        <v>10</v>
      </c>
      <c r="J691" s="69"/>
      <c r="K691" s="3" t="s">
        <v>583</v>
      </c>
      <c r="L691" s="3" t="s">
        <v>318</v>
      </c>
      <c r="M691" s="3">
        <v>215.5</v>
      </c>
      <c r="N691" s="3">
        <v>602</v>
      </c>
      <c r="O691" s="3" t="str">
        <f t="shared" si="29"/>
        <v>2011</v>
      </c>
      <c r="P691" s="2">
        <v>353</v>
      </c>
    </row>
    <row r="692" spans="1:16" x14ac:dyDescent="0.35">
      <c r="A692" s="3">
        <v>2016</v>
      </c>
      <c r="B692" s="3">
        <v>9</v>
      </c>
      <c r="C692" s="3">
        <v>1</v>
      </c>
      <c r="D692" s="2">
        <v>233</v>
      </c>
      <c r="E692" s="3" t="s">
        <v>691</v>
      </c>
      <c r="F692" s="3">
        <v>3</v>
      </c>
      <c r="G692" s="3" t="s">
        <v>45</v>
      </c>
      <c r="H692" s="3" t="str">
        <f t="shared" si="30"/>
        <v>2011</v>
      </c>
      <c r="I692" s="3">
        <v>5</v>
      </c>
      <c r="J692" s="69"/>
      <c r="K692" s="3" t="s">
        <v>647</v>
      </c>
      <c r="L692" s="3" t="s">
        <v>317</v>
      </c>
      <c r="M692" s="3">
        <v>187.9</v>
      </c>
      <c r="N692" s="3">
        <v>603</v>
      </c>
      <c r="O692" s="3" t="str">
        <f t="shared" si="29"/>
        <v>2007</v>
      </c>
      <c r="P692" s="2">
        <v>233</v>
      </c>
    </row>
    <row r="693" spans="1:16" x14ac:dyDescent="0.35">
      <c r="A693" s="3">
        <v>2021</v>
      </c>
      <c r="B693" s="3" t="s">
        <v>28</v>
      </c>
      <c r="C693" s="3" t="s">
        <v>28</v>
      </c>
      <c r="D693" s="2">
        <v>483</v>
      </c>
      <c r="E693" s="3" t="s">
        <v>938</v>
      </c>
      <c r="F693" s="3" t="s">
        <v>28</v>
      </c>
      <c r="G693" s="3" t="s">
        <v>226</v>
      </c>
      <c r="H693" s="3" t="str">
        <f t="shared" si="30"/>
        <v>2018</v>
      </c>
      <c r="I693" s="3">
        <v>3</v>
      </c>
      <c r="J693" s="69"/>
      <c r="K693" s="3" t="s">
        <v>51</v>
      </c>
      <c r="L693" s="3" t="s">
        <v>929</v>
      </c>
      <c r="M693" s="16">
        <v>190</v>
      </c>
      <c r="N693" s="3">
        <v>603</v>
      </c>
      <c r="O693" s="3" t="str">
        <f t="shared" si="29"/>
        <v>2017</v>
      </c>
      <c r="P693" s="2">
        <v>483</v>
      </c>
    </row>
    <row r="694" spans="1:16" x14ac:dyDescent="0.35">
      <c r="A694" s="3">
        <v>2021</v>
      </c>
      <c r="B694" s="3">
        <v>4</v>
      </c>
      <c r="C694" s="3">
        <v>13</v>
      </c>
      <c r="D694" s="2">
        <v>490</v>
      </c>
      <c r="E694" s="3" t="s">
        <v>113</v>
      </c>
      <c r="F694" s="3">
        <v>2</v>
      </c>
      <c r="G694" s="3" t="s">
        <v>226</v>
      </c>
      <c r="H694" s="3" t="str">
        <f t="shared" si="30"/>
        <v>2018</v>
      </c>
      <c r="I694" s="3">
        <v>3</v>
      </c>
      <c r="J694" s="69"/>
      <c r="K694" s="3" t="s">
        <v>51</v>
      </c>
      <c r="L694" s="3" t="s">
        <v>944</v>
      </c>
      <c r="M694" s="16">
        <v>195</v>
      </c>
      <c r="N694" s="3">
        <v>603</v>
      </c>
      <c r="O694" s="3" t="str">
        <f t="shared" si="29"/>
        <v>2017</v>
      </c>
      <c r="P694" s="2">
        <v>490</v>
      </c>
    </row>
    <row r="695" spans="1:16" x14ac:dyDescent="0.35">
      <c r="A695" s="3">
        <v>2016</v>
      </c>
      <c r="B695" s="3">
        <v>11</v>
      </c>
      <c r="C695" s="3">
        <v>8</v>
      </c>
      <c r="D695" s="2">
        <v>187</v>
      </c>
      <c r="E695" s="3" t="s">
        <v>638</v>
      </c>
      <c r="F695" s="3">
        <v>4</v>
      </c>
      <c r="G695" s="3" t="s">
        <v>45</v>
      </c>
      <c r="H695" s="3" t="str">
        <f t="shared" si="30"/>
        <v>2011</v>
      </c>
      <c r="I695" s="3">
        <v>5</v>
      </c>
      <c r="J695" s="69"/>
      <c r="K695" s="3" t="s">
        <v>46</v>
      </c>
      <c r="L695" s="3" t="s">
        <v>317</v>
      </c>
      <c r="M695" s="3">
        <v>195.5</v>
      </c>
      <c r="N695" s="3">
        <v>606</v>
      </c>
      <c r="O695" s="3" t="str">
        <f t="shared" si="29"/>
        <v>2007</v>
      </c>
      <c r="P695" s="2">
        <v>187</v>
      </c>
    </row>
    <row r="696" spans="1:16" x14ac:dyDescent="0.35">
      <c r="A696" s="3">
        <v>2019</v>
      </c>
      <c r="B696" s="3">
        <v>11</v>
      </c>
      <c r="C696" s="3">
        <v>27</v>
      </c>
      <c r="D696" s="2">
        <v>45</v>
      </c>
      <c r="E696" s="3" t="s">
        <v>487</v>
      </c>
      <c r="F696" s="3">
        <v>4</v>
      </c>
      <c r="G696" s="3" t="s">
        <v>45</v>
      </c>
      <c r="H696" s="3" t="str">
        <f t="shared" si="30"/>
        <v>2009</v>
      </c>
      <c r="I696" s="3">
        <v>10</v>
      </c>
      <c r="J696" s="69"/>
      <c r="K696" s="3" t="s">
        <v>488</v>
      </c>
      <c r="L696" s="3" t="s">
        <v>488</v>
      </c>
      <c r="M696" s="3">
        <v>219.6</v>
      </c>
      <c r="N696" s="3">
        <v>608</v>
      </c>
      <c r="O696" s="3" t="str">
        <f t="shared" si="29"/>
        <v>2007</v>
      </c>
      <c r="P696" s="2">
        <v>45</v>
      </c>
    </row>
    <row r="697" spans="1:16" x14ac:dyDescent="0.35">
      <c r="A697" s="3">
        <v>2023</v>
      </c>
      <c r="B697" s="3">
        <v>11</v>
      </c>
      <c r="C697" s="3">
        <v>7</v>
      </c>
      <c r="D697" s="2">
        <v>546</v>
      </c>
      <c r="E697" s="3" t="s">
        <v>995</v>
      </c>
      <c r="F697" s="3">
        <v>4</v>
      </c>
      <c r="G697" s="3" t="s">
        <v>41</v>
      </c>
      <c r="H697" s="3" t="str">
        <f t="shared" si="30"/>
        <v>2013</v>
      </c>
      <c r="I697" s="3">
        <v>10</v>
      </c>
      <c r="J697" s="69"/>
      <c r="K697" t="s">
        <v>42</v>
      </c>
      <c r="L697" s="3" t="s">
        <v>318</v>
      </c>
      <c r="M697" s="3">
        <v>197.7</v>
      </c>
      <c r="N697" s="3">
        <v>608</v>
      </c>
      <c r="O697" s="3" t="str">
        <f t="shared" si="29"/>
        <v>2011</v>
      </c>
      <c r="P697" s="2">
        <v>546</v>
      </c>
    </row>
    <row r="698" spans="1:16" x14ac:dyDescent="0.35">
      <c r="A698" s="3">
        <v>2016</v>
      </c>
      <c r="B698" s="3">
        <v>11</v>
      </c>
      <c r="C698" s="3">
        <v>7</v>
      </c>
      <c r="D698" s="2">
        <v>225</v>
      </c>
      <c r="E698" s="3" t="s">
        <v>683</v>
      </c>
      <c r="F698" s="3">
        <v>4</v>
      </c>
      <c r="G698" s="3" t="s">
        <v>45</v>
      </c>
      <c r="H698" s="3" t="str">
        <f t="shared" si="30"/>
        <v>2009</v>
      </c>
      <c r="I698" s="3">
        <v>7</v>
      </c>
      <c r="J698" s="69"/>
      <c r="K698" s="3" t="s">
        <v>671</v>
      </c>
      <c r="L698" s="3" t="s">
        <v>512</v>
      </c>
      <c r="M698" s="3">
        <v>234.5</v>
      </c>
      <c r="N698" s="3">
        <v>610</v>
      </c>
      <c r="O698" s="3" t="str">
        <f t="shared" si="29"/>
        <v>2007</v>
      </c>
      <c r="P698" s="2">
        <v>225</v>
      </c>
    </row>
    <row r="699" spans="1:16" x14ac:dyDescent="0.35">
      <c r="A699" s="3">
        <v>2016</v>
      </c>
      <c r="B699" s="3">
        <v>9</v>
      </c>
      <c r="C699" s="3">
        <v>1</v>
      </c>
      <c r="D699" s="2">
        <v>242</v>
      </c>
      <c r="E699" s="3" t="s">
        <v>700</v>
      </c>
      <c r="F699" s="3">
        <v>3</v>
      </c>
      <c r="G699" s="3" t="s">
        <v>45</v>
      </c>
      <c r="H699" s="3" t="str">
        <f t="shared" si="30"/>
        <v>2011</v>
      </c>
      <c r="I699" s="3">
        <v>5</v>
      </c>
      <c r="J699" s="69"/>
      <c r="K699" s="3" t="s">
        <v>647</v>
      </c>
      <c r="L699" s="3" t="s">
        <v>317</v>
      </c>
      <c r="M699" s="3">
        <v>23</v>
      </c>
      <c r="N699" s="3">
        <v>610</v>
      </c>
      <c r="O699" s="3" t="str">
        <f t="shared" si="29"/>
        <v>2007</v>
      </c>
      <c r="P699" s="2">
        <v>242</v>
      </c>
    </row>
    <row r="700" spans="1:16" x14ac:dyDescent="0.35">
      <c r="A700" s="3">
        <v>2023</v>
      </c>
      <c r="B700" s="3">
        <v>7</v>
      </c>
      <c r="C700" s="3">
        <v>21</v>
      </c>
      <c r="D700" s="2">
        <v>410</v>
      </c>
      <c r="E700" s="3" t="s">
        <v>874</v>
      </c>
      <c r="F700" s="3">
        <v>3</v>
      </c>
      <c r="G700" s="3" t="s">
        <v>20</v>
      </c>
      <c r="H700" s="3" t="str">
        <f t="shared" si="30"/>
        <v>2020</v>
      </c>
      <c r="I700" s="3">
        <v>3</v>
      </c>
      <c r="J700" s="69"/>
      <c r="K700" s="3" t="s">
        <v>55</v>
      </c>
      <c r="L700" s="3">
        <v>8</v>
      </c>
      <c r="M700" s="3">
        <v>18.2</v>
      </c>
      <c r="N700" s="3">
        <v>610</v>
      </c>
      <c r="O700" s="3" t="str">
        <f t="shared" si="29"/>
        <v>2018</v>
      </c>
      <c r="P700" s="2">
        <v>410</v>
      </c>
    </row>
    <row r="701" spans="1:16" x14ac:dyDescent="0.35">
      <c r="A701" s="3">
        <v>2024</v>
      </c>
      <c r="B701" s="3">
        <v>2</v>
      </c>
      <c r="C701" s="3">
        <v>23</v>
      </c>
      <c r="D701" s="2">
        <v>647</v>
      </c>
      <c r="E701" s="3" t="s">
        <v>101</v>
      </c>
      <c r="F701" s="3">
        <v>1</v>
      </c>
      <c r="G701" s="3" t="s">
        <v>225</v>
      </c>
      <c r="H701" s="3" t="str">
        <f t="shared" si="30"/>
        <v>2022</v>
      </c>
      <c r="I701" s="3">
        <v>2</v>
      </c>
      <c r="J701" s="69"/>
      <c r="K701" t="s">
        <v>21</v>
      </c>
      <c r="L701" s="3">
        <v>2</v>
      </c>
      <c r="M701">
        <v>258.7</v>
      </c>
      <c r="N701" s="3">
        <v>610</v>
      </c>
      <c r="O701" s="3" t="str">
        <f t="shared" si="29"/>
        <v>2021</v>
      </c>
      <c r="P701" s="2">
        <v>647</v>
      </c>
    </row>
    <row r="702" spans="1:16" x14ac:dyDescent="0.35">
      <c r="A702" s="3">
        <v>2024</v>
      </c>
      <c r="B702" s="3">
        <v>8</v>
      </c>
      <c r="C702" s="3">
        <v>20</v>
      </c>
      <c r="D702" s="2">
        <v>725</v>
      </c>
      <c r="E702" s="3" t="s">
        <v>1141</v>
      </c>
      <c r="F702" s="3">
        <v>3</v>
      </c>
      <c r="G702" s="3" t="s">
        <v>226</v>
      </c>
      <c r="H702" s="3" t="str">
        <f t="shared" si="30"/>
        <v>2017</v>
      </c>
      <c r="I702" s="3">
        <v>7</v>
      </c>
      <c r="J702" s="69"/>
      <c r="K702" t="s">
        <v>783</v>
      </c>
      <c r="L702">
        <v>7</v>
      </c>
      <c r="M702">
        <v>226.9</v>
      </c>
      <c r="N702" s="3">
        <v>610</v>
      </c>
      <c r="O702" s="3" t="str">
        <f t="shared" si="29"/>
        <v>2017</v>
      </c>
      <c r="P702" s="2">
        <v>725</v>
      </c>
    </row>
    <row r="703" spans="1:16" x14ac:dyDescent="0.35">
      <c r="A703" s="3">
        <v>2023</v>
      </c>
      <c r="B703" s="3">
        <v>2</v>
      </c>
      <c r="C703" s="3">
        <v>13</v>
      </c>
      <c r="D703" s="2">
        <v>152</v>
      </c>
      <c r="E703" s="3" t="s">
        <v>597</v>
      </c>
      <c r="F703" s="3">
        <v>1</v>
      </c>
      <c r="G703" s="3" t="s">
        <v>41</v>
      </c>
      <c r="H703" s="3" t="str">
        <f t="shared" si="30"/>
        <v>2012</v>
      </c>
      <c r="I703" s="3">
        <v>11</v>
      </c>
      <c r="J703" s="69"/>
      <c r="K703" s="3" t="s">
        <v>461</v>
      </c>
      <c r="L703" s="3" t="s">
        <v>461</v>
      </c>
      <c r="M703" s="3">
        <v>195.5</v>
      </c>
      <c r="N703" s="3">
        <v>613</v>
      </c>
      <c r="O703" s="3" t="str">
        <f t="shared" si="29"/>
        <v>2011</v>
      </c>
      <c r="P703" s="2">
        <v>152</v>
      </c>
    </row>
    <row r="704" spans="1:16" x14ac:dyDescent="0.35">
      <c r="A704" s="3">
        <v>2023</v>
      </c>
      <c r="B704" s="3">
        <v>7</v>
      </c>
      <c r="C704" s="3">
        <v>17</v>
      </c>
      <c r="D704" s="2">
        <v>348</v>
      </c>
      <c r="E704" s="3" t="s">
        <v>814</v>
      </c>
      <c r="F704" s="3">
        <v>3</v>
      </c>
      <c r="G704" s="3" t="s">
        <v>45</v>
      </c>
      <c r="H704" s="3" t="str">
        <f t="shared" si="30"/>
        <v>2011</v>
      </c>
      <c r="I704" s="3">
        <v>12</v>
      </c>
      <c r="J704" s="69"/>
      <c r="K704" s="3" t="s">
        <v>236</v>
      </c>
      <c r="L704" s="3" t="s">
        <v>317</v>
      </c>
      <c r="M704" s="3">
        <v>217.2</v>
      </c>
      <c r="N704" s="3">
        <v>613</v>
      </c>
      <c r="O704" s="3" t="str">
        <f t="shared" si="29"/>
        <v>2007</v>
      </c>
      <c r="P704" s="2">
        <v>348</v>
      </c>
    </row>
    <row r="705" spans="1:20" x14ac:dyDescent="0.35">
      <c r="A705" s="3">
        <v>2023</v>
      </c>
      <c r="B705" s="3">
        <v>7</v>
      </c>
      <c r="C705" s="3">
        <v>19</v>
      </c>
      <c r="D705" s="2">
        <v>403</v>
      </c>
      <c r="E705" s="3" t="s">
        <v>48</v>
      </c>
      <c r="F705" s="3">
        <v>3</v>
      </c>
      <c r="G705" s="3" t="s">
        <v>41</v>
      </c>
      <c r="H705" s="3" t="str">
        <f t="shared" si="30"/>
        <v>2013</v>
      </c>
      <c r="I705" s="3">
        <v>10</v>
      </c>
      <c r="J705" s="69"/>
      <c r="K705" s="3" t="s">
        <v>49</v>
      </c>
      <c r="L705" s="3" t="s">
        <v>318</v>
      </c>
      <c r="M705" s="3">
        <v>185.5</v>
      </c>
      <c r="N705" s="3">
        <v>613</v>
      </c>
      <c r="O705" s="3" t="str">
        <f t="shared" si="29"/>
        <v>2011</v>
      </c>
      <c r="P705" s="2">
        <v>403</v>
      </c>
    </row>
    <row r="706" spans="1:20" x14ac:dyDescent="0.35">
      <c r="A706" s="3">
        <v>2024</v>
      </c>
      <c r="B706" s="3">
        <v>1</v>
      </c>
      <c r="C706" s="3">
        <v>22</v>
      </c>
      <c r="D706" s="2">
        <v>589</v>
      </c>
      <c r="E706" s="3" t="s">
        <v>131</v>
      </c>
      <c r="F706" s="3">
        <v>1</v>
      </c>
      <c r="G706" s="3" t="s">
        <v>20</v>
      </c>
      <c r="H706" s="3" t="str">
        <f t="shared" si="30"/>
        <v>2020</v>
      </c>
      <c r="I706" s="3">
        <v>4</v>
      </c>
      <c r="J706" s="69"/>
      <c r="K706" t="s">
        <v>55</v>
      </c>
      <c r="L706">
        <v>8</v>
      </c>
      <c r="M706">
        <v>484.2</v>
      </c>
      <c r="N706" s="3">
        <v>615</v>
      </c>
      <c r="O706" s="3" t="str">
        <f t="shared" ref="O706:O769" si="31">IF(G706="PHD", "2007", IF(G706="TSL", "2011", IF(G706 = "SRS", "2018", IF(G706="WCA 3B", "2017", IF(G706="WCA 3A", "2021")))))</f>
        <v>2018</v>
      </c>
      <c r="P706" s="2">
        <v>589</v>
      </c>
    </row>
    <row r="707" spans="1:20" x14ac:dyDescent="0.35">
      <c r="A707" s="3">
        <v>2024</v>
      </c>
      <c r="B707">
        <v>8</v>
      </c>
      <c r="C707" s="3">
        <v>19</v>
      </c>
      <c r="D707" s="2">
        <v>812</v>
      </c>
      <c r="E707" s="3" t="s">
        <v>298</v>
      </c>
      <c r="F707" s="3">
        <v>3</v>
      </c>
      <c r="G707" s="3" t="s">
        <v>225</v>
      </c>
      <c r="H707" s="3" t="str">
        <f t="shared" si="30"/>
        <v>2021</v>
      </c>
      <c r="I707" s="3">
        <v>3</v>
      </c>
      <c r="J707" s="69"/>
      <c r="K707">
        <v>3</v>
      </c>
      <c r="L707">
        <v>3</v>
      </c>
      <c r="M707">
        <v>266.89999999999998</v>
      </c>
      <c r="N707" s="3">
        <v>615</v>
      </c>
      <c r="O707" s="3" t="str">
        <f t="shared" si="31"/>
        <v>2021</v>
      </c>
      <c r="P707" s="2">
        <v>812</v>
      </c>
    </row>
    <row r="708" spans="1:20" x14ac:dyDescent="0.35">
      <c r="A708" s="3">
        <v>2024</v>
      </c>
      <c r="B708">
        <v>8</v>
      </c>
      <c r="C708" s="3">
        <v>19</v>
      </c>
      <c r="D708" s="2">
        <v>822</v>
      </c>
      <c r="E708" s="3" t="s">
        <v>304</v>
      </c>
      <c r="F708" s="3">
        <v>3</v>
      </c>
      <c r="G708" s="3" t="s">
        <v>225</v>
      </c>
      <c r="H708" s="3" t="str">
        <f t="shared" si="30"/>
        <v>2021</v>
      </c>
      <c r="I708" s="3">
        <v>3</v>
      </c>
      <c r="J708" s="69"/>
      <c r="K708">
        <v>3</v>
      </c>
      <c r="L708">
        <v>3</v>
      </c>
      <c r="M708">
        <v>269.7</v>
      </c>
      <c r="N708" s="3">
        <v>615</v>
      </c>
      <c r="O708" s="3" t="str">
        <f t="shared" si="31"/>
        <v>2021</v>
      </c>
      <c r="P708" s="2">
        <v>822</v>
      </c>
    </row>
    <row r="709" spans="1:20" x14ac:dyDescent="0.35">
      <c r="A709" s="3">
        <v>2019</v>
      </c>
      <c r="B709" s="3">
        <v>2</v>
      </c>
      <c r="C709" s="3">
        <v>21</v>
      </c>
      <c r="D709" s="2">
        <v>147</v>
      </c>
      <c r="E709" s="14" t="s">
        <v>592</v>
      </c>
      <c r="F709" s="15">
        <v>1</v>
      </c>
      <c r="G709" s="3" t="s">
        <v>41</v>
      </c>
      <c r="H709" s="3" t="str">
        <f t="shared" si="30"/>
        <v>2012</v>
      </c>
      <c r="I709" s="3">
        <v>7</v>
      </c>
      <c r="J709" s="69"/>
      <c r="K709" s="3" t="s">
        <v>551</v>
      </c>
      <c r="L709" s="3" t="s">
        <v>461</v>
      </c>
      <c r="M709" s="3">
        <v>247.3</v>
      </c>
      <c r="N709" s="3">
        <v>616</v>
      </c>
      <c r="O709" s="3" t="str">
        <f t="shared" si="31"/>
        <v>2011</v>
      </c>
      <c r="P709" s="2">
        <v>147</v>
      </c>
    </row>
    <row r="710" spans="1:20" x14ac:dyDescent="0.35">
      <c r="A710" s="3">
        <v>2019</v>
      </c>
      <c r="B710" s="3">
        <v>1</v>
      </c>
      <c r="C710" s="3" t="s">
        <v>28</v>
      </c>
      <c r="D710" s="2">
        <v>62</v>
      </c>
      <c r="E710" s="3" t="s">
        <v>505</v>
      </c>
      <c r="F710" s="3">
        <v>1</v>
      </c>
      <c r="G710" s="3" t="s">
        <v>41</v>
      </c>
      <c r="H710" s="3" t="str">
        <f t="shared" si="30"/>
        <v>2012</v>
      </c>
      <c r="I710" s="3">
        <v>7</v>
      </c>
      <c r="J710" s="69"/>
      <c r="K710" s="3" t="s">
        <v>461</v>
      </c>
      <c r="L710" s="3" t="s">
        <v>461</v>
      </c>
      <c r="M710" s="3">
        <v>260.8</v>
      </c>
      <c r="N710" s="3">
        <v>618</v>
      </c>
      <c r="O710" s="3" t="str">
        <f t="shared" si="31"/>
        <v>2011</v>
      </c>
      <c r="P710" s="2">
        <v>62</v>
      </c>
    </row>
    <row r="711" spans="1:20" x14ac:dyDescent="0.35">
      <c r="A711" s="3">
        <v>2021</v>
      </c>
      <c r="B711" s="3">
        <v>10</v>
      </c>
      <c r="C711" s="3">
        <v>11</v>
      </c>
      <c r="D711" s="2">
        <v>480</v>
      </c>
      <c r="E711" s="3" t="s">
        <v>935</v>
      </c>
      <c r="F711" s="3">
        <v>4</v>
      </c>
      <c r="G711" s="3" t="s">
        <v>226</v>
      </c>
      <c r="H711" s="3" t="str">
        <f t="shared" ref="H711:H774" si="32">IF(L711="A55","2009",IF(L711="A59","2009",IF(L711="A60","2010",IF(L711="A62","2011",IF(L711="CP","2013",IF(L711="MD","2012",IF(L711="TS","2013",IF(L711="DL","2018",IF(L711="SCU","2018",IF(L711="NCU","2018",IF(L711="C1C","2018",IF(L711="C1E","2018",IF(L711="RS1S","2018",IF(L711="C2B","2018",IF(L711="DB3","2018",IF(AND(L711=6,G711="SRS"),"2018",IF(AND(L711=7,G711="SRS"),"2020",IF(AND(L711=8,G711="SRS"),"2020",IF(L711=23,"2019",IF(AND(L711=7,G711="WCA 3B"),"2017",IF(AND(L711=8,G711="WCA 3B"),"2019",IF(L711=1,"2021",IF(L711=2,"2022",IF(L711=3,"2021",IF(L711=4,"2021",IF(L711=5,"2022",IF(AND(L711=6,G711="WCA 3A"),"2022",IF(L711=9,"2023",IF(L711=10,"2023",IF(L711=37,"2020"))))))))))))))))))))))))))))))</f>
        <v>2018</v>
      </c>
      <c r="I711" s="3">
        <v>3</v>
      </c>
      <c r="J711" s="69"/>
      <c r="K711" s="3" t="s">
        <v>51</v>
      </c>
      <c r="L711" s="3" t="s">
        <v>929</v>
      </c>
      <c r="M711" s="16">
        <v>225</v>
      </c>
      <c r="N711" s="3">
        <v>618</v>
      </c>
      <c r="O711" s="3" t="str">
        <f t="shared" si="31"/>
        <v>2017</v>
      </c>
      <c r="P711" s="2">
        <v>480</v>
      </c>
    </row>
    <row r="712" spans="1:20" x14ac:dyDescent="0.35">
      <c r="A712" s="3">
        <v>2024</v>
      </c>
      <c r="B712" s="3">
        <v>1</v>
      </c>
      <c r="C712" s="3">
        <v>22</v>
      </c>
      <c r="D712" s="2">
        <v>604</v>
      </c>
      <c r="E712" s="3" t="s">
        <v>98</v>
      </c>
      <c r="F712" s="3">
        <v>1</v>
      </c>
      <c r="G712" s="3" t="s">
        <v>20</v>
      </c>
      <c r="H712" s="3" t="str">
        <f t="shared" si="32"/>
        <v>2020</v>
      </c>
      <c r="I712" s="3">
        <v>4</v>
      </c>
      <c r="J712" s="69"/>
      <c r="K712" t="s">
        <v>233</v>
      </c>
      <c r="L712">
        <v>37</v>
      </c>
      <c r="M712">
        <v>286</v>
      </c>
      <c r="N712" s="3">
        <v>618</v>
      </c>
      <c r="O712" s="3" t="str">
        <f t="shared" si="31"/>
        <v>2018</v>
      </c>
      <c r="P712" s="2">
        <v>604</v>
      </c>
    </row>
    <row r="713" spans="1:20" x14ac:dyDescent="0.35">
      <c r="A713" s="3">
        <v>2017</v>
      </c>
      <c r="B713" s="3">
        <v>8</v>
      </c>
      <c r="C713" s="3">
        <v>14</v>
      </c>
      <c r="D713" s="2">
        <v>130</v>
      </c>
      <c r="E713" s="14" t="s">
        <v>575</v>
      </c>
      <c r="F713" s="15">
        <v>3</v>
      </c>
      <c r="G713" s="3" t="s">
        <v>45</v>
      </c>
      <c r="H713" s="3" t="str">
        <f t="shared" si="32"/>
        <v>2011</v>
      </c>
      <c r="I713" s="3">
        <v>6</v>
      </c>
      <c r="J713" s="69"/>
      <c r="K713" s="3" t="s">
        <v>317</v>
      </c>
      <c r="L713" s="3" t="s">
        <v>317</v>
      </c>
      <c r="M713" s="3">
        <v>236.4</v>
      </c>
      <c r="N713" s="3">
        <v>620</v>
      </c>
      <c r="O713" s="3" t="str">
        <f t="shared" si="31"/>
        <v>2007</v>
      </c>
      <c r="P713" s="2">
        <v>130</v>
      </c>
    </row>
    <row r="714" spans="1:20" x14ac:dyDescent="0.35">
      <c r="A714" s="3">
        <v>2023</v>
      </c>
      <c r="B714" s="3">
        <v>7</v>
      </c>
      <c r="C714" s="3">
        <v>19</v>
      </c>
      <c r="D714" s="2">
        <v>352</v>
      </c>
      <c r="E714" s="3" t="s">
        <v>818</v>
      </c>
      <c r="F714" s="3">
        <v>3</v>
      </c>
      <c r="G714" s="3" t="s">
        <v>41</v>
      </c>
      <c r="H714" s="3" t="str">
        <f t="shared" si="32"/>
        <v>2013</v>
      </c>
      <c r="I714" s="3">
        <v>10</v>
      </c>
      <c r="J714" s="69"/>
      <c r="K714" s="3" t="s">
        <v>583</v>
      </c>
      <c r="L714" s="3" t="s">
        <v>318</v>
      </c>
      <c r="M714" s="3">
        <v>223.2</v>
      </c>
      <c r="N714" s="3">
        <v>620</v>
      </c>
      <c r="O714" s="3" t="str">
        <f t="shared" si="31"/>
        <v>2011</v>
      </c>
      <c r="P714" s="2">
        <v>352</v>
      </c>
    </row>
    <row r="715" spans="1:20" x14ac:dyDescent="0.35">
      <c r="A715" s="3">
        <v>2017</v>
      </c>
      <c r="B715" s="3">
        <v>7</v>
      </c>
      <c r="C715" s="3">
        <v>8</v>
      </c>
      <c r="D715" s="2">
        <v>93</v>
      </c>
      <c r="E715" s="14" t="s">
        <v>538</v>
      </c>
      <c r="F715" s="15">
        <v>3</v>
      </c>
      <c r="G715" s="3" t="s">
        <v>41</v>
      </c>
      <c r="H715" s="3" t="str">
        <f t="shared" si="32"/>
        <v>2013</v>
      </c>
      <c r="I715" s="3">
        <v>4</v>
      </c>
      <c r="J715" s="69"/>
      <c r="K715" s="3" t="s">
        <v>318</v>
      </c>
      <c r="L715" s="3" t="s">
        <v>318</v>
      </c>
      <c r="M715" s="3">
        <v>229.8</v>
      </c>
      <c r="N715" s="3">
        <v>624</v>
      </c>
      <c r="O715" s="3" t="str">
        <f t="shared" si="31"/>
        <v>2011</v>
      </c>
      <c r="P715" s="2">
        <v>93</v>
      </c>
    </row>
    <row r="716" spans="1:20" x14ac:dyDescent="0.35">
      <c r="A716" s="3">
        <v>2024</v>
      </c>
      <c r="B716" s="3">
        <v>8</v>
      </c>
      <c r="C716" s="3">
        <v>9</v>
      </c>
      <c r="D716" s="2">
        <v>719</v>
      </c>
      <c r="E716" s="3" t="s">
        <v>1135</v>
      </c>
      <c r="F716" s="3">
        <v>3</v>
      </c>
      <c r="G716" s="3" t="s">
        <v>41</v>
      </c>
      <c r="H716" s="3" t="str">
        <f t="shared" si="32"/>
        <v>2013</v>
      </c>
      <c r="I716" s="3">
        <v>11</v>
      </c>
      <c r="J716" s="69"/>
      <c r="K716" t="s">
        <v>755</v>
      </c>
      <c r="L716" t="s">
        <v>458</v>
      </c>
      <c r="M716">
        <v>207.6</v>
      </c>
      <c r="N716" s="3">
        <v>625</v>
      </c>
      <c r="O716" s="3" t="str">
        <f t="shared" si="31"/>
        <v>2011</v>
      </c>
      <c r="P716" s="2">
        <v>719</v>
      </c>
      <c r="T716">
        <v>7.59</v>
      </c>
    </row>
    <row r="717" spans="1:20" x14ac:dyDescent="0.35">
      <c r="A717" s="3">
        <v>2024</v>
      </c>
      <c r="B717" s="3">
        <v>8</v>
      </c>
      <c r="C717" s="3">
        <v>19</v>
      </c>
      <c r="D717" s="2">
        <v>740</v>
      </c>
      <c r="E717" s="3" t="s">
        <v>253</v>
      </c>
      <c r="F717" s="3">
        <v>3</v>
      </c>
      <c r="G717" s="3" t="s">
        <v>225</v>
      </c>
      <c r="H717" s="3" t="str">
        <f t="shared" si="32"/>
        <v>2021</v>
      </c>
      <c r="I717" s="3">
        <v>3</v>
      </c>
      <c r="J717" s="69"/>
      <c r="K717">
        <v>3</v>
      </c>
      <c r="L717">
        <v>3</v>
      </c>
      <c r="M717">
        <v>258.10000000000002</v>
      </c>
      <c r="N717" s="3">
        <v>625</v>
      </c>
      <c r="O717" s="3" t="str">
        <f t="shared" si="31"/>
        <v>2021</v>
      </c>
      <c r="P717" s="2">
        <v>740</v>
      </c>
    </row>
    <row r="718" spans="1:20" x14ac:dyDescent="0.35">
      <c r="A718" s="3">
        <v>2024</v>
      </c>
      <c r="B718" s="3">
        <v>8</v>
      </c>
      <c r="C718" s="3">
        <v>9</v>
      </c>
      <c r="D718" s="2">
        <v>776</v>
      </c>
      <c r="E718" s="3" t="s">
        <v>1161</v>
      </c>
      <c r="F718" s="3">
        <v>3</v>
      </c>
      <c r="G718" s="3" t="s">
        <v>41</v>
      </c>
      <c r="H718" s="3" t="str">
        <f t="shared" si="32"/>
        <v>2013</v>
      </c>
      <c r="I718" s="3">
        <v>11</v>
      </c>
      <c r="J718" s="69"/>
      <c r="K718" t="s">
        <v>669</v>
      </c>
      <c r="L718" t="s">
        <v>458</v>
      </c>
      <c r="M718">
        <v>293.39999999999998</v>
      </c>
      <c r="N718" s="3">
        <v>626</v>
      </c>
      <c r="O718" s="3" t="str">
        <f t="shared" si="31"/>
        <v>2011</v>
      </c>
      <c r="P718" s="2">
        <v>776</v>
      </c>
    </row>
    <row r="719" spans="1:20" x14ac:dyDescent="0.35">
      <c r="A719" s="3">
        <v>2016</v>
      </c>
      <c r="B719" s="3">
        <v>11</v>
      </c>
      <c r="C719" s="3">
        <v>8</v>
      </c>
      <c r="D719" s="2">
        <v>184</v>
      </c>
      <c r="E719" s="3" t="s">
        <v>635</v>
      </c>
      <c r="F719" s="3">
        <v>4</v>
      </c>
      <c r="G719" s="3" t="s">
        <v>45</v>
      </c>
      <c r="H719" s="3" t="str">
        <f t="shared" si="32"/>
        <v>2011</v>
      </c>
      <c r="I719" s="3">
        <v>5</v>
      </c>
      <c r="J719" s="69"/>
      <c r="K719" s="3" t="s">
        <v>632</v>
      </c>
      <c r="L719" s="3" t="s">
        <v>317</v>
      </c>
      <c r="M719" s="3">
        <v>290.89999999999998</v>
      </c>
      <c r="N719" s="3">
        <v>627</v>
      </c>
      <c r="O719" s="3" t="str">
        <f t="shared" si="31"/>
        <v>2007</v>
      </c>
      <c r="P719" s="2">
        <v>184</v>
      </c>
    </row>
    <row r="720" spans="1:20" x14ac:dyDescent="0.35">
      <c r="A720" s="3">
        <v>2024</v>
      </c>
      <c r="B720" s="3">
        <v>8</v>
      </c>
      <c r="C720" s="3">
        <v>13</v>
      </c>
      <c r="D720" s="2">
        <v>777</v>
      </c>
      <c r="E720" s="3" t="s">
        <v>277</v>
      </c>
      <c r="F720" s="3">
        <v>3</v>
      </c>
      <c r="G720" s="3" t="s">
        <v>225</v>
      </c>
      <c r="H720" s="3" t="str">
        <f t="shared" si="32"/>
        <v>2021</v>
      </c>
      <c r="I720" s="3">
        <v>3</v>
      </c>
      <c r="J720" s="69"/>
      <c r="K720" t="s">
        <v>1162</v>
      </c>
      <c r="L720">
        <v>3</v>
      </c>
      <c r="M720">
        <v>264.60000000000002</v>
      </c>
      <c r="N720" s="3">
        <v>627</v>
      </c>
      <c r="O720" s="3" t="str">
        <f t="shared" si="31"/>
        <v>2021</v>
      </c>
      <c r="P720" s="2">
        <v>777</v>
      </c>
    </row>
    <row r="721" spans="1:18" x14ac:dyDescent="0.35">
      <c r="A721" s="3">
        <v>2019</v>
      </c>
      <c r="B721" s="3">
        <v>11</v>
      </c>
      <c r="C721" s="3">
        <v>27</v>
      </c>
      <c r="D721" s="2">
        <v>40</v>
      </c>
      <c r="E721" s="3" t="s">
        <v>482</v>
      </c>
      <c r="F721" s="3">
        <v>4</v>
      </c>
      <c r="G721" s="3" t="s">
        <v>45</v>
      </c>
      <c r="H721" s="3" t="str">
        <f t="shared" si="32"/>
        <v>2011</v>
      </c>
      <c r="I721" s="3">
        <v>8</v>
      </c>
      <c r="J721" s="69"/>
      <c r="K721" s="3" t="s">
        <v>317</v>
      </c>
      <c r="L721" s="3" t="s">
        <v>317</v>
      </c>
      <c r="M721" s="3">
        <v>226.3</v>
      </c>
      <c r="N721" s="3">
        <v>630</v>
      </c>
      <c r="O721" s="3" t="str">
        <f t="shared" si="31"/>
        <v>2007</v>
      </c>
      <c r="P721" s="2">
        <v>40</v>
      </c>
    </row>
    <row r="722" spans="1:18" x14ac:dyDescent="0.35">
      <c r="A722" s="3">
        <v>2017</v>
      </c>
      <c r="B722" s="3">
        <v>8</v>
      </c>
      <c r="C722" s="3">
        <v>8</v>
      </c>
      <c r="D722" s="2">
        <v>124</v>
      </c>
      <c r="E722" s="14" t="s">
        <v>569</v>
      </c>
      <c r="F722" s="15">
        <v>3</v>
      </c>
      <c r="G722" s="3" t="s">
        <v>45</v>
      </c>
      <c r="H722" s="3" t="str">
        <f t="shared" si="32"/>
        <v>2009</v>
      </c>
      <c r="I722" s="3">
        <v>8</v>
      </c>
      <c r="J722" s="69"/>
      <c r="K722" s="3" t="s">
        <v>512</v>
      </c>
      <c r="L722" s="3" t="s">
        <v>512</v>
      </c>
      <c r="M722" s="3">
        <v>249.7</v>
      </c>
      <c r="N722" s="3">
        <v>630</v>
      </c>
      <c r="O722" s="3" t="str">
        <f t="shared" si="31"/>
        <v>2007</v>
      </c>
      <c r="P722" s="2">
        <v>124</v>
      </c>
    </row>
    <row r="723" spans="1:18" x14ac:dyDescent="0.35">
      <c r="A723" s="3">
        <v>2024</v>
      </c>
      <c r="B723" s="3">
        <v>4</v>
      </c>
      <c r="C723" s="3">
        <v>5</v>
      </c>
      <c r="D723" s="2">
        <v>662</v>
      </c>
      <c r="E723" s="3" t="s">
        <v>152</v>
      </c>
      <c r="F723" s="3">
        <v>2</v>
      </c>
      <c r="G723" s="3" t="s">
        <v>225</v>
      </c>
      <c r="H723" s="3" t="str">
        <f t="shared" si="32"/>
        <v>2021</v>
      </c>
      <c r="I723" s="3">
        <v>3</v>
      </c>
      <c r="J723" s="69"/>
      <c r="K723" t="s">
        <v>94</v>
      </c>
      <c r="L723">
        <v>1</v>
      </c>
      <c r="M723">
        <v>281.7</v>
      </c>
      <c r="N723" s="3">
        <v>630</v>
      </c>
      <c r="O723" s="3" t="str">
        <f t="shared" si="31"/>
        <v>2021</v>
      </c>
      <c r="P723" s="2">
        <v>662</v>
      </c>
    </row>
    <row r="724" spans="1:18" x14ac:dyDescent="0.35">
      <c r="A724" s="3">
        <v>2021</v>
      </c>
      <c r="B724" s="3">
        <v>10</v>
      </c>
      <c r="C724" s="3" t="s">
        <v>28</v>
      </c>
      <c r="D724" s="2">
        <v>34</v>
      </c>
      <c r="E724" s="3" t="s">
        <v>476</v>
      </c>
      <c r="F724" s="3">
        <v>4</v>
      </c>
      <c r="G724" s="3" t="s">
        <v>41</v>
      </c>
      <c r="H724" s="3" t="str">
        <f t="shared" si="32"/>
        <v>2012</v>
      </c>
      <c r="I724" s="3">
        <v>9</v>
      </c>
      <c r="J724" s="69"/>
      <c r="K724" s="3" t="s">
        <v>461</v>
      </c>
      <c r="L724" s="3" t="s">
        <v>461</v>
      </c>
      <c r="M724" s="3">
        <v>216.4</v>
      </c>
      <c r="N724" s="3">
        <v>631</v>
      </c>
      <c r="O724" s="3" t="str">
        <f t="shared" si="31"/>
        <v>2011</v>
      </c>
      <c r="P724" s="2">
        <v>34</v>
      </c>
    </row>
    <row r="725" spans="1:18" x14ac:dyDescent="0.35">
      <c r="A725" s="3">
        <v>2017</v>
      </c>
      <c r="B725" s="3">
        <v>1</v>
      </c>
      <c r="C725" s="3">
        <v>20</v>
      </c>
      <c r="D725" s="2">
        <v>97</v>
      </c>
      <c r="E725" s="14" t="s">
        <v>543</v>
      </c>
      <c r="F725" s="15">
        <v>1</v>
      </c>
      <c r="G725" s="3" t="s">
        <v>41</v>
      </c>
      <c r="H725" s="3" t="str">
        <f t="shared" si="32"/>
        <v>2012</v>
      </c>
      <c r="I725" s="3">
        <v>5</v>
      </c>
      <c r="J725" s="69"/>
      <c r="K725" s="3" t="s">
        <v>544</v>
      </c>
      <c r="L725" s="3" t="s">
        <v>461</v>
      </c>
      <c r="M725" s="3">
        <v>243.1</v>
      </c>
      <c r="N725" s="3">
        <v>631</v>
      </c>
      <c r="O725" s="3" t="str">
        <f t="shared" si="31"/>
        <v>2011</v>
      </c>
      <c r="P725" s="2">
        <v>97</v>
      </c>
    </row>
    <row r="726" spans="1:18" x14ac:dyDescent="0.35">
      <c r="A726" s="3">
        <v>2019</v>
      </c>
      <c r="B726" s="3">
        <v>2</v>
      </c>
      <c r="C726" s="3">
        <v>21</v>
      </c>
      <c r="D726" s="2">
        <v>168</v>
      </c>
      <c r="E726" s="3" t="s">
        <v>617</v>
      </c>
      <c r="F726" s="3">
        <v>1</v>
      </c>
      <c r="G726" s="3" t="s">
        <v>45</v>
      </c>
      <c r="H726" s="3" t="str">
        <f t="shared" si="32"/>
        <v>2011</v>
      </c>
      <c r="I726" s="3">
        <v>8</v>
      </c>
      <c r="J726" s="69"/>
      <c r="K726" s="3" t="s">
        <v>615</v>
      </c>
      <c r="L726" s="3" t="s">
        <v>317</v>
      </c>
      <c r="M726" s="3">
        <v>282.2</v>
      </c>
      <c r="N726" s="3">
        <v>632</v>
      </c>
      <c r="O726" s="3" t="str">
        <f t="shared" si="31"/>
        <v>2007</v>
      </c>
      <c r="P726" s="2">
        <v>168</v>
      </c>
      <c r="R726" s="2">
        <v>10.92</v>
      </c>
    </row>
    <row r="727" spans="1:18" x14ac:dyDescent="0.35">
      <c r="A727" s="3">
        <v>2019</v>
      </c>
      <c r="B727" s="3">
        <v>2</v>
      </c>
      <c r="C727" s="3">
        <v>21</v>
      </c>
      <c r="D727" s="2">
        <v>168</v>
      </c>
      <c r="E727" s="3" t="s">
        <v>617</v>
      </c>
      <c r="F727" s="3">
        <v>1</v>
      </c>
      <c r="G727" s="3" t="s">
        <v>45</v>
      </c>
      <c r="H727" s="3" t="str">
        <f t="shared" si="32"/>
        <v>2011</v>
      </c>
      <c r="I727" s="3">
        <v>8</v>
      </c>
      <c r="J727" s="69"/>
      <c r="K727" s="3" t="s">
        <v>615</v>
      </c>
      <c r="L727" s="3" t="s">
        <v>317</v>
      </c>
      <c r="M727" s="3">
        <v>282.2</v>
      </c>
      <c r="N727" s="3">
        <v>632</v>
      </c>
      <c r="O727" s="3" t="str">
        <f t="shared" si="31"/>
        <v>2007</v>
      </c>
      <c r="P727" s="2">
        <v>168</v>
      </c>
      <c r="R727" s="2">
        <v>19.52</v>
      </c>
    </row>
    <row r="728" spans="1:18" x14ac:dyDescent="0.35">
      <c r="A728" s="3">
        <v>2018</v>
      </c>
      <c r="B728" s="3">
        <v>8</v>
      </c>
      <c r="C728" s="3">
        <v>16</v>
      </c>
      <c r="D728" s="2">
        <v>330</v>
      </c>
      <c r="E728" s="3" t="s">
        <v>797</v>
      </c>
      <c r="F728" s="3">
        <v>3</v>
      </c>
      <c r="G728" s="3" t="s">
        <v>45</v>
      </c>
      <c r="H728" s="3" t="str">
        <f t="shared" si="32"/>
        <v>2011</v>
      </c>
      <c r="I728" s="3">
        <v>7</v>
      </c>
      <c r="J728" s="69"/>
      <c r="K728" s="3" t="s">
        <v>632</v>
      </c>
      <c r="L728" s="3" t="s">
        <v>317</v>
      </c>
      <c r="M728" s="3">
        <v>211.2</v>
      </c>
      <c r="N728" s="3">
        <v>633</v>
      </c>
      <c r="O728" s="3" t="str">
        <f t="shared" si="31"/>
        <v>2007</v>
      </c>
      <c r="P728" s="2">
        <v>330</v>
      </c>
    </row>
    <row r="729" spans="1:18" x14ac:dyDescent="0.35">
      <c r="A729" s="3">
        <v>2021</v>
      </c>
      <c r="B729" s="3" t="s">
        <v>28</v>
      </c>
      <c r="C729" s="3" t="s">
        <v>28</v>
      </c>
      <c r="D729" s="2">
        <v>486</v>
      </c>
      <c r="E729" s="3" t="s">
        <v>111</v>
      </c>
      <c r="F729" s="3" t="s">
        <v>28</v>
      </c>
      <c r="G729" s="3" t="s">
        <v>226</v>
      </c>
      <c r="H729" s="3" t="str">
        <f t="shared" si="32"/>
        <v>2018</v>
      </c>
      <c r="I729" s="3">
        <v>3</v>
      </c>
      <c r="J729" s="69"/>
      <c r="K729" s="3" t="s">
        <v>51</v>
      </c>
      <c r="L729" s="3" t="s">
        <v>939</v>
      </c>
      <c r="M729" s="16">
        <v>210</v>
      </c>
      <c r="N729" s="3">
        <v>633</v>
      </c>
      <c r="O729" s="3" t="str">
        <f t="shared" si="31"/>
        <v>2017</v>
      </c>
      <c r="P729" s="2">
        <v>486</v>
      </c>
    </row>
    <row r="730" spans="1:18" x14ac:dyDescent="0.35">
      <c r="A730" s="3">
        <v>2023</v>
      </c>
      <c r="B730" s="3">
        <v>11</v>
      </c>
      <c r="C730" s="3">
        <v>17</v>
      </c>
      <c r="D730" s="2">
        <v>511</v>
      </c>
      <c r="E730" s="3" t="s">
        <v>964</v>
      </c>
      <c r="F730" s="3">
        <v>4</v>
      </c>
      <c r="G730" s="3" t="s">
        <v>225</v>
      </c>
      <c r="H730" s="3" t="str">
        <f t="shared" si="32"/>
        <v>2022</v>
      </c>
      <c r="I730" s="3">
        <v>1</v>
      </c>
      <c r="J730" s="69"/>
      <c r="K730" s="3" t="s">
        <v>896</v>
      </c>
      <c r="L730" s="3">
        <v>5</v>
      </c>
      <c r="M730" s="3">
        <v>316.10000000000002</v>
      </c>
      <c r="N730" s="3">
        <v>633</v>
      </c>
      <c r="O730" s="3" t="str">
        <f t="shared" si="31"/>
        <v>2021</v>
      </c>
      <c r="P730" s="2">
        <v>511</v>
      </c>
    </row>
    <row r="731" spans="1:18" x14ac:dyDescent="0.35">
      <c r="A731" s="3">
        <v>2011</v>
      </c>
      <c r="B731" s="3">
        <v>11</v>
      </c>
      <c r="C731" s="3">
        <v>14</v>
      </c>
      <c r="D731" s="2">
        <v>616</v>
      </c>
      <c r="E731" s="3" t="s">
        <v>135</v>
      </c>
      <c r="F731" s="3">
        <v>4</v>
      </c>
      <c r="G731" s="3" t="s">
        <v>45</v>
      </c>
      <c r="H731" s="3" t="str">
        <f t="shared" si="32"/>
        <v>2009</v>
      </c>
      <c r="I731" s="3">
        <v>2</v>
      </c>
      <c r="J731" s="69"/>
      <c r="K731" t="s">
        <v>671</v>
      </c>
      <c r="L731" s="3" t="s">
        <v>512</v>
      </c>
      <c r="M731">
        <v>225.4</v>
      </c>
      <c r="N731" s="3">
        <v>633</v>
      </c>
      <c r="O731" s="3" t="str">
        <f t="shared" si="31"/>
        <v>2007</v>
      </c>
      <c r="P731" s="2">
        <v>616</v>
      </c>
    </row>
    <row r="732" spans="1:18" x14ac:dyDescent="0.35">
      <c r="A732" s="3">
        <v>2024</v>
      </c>
      <c r="B732" s="3">
        <v>8</v>
      </c>
      <c r="C732" s="3">
        <v>19</v>
      </c>
      <c r="D732" s="2">
        <v>729</v>
      </c>
      <c r="E732" s="3" t="s">
        <v>1145</v>
      </c>
      <c r="F732" s="3">
        <v>3</v>
      </c>
      <c r="G732" s="3" t="s">
        <v>225</v>
      </c>
      <c r="H732" s="3" t="str">
        <f t="shared" si="32"/>
        <v>2021</v>
      </c>
      <c r="I732" s="3">
        <v>3</v>
      </c>
      <c r="J732" s="69"/>
      <c r="K732">
        <v>3</v>
      </c>
      <c r="L732">
        <v>3</v>
      </c>
      <c r="M732">
        <v>291.89999999999998</v>
      </c>
      <c r="N732" s="3">
        <v>634</v>
      </c>
      <c r="O732" s="3" t="str">
        <f t="shared" si="31"/>
        <v>2021</v>
      </c>
      <c r="P732" s="2">
        <v>729</v>
      </c>
    </row>
    <row r="733" spans="1:18" x14ac:dyDescent="0.35">
      <c r="A733" s="3">
        <v>2022</v>
      </c>
      <c r="B733" s="3">
        <v>1</v>
      </c>
      <c r="C733" s="3" t="s">
        <v>28</v>
      </c>
      <c r="D733" s="2">
        <v>11</v>
      </c>
      <c r="E733" s="3" t="s">
        <v>19</v>
      </c>
      <c r="F733" s="3">
        <v>1</v>
      </c>
      <c r="G733" s="3" t="s">
        <v>20</v>
      </c>
      <c r="H733" s="3" t="str">
        <f t="shared" si="32"/>
        <v>2020</v>
      </c>
      <c r="I733" s="3">
        <v>2</v>
      </c>
      <c r="J733" s="69"/>
      <c r="K733" s="3">
        <v>8</v>
      </c>
      <c r="L733" s="3">
        <v>8</v>
      </c>
      <c r="M733" s="3">
        <v>370.8</v>
      </c>
      <c r="N733" s="3">
        <v>637</v>
      </c>
      <c r="O733" s="3" t="str">
        <f t="shared" si="31"/>
        <v>2018</v>
      </c>
      <c r="P733" s="2">
        <v>11</v>
      </c>
    </row>
    <row r="734" spans="1:18" x14ac:dyDescent="0.35">
      <c r="A734" s="3">
        <v>2023</v>
      </c>
      <c r="B734" s="3">
        <v>11</v>
      </c>
      <c r="C734" s="3">
        <v>20</v>
      </c>
      <c r="D734" s="2">
        <v>538</v>
      </c>
      <c r="E734" s="3" t="s">
        <v>119</v>
      </c>
      <c r="F734" s="3">
        <v>4</v>
      </c>
      <c r="G734" s="3" t="s">
        <v>225</v>
      </c>
      <c r="H734" s="3" t="str">
        <f t="shared" si="32"/>
        <v>2023</v>
      </c>
      <c r="I734" s="3">
        <v>0</v>
      </c>
      <c r="J734" s="69"/>
      <c r="K734" t="s">
        <v>229</v>
      </c>
      <c r="L734" s="3">
        <v>10</v>
      </c>
      <c r="M734" s="3">
        <v>313.2</v>
      </c>
      <c r="N734" s="3">
        <v>638</v>
      </c>
      <c r="O734" s="3" t="str">
        <f t="shared" si="31"/>
        <v>2021</v>
      </c>
      <c r="P734" s="2">
        <v>538</v>
      </c>
    </row>
    <row r="735" spans="1:18" x14ac:dyDescent="0.35">
      <c r="A735" s="3">
        <v>2024</v>
      </c>
      <c r="B735">
        <v>8</v>
      </c>
      <c r="C735" s="3">
        <v>15</v>
      </c>
      <c r="D735" s="2">
        <v>827</v>
      </c>
      <c r="E735" s="3" t="s">
        <v>1181</v>
      </c>
      <c r="F735" s="3">
        <v>3</v>
      </c>
      <c r="G735" s="3" t="s">
        <v>225</v>
      </c>
      <c r="H735" s="3" t="str">
        <f t="shared" si="32"/>
        <v>2021</v>
      </c>
      <c r="I735" s="3">
        <v>3</v>
      </c>
      <c r="J735" s="69"/>
      <c r="K735" t="s">
        <v>237</v>
      </c>
      <c r="L735">
        <v>3</v>
      </c>
      <c r="M735">
        <v>309</v>
      </c>
      <c r="N735" s="3">
        <v>638</v>
      </c>
      <c r="O735" s="3" t="str">
        <f t="shared" si="31"/>
        <v>2021</v>
      </c>
      <c r="P735" s="2">
        <v>827</v>
      </c>
    </row>
    <row r="736" spans="1:18" x14ac:dyDescent="0.35">
      <c r="A736" s="3">
        <v>2024</v>
      </c>
      <c r="B736" s="3">
        <v>2</v>
      </c>
      <c r="C736" s="3">
        <v>23</v>
      </c>
      <c r="D736" s="2">
        <v>646</v>
      </c>
      <c r="E736" s="3" t="s">
        <v>143</v>
      </c>
      <c r="F736" s="3">
        <v>1</v>
      </c>
      <c r="G736" s="3" t="s">
        <v>225</v>
      </c>
      <c r="H736" s="3" t="str">
        <f t="shared" si="32"/>
        <v>2022</v>
      </c>
      <c r="I736" s="3">
        <v>2</v>
      </c>
      <c r="J736" s="69"/>
      <c r="K736" t="s">
        <v>21</v>
      </c>
      <c r="L736" s="3">
        <v>2</v>
      </c>
      <c r="M736">
        <v>249.8</v>
      </c>
      <c r="N736" s="3">
        <v>639</v>
      </c>
      <c r="O736" s="3" t="str">
        <f t="shared" si="31"/>
        <v>2021</v>
      </c>
      <c r="P736" s="2">
        <v>646</v>
      </c>
    </row>
    <row r="737" spans="1:16" x14ac:dyDescent="0.35">
      <c r="A737" s="3">
        <v>2022</v>
      </c>
      <c r="B737" s="3">
        <v>11</v>
      </c>
      <c r="C737" s="3">
        <v>18</v>
      </c>
      <c r="D737" s="2">
        <v>109</v>
      </c>
      <c r="E737" s="14" t="s">
        <v>557</v>
      </c>
      <c r="F737" s="15">
        <v>4</v>
      </c>
      <c r="G737" s="3" t="s">
        <v>225</v>
      </c>
      <c r="H737" s="3" t="str">
        <f t="shared" si="32"/>
        <v>2021</v>
      </c>
      <c r="I737" s="3">
        <v>1</v>
      </c>
      <c r="J737" s="69"/>
      <c r="K737" s="3">
        <v>4</v>
      </c>
      <c r="L737" s="3">
        <v>4</v>
      </c>
      <c r="M737" s="3">
        <v>262.7</v>
      </c>
      <c r="N737" s="3">
        <v>640</v>
      </c>
      <c r="O737" s="3" t="str">
        <f t="shared" si="31"/>
        <v>2021</v>
      </c>
      <c r="P737" s="2">
        <v>109</v>
      </c>
    </row>
    <row r="738" spans="1:16" x14ac:dyDescent="0.35">
      <c r="A738" s="3">
        <v>2024</v>
      </c>
      <c r="B738" s="3">
        <v>8</v>
      </c>
      <c r="C738" s="3">
        <v>15</v>
      </c>
      <c r="D738" s="2">
        <v>737</v>
      </c>
      <c r="E738" s="3" t="s">
        <v>252</v>
      </c>
      <c r="F738" s="3">
        <v>3</v>
      </c>
      <c r="G738" s="3" t="s">
        <v>225</v>
      </c>
      <c r="H738" s="3" t="str">
        <f t="shared" si="32"/>
        <v>2021</v>
      </c>
      <c r="I738" s="3">
        <v>3</v>
      </c>
      <c r="J738" s="69"/>
      <c r="K738">
        <v>3</v>
      </c>
      <c r="L738">
        <v>3</v>
      </c>
      <c r="M738">
        <v>330.4</v>
      </c>
      <c r="N738" s="3">
        <v>641</v>
      </c>
      <c r="O738" s="3" t="str">
        <f t="shared" si="31"/>
        <v>2021</v>
      </c>
      <c r="P738" s="2">
        <v>737</v>
      </c>
    </row>
    <row r="739" spans="1:16" x14ac:dyDescent="0.35">
      <c r="A739" s="3">
        <v>2023</v>
      </c>
      <c r="B739" s="3">
        <v>8</v>
      </c>
      <c r="C739" s="3">
        <v>2</v>
      </c>
      <c r="D739" s="2">
        <v>425</v>
      </c>
      <c r="E739" s="3" t="s">
        <v>886</v>
      </c>
      <c r="F739" s="3">
        <v>3</v>
      </c>
      <c r="G739" s="3" t="s">
        <v>225</v>
      </c>
      <c r="H739" s="3" t="str">
        <f t="shared" si="32"/>
        <v>2022</v>
      </c>
      <c r="I739" s="3">
        <v>1</v>
      </c>
      <c r="J739" s="69"/>
      <c r="K739" s="3" t="s">
        <v>67</v>
      </c>
      <c r="L739" s="3">
        <v>2</v>
      </c>
      <c r="M739" s="3">
        <v>271.8</v>
      </c>
      <c r="N739" s="3">
        <v>641.35</v>
      </c>
      <c r="O739" s="3" t="str">
        <f t="shared" si="31"/>
        <v>2021</v>
      </c>
      <c r="P739" s="2">
        <v>425</v>
      </c>
    </row>
    <row r="740" spans="1:16" x14ac:dyDescent="0.35">
      <c r="A740" s="3">
        <v>2017</v>
      </c>
      <c r="B740" s="3">
        <v>3</v>
      </c>
      <c r="C740" s="3">
        <v>7</v>
      </c>
      <c r="D740" s="2">
        <v>133</v>
      </c>
      <c r="E740" s="14" t="s">
        <v>578</v>
      </c>
      <c r="F740" s="15">
        <v>2</v>
      </c>
      <c r="G740" s="3" t="s">
        <v>41</v>
      </c>
      <c r="H740" s="3" t="str">
        <f t="shared" si="32"/>
        <v>2012</v>
      </c>
      <c r="I740" s="3">
        <v>5</v>
      </c>
      <c r="J740" s="69"/>
      <c r="K740" s="3" t="s">
        <v>461</v>
      </c>
      <c r="L740" s="3" t="s">
        <v>461</v>
      </c>
      <c r="M740" s="3">
        <v>274.8</v>
      </c>
      <c r="N740" s="3">
        <v>643</v>
      </c>
      <c r="O740" s="3" t="str">
        <f t="shared" si="31"/>
        <v>2011</v>
      </c>
      <c r="P740" s="2">
        <v>133</v>
      </c>
    </row>
    <row r="741" spans="1:16" x14ac:dyDescent="0.35">
      <c r="A741" s="3">
        <v>2016</v>
      </c>
      <c r="B741" s="3">
        <v>11</v>
      </c>
      <c r="C741" s="3">
        <v>8</v>
      </c>
      <c r="D741" s="2">
        <v>185</v>
      </c>
      <c r="E741" s="3" t="s">
        <v>636</v>
      </c>
      <c r="F741" s="3">
        <v>4</v>
      </c>
      <c r="G741" s="3" t="s">
        <v>45</v>
      </c>
      <c r="H741" s="3" t="str">
        <f t="shared" si="32"/>
        <v>2011</v>
      </c>
      <c r="I741" s="3">
        <v>5</v>
      </c>
      <c r="J741" s="69"/>
      <c r="K741" s="3" t="s">
        <v>632</v>
      </c>
      <c r="L741" s="3" t="s">
        <v>317</v>
      </c>
      <c r="M741" s="3">
        <v>369.7</v>
      </c>
      <c r="N741" s="3">
        <v>643</v>
      </c>
      <c r="O741" s="3" t="str">
        <f t="shared" si="31"/>
        <v>2007</v>
      </c>
      <c r="P741" s="2">
        <v>185</v>
      </c>
    </row>
    <row r="742" spans="1:16" x14ac:dyDescent="0.35">
      <c r="A742" s="3">
        <v>2024</v>
      </c>
      <c r="B742" s="3">
        <v>8</v>
      </c>
      <c r="C742" s="3">
        <v>14</v>
      </c>
      <c r="D742" s="2">
        <v>723</v>
      </c>
      <c r="E742" s="3" t="s">
        <v>245</v>
      </c>
      <c r="F742" s="3">
        <v>3</v>
      </c>
      <c r="G742" s="3" t="s">
        <v>225</v>
      </c>
      <c r="H742" s="3" t="str">
        <f t="shared" si="32"/>
        <v>2021</v>
      </c>
      <c r="I742" s="3">
        <v>3</v>
      </c>
      <c r="J742" s="69"/>
      <c r="K742" t="s">
        <v>94</v>
      </c>
      <c r="L742">
        <v>1</v>
      </c>
      <c r="M742">
        <v>283.60000000000002</v>
      </c>
      <c r="N742" s="3">
        <v>643</v>
      </c>
      <c r="O742" s="3" t="str">
        <f t="shared" si="31"/>
        <v>2021</v>
      </c>
      <c r="P742" s="2">
        <v>723</v>
      </c>
    </row>
    <row r="743" spans="1:16" x14ac:dyDescent="0.35">
      <c r="A743" s="3">
        <v>2018</v>
      </c>
      <c r="B743" s="3">
        <v>8</v>
      </c>
      <c r="C743" s="3">
        <v>16</v>
      </c>
      <c r="D743" s="2">
        <v>324</v>
      </c>
      <c r="E743" s="3" t="s">
        <v>791</v>
      </c>
      <c r="F743" s="3">
        <v>3</v>
      </c>
      <c r="G743" s="3" t="s">
        <v>45</v>
      </c>
      <c r="H743" s="3" t="str">
        <f t="shared" si="32"/>
        <v>2011</v>
      </c>
      <c r="I743" s="3">
        <v>7</v>
      </c>
      <c r="J743" s="69"/>
      <c r="K743" s="3" t="s">
        <v>647</v>
      </c>
      <c r="L743" s="3" t="s">
        <v>317</v>
      </c>
      <c r="M743" s="3">
        <v>249.9</v>
      </c>
      <c r="N743" s="3">
        <v>646</v>
      </c>
      <c r="O743" s="3" t="str">
        <f t="shared" si="31"/>
        <v>2007</v>
      </c>
      <c r="P743" s="2">
        <v>324</v>
      </c>
    </row>
    <row r="744" spans="1:16" x14ac:dyDescent="0.35">
      <c r="A744" s="3">
        <v>2019</v>
      </c>
      <c r="B744" s="3">
        <v>2</v>
      </c>
      <c r="C744" s="3">
        <v>21</v>
      </c>
      <c r="D744" s="2">
        <v>167</v>
      </c>
      <c r="E744" s="3" t="s">
        <v>616</v>
      </c>
      <c r="F744" s="3">
        <v>1</v>
      </c>
      <c r="G744" s="3" t="s">
        <v>45</v>
      </c>
      <c r="H744" s="3" t="str">
        <f t="shared" si="32"/>
        <v>2011</v>
      </c>
      <c r="I744" s="3">
        <v>8</v>
      </c>
      <c r="J744" s="69"/>
      <c r="K744" s="3" t="s">
        <v>615</v>
      </c>
      <c r="L744" s="3" t="s">
        <v>317</v>
      </c>
      <c r="M744" s="3">
        <v>263.39999999999998</v>
      </c>
      <c r="N744" s="3">
        <v>648</v>
      </c>
      <c r="O744" s="3" t="str">
        <f t="shared" si="31"/>
        <v>2007</v>
      </c>
      <c r="P744" s="2">
        <v>167</v>
      </c>
    </row>
    <row r="745" spans="1:16" x14ac:dyDescent="0.35">
      <c r="A745" s="3">
        <v>2024</v>
      </c>
      <c r="B745" s="3">
        <v>1</v>
      </c>
      <c r="C745" s="3">
        <v>19</v>
      </c>
      <c r="D745" s="2">
        <v>584</v>
      </c>
      <c r="E745" s="3" t="s">
        <v>1028</v>
      </c>
      <c r="F745" s="3">
        <v>1</v>
      </c>
      <c r="G745" s="3" t="s">
        <v>41</v>
      </c>
      <c r="H745" s="3" t="str">
        <f t="shared" si="32"/>
        <v>2013</v>
      </c>
      <c r="I745" s="3">
        <v>11</v>
      </c>
      <c r="J745" s="69"/>
      <c r="K745" t="s">
        <v>42</v>
      </c>
      <c r="L745" s="3" t="s">
        <v>318</v>
      </c>
      <c r="M745">
        <v>280.8</v>
      </c>
      <c r="N745" s="3">
        <v>649</v>
      </c>
      <c r="O745" s="3" t="str">
        <f t="shared" si="31"/>
        <v>2011</v>
      </c>
      <c r="P745" s="2">
        <v>584</v>
      </c>
    </row>
    <row r="746" spans="1:16" x14ac:dyDescent="0.35">
      <c r="A746" s="3">
        <v>2023</v>
      </c>
      <c r="B746" s="3">
        <v>7</v>
      </c>
      <c r="C746" s="3">
        <v>17</v>
      </c>
      <c r="D746" s="2">
        <v>347</v>
      </c>
      <c r="E746" s="3" t="s">
        <v>813</v>
      </c>
      <c r="F746" s="3">
        <v>3</v>
      </c>
      <c r="G746" s="3" t="s">
        <v>45</v>
      </c>
      <c r="H746" s="3" t="str">
        <f t="shared" si="32"/>
        <v>2011</v>
      </c>
      <c r="I746" s="3">
        <v>12</v>
      </c>
      <c r="J746" s="69"/>
      <c r="K746" s="3" t="s">
        <v>236</v>
      </c>
      <c r="L746" s="3" t="s">
        <v>317</v>
      </c>
      <c r="M746" s="3">
        <v>245.9</v>
      </c>
      <c r="N746" s="3">
        <v>650</v>
      </c>
      <c r="O746" s="3" t="str">
        <f t="shared" si="31"/>
        <v>2007</v>
      </c>
      <c r="P746" s="2">
        <v>347</v>
      </c>
    </row>
    <row r="747" spans="1:16" x14ac:dyDescent="0.35">
      <c r="A747" s="3">
        <v>2024</v>
      </c>
      <c r="B747">
        <v>8</v>
      </c>
      <c r="C747" s="3">
        <v>19</v>
      </c>
      <c r="D747" s="2">
        <v>820</v>
      </c>
      <c r="E747" s="3" t="s">
        <v>302</v>
      </c>
      <c r="F747" s="3">
        <v>3</v>
      </c>
      <c r="G747" s="3" t="s">
        <v>225</v>
      </c>
      <c r="H747" s="3" t="str">
        <f t="shared" si="32"/>
        <v>2021</v>
      </c>
      <c r="I747" s="3">
        <v>3</v>
      </c>
      <c r="J747" s="69"/>
      <c r="K747">
        <v>3</v>
      </c>
      <c r="L747">
        <v>3</v>
      </c>
      <c r="M747">
        <v>304.10000000000002</v>
      </c>
      <c r="N747" s="3">
        <v>650</v>
      </c>
      <c r="O747" s="3" t="str">
        <f t="shared" si="31"/>
        <v>2021</v>
      </c>
      <c r="P747" s="2">
        <v>820</v>
      </c>
    </row>
    <row r="748" spans="1:16" x14ac:dyDescent="0.35">
      <c r="A748" s="3">
        <v>2021</v>
      </c>
      <c r="B748" s="3">
        <v>10</v>
      </c>
      <c r="C748" s="3" t="s">
        <v>28</v>
      </c>
      <c r="D748" s="2">
        <v>28</v>
      </c>
      <c r="E748" s="3" t="s">
        <v>470</v>
      </c>
      <c r="F748" s="3">
        <v>4</v>
      </c>
      <c r="G748" s="3" t="s">
        <v>41</v>
      </c>
      <c r="H748" s="3" t="str">
        <f t="shared" si="32"/>
        <v>2012</v>
      </c>
      <c r="I748" s="3">
        <v>9</v>
      </c>
      <c r="J748" s="69"/>
      <c r="K748" s="3" t="s">
        <v>461</v>
      </c>
      <c r="L748" s="3" t="s">
        <v>461</v>
      </c>
      <c r="M748" s="3">
        <v>283.2</v>
      </c>
      <c r="N748" s="3">
        <v>651</v>
      </c>
      <c r="O748" s="3" t="str">
        <f t="shared" si="31"/>
        <v>2011</v>
      </c>
      <c r="P748" s="2">
        <v>28</v>
      </c>
    </row>
    <row r="749" spans="1:16" x14ac:dyDescent="0.35">
      <c r="A749" s="3">
        <v>2017</v>
      </c>
      <c r="B749" s="3">
        <v>8</v>
      </c>
      <c r="C749" s="3">
        <v>14</v>
      </c>
      <c r="D749" s="2">
        <v>129</v>
      </c>
      <c r="E749" s="14" t="s">
        <v>574</v>
      </c>
      <c r="F749" s="15">
        <v>3</v>
      </c>
      <c r="G749" s="3" t="s">
        <v>45</v>
      </c>
      <c r="H749" s="3" t="str">
        <f t="shared" si="32"/>
        <v>2011</v>
      </c>
      <c r="I749" s="3">
        <v>6</v>
      </c>
      <c r="J749" s="69"/>
      <c r="K749" s="3" t="s">
        <v>317</v>
      </c>
      <c r="L749" s="3" t="s">
        <v>317</v>
      </c>
      <c r="M749" s="3">
        <v>229.6</v>
      </c>
      <c r="N749" s="3">
        <v>652</v>
      </c>
      <c r="O749" s="3" t="str">
        <f t="shared" si="31"/>
        <v>2007</v>
      </c>
      <c r="P749" s="2">
        <v>129</v>
      </c>
    </row>
    <row r="750" spans="1:16" x14ac:dyDescent="0.35">
      <c r="A750" s="3">
        <v>2024</v>
      </c>
      <c r="B750" s="3">
        <v>8</v>
      </c>
      <c r="C750" s="3">
        <v>9</v>
      </c>
      <c r="D750" s="2">
        <v>718</v>
      </c>
      <c r="E750" s="3" t="s">
        <v>1134</v>
      </c>
      <c r="F750" s="3">
        <v>3</v>
      </c>
      <c r="G750" s="3" t="s">
        <v>41</v>
      </c>
      <c r="H750" s="3" t="str">
        <f t="shared" si="32"/>
        <v>2013</v>
      </c>
      <c r="I750" s="3">
        <v>11</v>
      </c>
      <c r="J750" s="69"/>
      <c r="K750" t="s">
        <v>755</v>
      </c>
      <c r="L750" t="s">
        <v>458</v>
      </c>
      <c r="M750">
        <v>305</v>
      </c>
      <c r="N750" s="3">
        <v>653</v>
      </c>
      <c r="O750" s="3" t="str">
        <f t="shared" si="31"/>
        <v>2011</v>
      </c>
      <c r="P750" s="2">
        <v>718</v>
      </c>
    </row>
    <row r="751" spans="1:16" x14ac:dyDescent="0.35">
      <c r="A751" s="3">
        <v>2021</v>
      </c>
      <c r="B751" s="3">
        <v>10</v>
      </c>
      <c r="C751" s="3" t="s">
        <v>28</v>
      </c>
      <c r="D751" s="2">
        <v>5</v>
      </c>
      <c r="E751" s="3" t="s">
        <v>448</v>
      </c>
      <c r="F751" s="3">
        <v>4</v>
      </c>
      <c r="G751" s="3" t="s">
        <v>41</v>
      </c>
      <c r="H751" s="3" t="str">
        <f t="shared" si="32"/>
        <v>2013</v>
      </c>
      <c r="I751" s="3">
        <v>8</v>
      </c>
      <c r="J751" s="69"/>
      <c r="K751" s="3" t="s">
        <v>318</v>
      </c>
      <c r="L751" s="3" t="s">
        <v>318</v>
      </c>
      <c r="M751" s="3">
        <v>291.5</v>
      </c>
      <c r="N751" s="3">
        <v>655</v>
      </c>
      <c r="O751" s="3" t="str">
        <f t="shared" si="31"/>
        <v>2011</v>
      </c>
      <c r="P751" s="2">
        <v>5</v>
      </c>
    </row>
    <row r="752" spans="1:16" x14ac:dyDescent="0.35">
      <c r="A752" s="3">
        <v>2016</v>
      </c>
      <c r="B752" s="3">
        <v>11</v>
      </c>
      <c r="C752" s="3">
        <v>7</v>
      </c>
      <c r="D752" s="2">
        <v>203</v>
      </c>
      <c r="E752" s="3" t="s">
        <v>656</v>
      </c>
      <c r="F752" s="3">
        <v>4</v>
      </c>
      <c r="G752" s="3" t="s">
        <v>45</v>
      </c>
      <c r="H752" s="3" t="str">
        <f t="shared" si="32"/>
        <v>2009</v>
      </c>
      <c r="I752" s="3">
        <v>7</v>
      </c>
      <c r="J752" s="69"/>
      <c r="K752" s="3" t="s">
        <v>657</v>
      </c>
      <c r="L752" s="3" t="s">
        <v>488</v>
      </c>
      <c r="M752" s="3">
        <v>350.6</v>
      </c>
      <c r="N752" s="3">
        <v>655</v>
      </c>
      <c r="O752" s="3" t="str">
        <f t="shared" si="31"/>
        <v>2007</v>
      </c>
      <c r="P752" s="2">
        <v>203</v>
      </c>
    </row>
    <row r="753" spans="1:16" x14ac:dyDescent="0.35">
      <c r="A753" s="3">
        <v>2024</v>
      </c>
      <c r="B753" s="3">
        <v>8</v>
      </c>
      <c r="C753" s="3">
        <v>19</v>
      </c>
      <c r="D753" s="2">
        <v>799</v>
      </c>
      <c r="E753" s="3" t="s">
        <v>289</v>
      </c>
      <c r="F753" s="3">
        <v>3</v>
      </c>
      <c r="G753" s="3" t="s">
        <v>225</v>
      </c>
      <c r="H753" s="3" t="str">
        <f t="shared" si="32"/>
        <v>2021</v>
      </c>
      <c r="I753" s="3">
        <v>3</v>
      </c>
      <c r="J753" s="69"/>
      <c r="K753">
        <v>3</v>
      </c>
      <c r="L753">
        <v>3</v>
      </c>
      <c r="M753">
        <v>319.3</v>
      </c>
      <c r="N753" s="3">
        <v>655</v>
      </c>
      <c r="O753" s="3" t="str">
        <f t="shared" si="31"/>
        <v>2021</v>
      </c>
      <c r="P753" s="2">
        <v>799</v>
      </c>
    </row>
    <row r="754" spans="1:16" x14ac:dyDescent="0.35">
      <c r="A754" s="3">
        <v>2022</v>
      </c>
      <c r="B754" s="3">
        <v>1</v>
      </c>
      <c r="C754" s="3" t="s">
        <v>28</v>
      </c>
      <c r="D754" s="2">
        <v>25</v>
      </c>
      <c r="E754" s="3" t="s">
        <v>467</v>
      </c>
      <c r="F754" s="3">
        <v>1</v>
      </c>
      <c r="G754" s="3" t="s">
        <v>20</v>
      </c>
      <c r="H754" s="3" t="str">
        <f t="shared" si="32"/>
        <v>2019</v>
      </c>
      <c r="I754" s="3">
        <v>3</v>
      </c>
      <c r="J754" s="69"/>
      <c r="K754" s="3">
        <v>23</v>
      </c>
      <c r="L754" s="3">
        <v>23</v>
      </c>
      <c r="M754" s="3">
        <v>345.8</v>
      </c>
      <c r="N754" s="3">
        <v>656</v>
      </c>
      <c r="O754" s="3" t="str">
        <f t="shared" si="31"/>
        <v>2018</v>
      </c>
      <c r="P754" s="2">
        <v>25</v>
      </c>
    </row>
    <row r="755" spans="1:16" x14ac:dyDescent="0.35">
      <c r="A755" s="3">
        <v>2017</v>
      </c>
      <c r="B755" s="3">
        <v>8</v>
      </c>
      <c r="C755" s="3">
        <v>14</v>
      </c>
      <c r="D755" s="2">
        <v>88</v>
      </c>
      <c r="E755" s="14" t="s">
        <v>533</v>
      </c>
      <c r="F755" s="15">
        <v>3</v>
      </c>
      <c r="G755" s="3" t="s">
        <v>45</v>
      </c>
      <c r="H755" s="3" t="str">
        <f t="shared" si="32"/>
        <v>2011</v>
      </c>
      <c r="I755" s="3">
        <v>6</v>
      </c>
      <c r="J755" s="69"/>
      <c r="K755" s="3" t="s">
        <v>317</v>
      </c>
      <c r="L755" s="3" t="s">
        <v>317</v>
      </c>
      <c r="M755" s="3">
        <v>310.7</v>
      </c>
      <c r="N755" s="3">
        <v>656</v>
      </c>
      <c r="O755" s="3" t="str">
        <f t="shared" si="31"/>
        <v>2007</v>
      </c>
      <c r="P755" s="2">
        <v>88</v>
      </c>
    </row>
    <row r="756" spans="1:16" x14ac:dyDescent="0.35">
      <c r="A756" s="3">
        <v>2016</v>
      </c>
      <c r="B756" s="3">
        <v>9</v>
      </c>
      <c r="C756" s="3">
        <v>1</v>
      </c>
      <c r="D756" s="2">
        <v>301</v>
      </c>
      <c r="E756" s="3" t="s">
        <v>767</v>
      </c>
      <c r="F756" s="3">
        <v>3</v>
      </c>
      <c r="G756" s="3" t="s">
        <v>45</v>
      </c>
      <c r="H756" s="3" t="str">
        <f t="shared" si="32"/>
        <v>2011</v>
      </c>
      <c r="I756" s="3">
        <v>5</v>
      </c>
      <c r="J756" s="69"/>
      <c r="K756" s="3" t="s">
        <v>632</v>
      </c>
      <c r="L756" s="3" t="s">
        <v>317</v>
      </c>
      <c r="M756" s="3">
        <v>285.7</v>
      </c>
      <c r="N756" s="3">
        <v>657</v>
      </c>
      <c r="O756" s="3" t="str">
        <f t="shared" si="31"/>
        <v>2007</v>
      </c>
      <c r="P756" s="2">
        <v>301</v>
      </c>
    </row>
    <row r="757" spans="1:16" x14ac:dyDescent="0.35">
      <c r="A757" s="3">
        <v>2016</v>
      </c>
      <c r="B757" s="3">
        <v>11</v>
      </c>
      <c r="C757" s="3">
        <v>8</v>
      </c>
      <c r="D757" s="2">
        <v>197</v>
      </c>
      <c r="E757" s="3" t="s">
        <v>650</v>
      </c>
      <c r="F757" s="3">
        <v>4</v>
      </c>
      <c r="G757" s="3" t="s">
        <v>45</v>
      </c>
      <c r="H757" s="3" t="str">
        <f t="shared" si="32"/>
        <v>2011</v>
      </c>
      <c r="I757" s="3">
        <v>5</v>
      </c>
      <c r="J757" s="69"/>
      <c r="K757" s="3" t="s">
        <v>647</v>
      </c>
      <c r="L757" s="3" t="s">
        <v>317</v>
      </c>
      <c r="M757" s="3">
        <v>314.3</v>
      </c>
      <c r="N757" s="3">
        <v>662</v>
      </c>
      <c r="O757" s="3" t="str">
        <f t="shared" si="31"/>
        <v>2007</v>
      </c>
      <c r="P757" s="2">
        <v>197</v>
      </c>
    </row>
    <row r="758" spans="1:16" x14ac:dyDescent="0.35">
      <c r="A758" s="3">
        <v>2023</v>
      </c>
      <c r="B758" s="3">
        <v>11</v>
      </c>
      <c r="C758" s="3">
        <v>6</v>
      </c>
      <c r="D758" s="2">
        <v>510</v>
      </c>
      <c r="E758" s="3" t="s">
        <v>963</v>
      </c>
      <c r="F758" s="3">
        <v>4</v>
      </c>
      <c r="G758" s="3" t="s">
        <v>41</v>
      </c>
      <c r="H758" s="3" t="str">
        <f t="shared" si="32"/>
        <v>2013</v>
      </c>
      <c r="I758" s="3">
        <v>10</v>
      </c>
      <c r="J758" s="69"/>
      <c r="K758" s="3" t="s">
        <v>509</v>
      </c>
      <c r="L758" s="3" t="s">
        <v>458</v>
      </c>
      <c r="M758" s="3">
        <v>310.10000000000002</v>
      </c>
      <c r="N758" s="3">
        <v>664</v>
      </c>
      <c r="O758" s="3" t="str">
        <f t="shared" si="31"/>
        <v>2011</v>
      </c>
      <c r="P758" s="2">
        <v>510</v>
      </c>
    </row>
    <row r="759" spans="1:16" x14ac:dyDescent="0.35">
      <c r="A759" s="3">
        <v>2016</v>
      </c>
      <c r="B759" s="3">
        <v>11</v>
      </c>
      <c r="C759" s="3">
        <v>8</v>
      </c>
      <c r="D759" s="2">
        <v>183</v>
      </c>
      <c r="E759" s="3" t="s">
        <v>634</v>
      </c>
      <c r="F759" s="3">
        <v>4</v>
      </c>
      <c r="G759" s="3" t="s">
        <v>45</v>
      </c>
      <c r="H759" s="3" t="str">
        <f t="shared" si="32"/>
        <v>2011</v>
      </c>
      <c r="I759" s="3">
        <v>5</v>
      </c>
      <c r="J759" s="69"/>
      <c r="K759" s="3" t="s">
        <v>632</v>
      </c>
      <c r="L759" s="3" t="s">
        <v>317</v>
      </c>
      <c r="M759" s="3">
        <v>450.4</v>
      </c>
      <c r="N759" s="3">
        <v>665</v>
      </c>
      <c r="O759" s="3" t="str">
        <f t="shared" si="31"/>
        <v>2007</v>
      </c>
      <c r="P759" s="2">
        <v>183</v>
      </c>
    </row>
    <row r="760" spans="1:16" x14ac:dyDescent="0.35">
      <c r="A760" s="3">
        <v>2016</v>
      </c>
      <c r="B760" s="3">
        <v>9</v>
      </c>
      <c r="C760" s="3">
        <v>1</v>
      </c>
      <c r="D760" s="2">
        <v>245</v>
      </c>
      <c r="E760" s="3" t="s">
        <v>703</v>
      </c>
      <c r="F760" s="3">
        <v>3</v>
      </c>
      <c r="G760" s="3" t="s">
        <v>41</v>
      </c>
      <c r="H760" s="3" t="str">
        <f t="shared" si="32"/>
        <v>2012</v>
      </c>
      <c r="I760" s="3">
        <v>4</v>
      </c>
      <c r="J760" s="69"/>
      <c r="K760" s="3" t="s">
        <v>544</v>
      </c>
      <c r="L760" s="3" t="s">
        <v>461</v>
      </c>
      <c r="M760" s="3">
        <v>277.60000000000002</v>
      </c>
      <c r="N760" s="3">
        <v>666</v>
      </c>
      <c r="O760" s="3" t="str">
        <f t="shared" si="31"/>
        <v>2011</v>
      </c>
      <c r="P760" s="2">
        <v>245</v>
      </c>
    </row>
    <row r="761" spans="1:16" x14ac:dyDescent="0.35">
      <c r="A761" s="3">
        <v>2021</v>
      </c>
      <c r="B761" s="3">
        <v>10</v>
      </c>
      <c r="C761" s="3">
        <v>11</v>
      </c>
      <c r="D761" s="2">
        <v>482</v>
      </c>
      <c r="E761" s="3" t="s">
        <v>937</v>
      </c>
      <c r="F761" s="3">
        <v>4</v>
      </c>
      <c r="G761" s="3" t="s">
        <v>226</v>
      </c>
      <c r="H761" s="3" t="str">
        <f t="shared" si="32"/>
        <v>2018</v>
      </c>
      <c r="I761" s="3">
        <v>3</v>
      </c>
      <c r="J761" s="69"/>
      <c r="K761" s="3" t="s">
        <v>51</v>
      </c>
      <c r="L761" s="3" t="s">
        <v>929</v>
      </c>
      <c r="M761" s="16">
        <v>290</v>
      </c>
      <c r="N761" s="3">
        <v>666</v>
      </c>
      <c r="O761" s="3" t="str">
        <f t="shared" si="31"/>
        <v>2017</v>
      </c>
      <c r="P761" s="2">
        <v>482</v>
      </c>
    </row>
    <row r="762" spans="1:16" x14ac:dyDescent="0.35">
      <c r="A762" s="3">
        <v>2024</v>
      </c>
      <c r="B762" s="3">
        <v>3</v>
      </c>
      <c r="C762" s="3">
        <v>1</v>
      </c>
      <c r="D762" s="2">
        <v>666</v>
      </c>
      <c r="E762" s="3" t="s">
        <v>1086</v>
      </c>
      <c r="F762" s="3">
        <v>2</v>
      </c>
      <c r="G762" s="3" t="s">
        <v>20</v>
      </c>
      <c r="H762" s="3" t="str">
        <f t="shared" si="32"/>
        <v>2020</v>
      </c>
      <c r="I762" s="3">
        <v>4</v>
      </c>
      <c r="J762" s="69"/>
      <c r="K762" t="s">
        <v>70</v>
      </c>
      <c r="L762">
        <v>37</v>
      </c>
      <c r="M762">
        <v>357.7</v>
      </c>
      <c r="N762" s="3">
        <v>667</v>
      </c>
      <c r="O762" s="3" t="str">
        <f t="shared" si="31"/>
        <v>2018</v>
      </c>
      <c r="P762" s="2">
        <v>666</v>
      </c>
    </row>
    <row r="763" spans="1:16" x14ac:dyDescent="0.35">
      <c r="A763" s="3">
        <v>2024</v>
      </c>
      <c r="B763" s="3">
        <v>8</v>
      </c>
      <c r="C763" s="3">
        <v>9</v>
      </c>
      <c r="D763" s="2">
        <v>766</v>
      </c>
      <c r="E763" s="3" t="s">
        <v>270</v>
      </c>
      <c r="F763" s="3">
        <v>3</v>
      </c>
      <c r="G763" s="3" t="s">
        <v>41</v>
      </c>
      <c r="H763" s="3" t="str">
        <f t="shared" si="32"/>
        <v>2013</v>
      </c>
      <c r="I763" s="3">
        <v>11</v>
      </c>
      <c r="J763" s="69"/>
      <c r="K763" s="6" t="s">
        <v>49</v>
      </c>
      <c r="L763" s="6" t="s">
        <v>318</v>
      </c>
      <c r="M763">
        <v>295.39999999999998</v>
      </c>
      <c r="N763" s="3">
        <v>667</v>
      </c>
      <c r="O763" s="3" t="str">
        <f t="shared" si="31"/>
        <v>2011</v>
      </c>
      <c r="P763" s="2">
        <v>766</v>
      </c>
    </row>
    <row r="764" spans="1:16" x14ac:dyDescent="0.35">
      <c r="A764" s="3">
        <v>2017</v>
      </c>
      <c r="B764" s="3">
        <v>8</v>
      </c>
      <c r="C764" s="3">
        <v>14</v>
      </c>
      <c r="D764" s="2">
        <v>134</v>
      </c>
      <c r="E764" s="14" t="s">
        <v>579</v>
      </c>
      <c r="F764" s="15">
        <v>3</v>
      </c>
      <c r="G764" s="3" t="s">
        <v>45</v>
      </c>
      <c r="H764" s="3" t="str">
        <f t="shared" si="32"/>
        <v>2011</v>
      </c>
      <c r="I764" s="3">
        <v>6</v>
      </c>
      <c r="J764" s="69"/>
      <c r="K764" s="3" t="s">
        <v>317</v>
      </c>
      <c r="L764" s="3" t="s">
        <v>317</v>
      </c>
      <c r="M764" s="3">
        <v>272.10000000000002</v>
      </c>
      <c r="N764" s="3">
        <v>668</v>
      </c>
      <c r="O764" s="3" t="str">
        <f t="shared" si="31"/>
        <v>2007</v>
      </c>
      <c r="P764" s="2">
        <v>134</v>
      </c>
    </row>
    <row r="765" spans="1:16" x14ac:dyDescent="0.35">
      <c r="A765" s="3">
        <v>2024</v>
      </c>
      <c r="B765" s="3">
        <v>8</v>
      </c>
      <c r="C765" s="3">
        <v>19</v>
      </c>
      <c r="D765" s="2">
        <v>792</v>
      </c>
      <c r="E765" s="3" t="s">
        <v>283</v>
      </c>
      <c r="F765" s="3">
        <v>3</v>
      </c>
      <c r="G765" s="3" t="s">
        <v>225</v>
      </c>
      <c r="H765" s="3" t="str">
        <f t="shared" si="32"/>
        <v>2021</v>
      </c>
      <c r="I765" s="3">
        <v>3</v>
      </c>
      <c r="J765" s="69"/>
      <c r="K765">
        <v>3</v>
      </c>
      <c r="L765">
        <v>3</v>
      </c>
      <c r="M765">
        <v>350.4</v>
      </c>
      <c r="N765" s="3">
        <v>669</v>
      </c>
      <c r="O765" s="3" t="str">
        <f t="shared" si="31"/>
        <v>2021</v>
      </c>
      <c r="P765" s="2">
        <v>792</v>
      </c>
    </row>
    <row r="766" spans="1:16" x14ac:dyDescent="0.35">
      <c r="A766" s="3">
        <v>2016</v>
      </c>
      <c r="B766" s="3">
        <v>11</v>
      </c>
      <c r="C766" s="3">
        <v>7</v>
      </c>
      <c r="D766" s="2">
        <v>252</v>
      </c>
      <c r="E766" s="3" t="s">
        <v>710</v>
      </c>
      <c r="F766" s="3">
        <v>4</v>
      </c>
      <c r="G766" s="3" t="s">
        <v>45</v>
      </c>
      <c r="H766" s="3" t="str">
        <f t="shared" si="32"/>
        <v>2009</v>
      </c>
      <c r="I766" s="3">
        <v>7</v>
      </c>
      <c r="J766" s="69"/>
      <c r="K766" s="3" t="s">
        <v>711</v>
      </c>
      <c r="L766" s="3" t="s">
        <v>512</v>
      </c>
      <c r="M766" s="3">
        <v>337.5</v>
      </c>
      <c r="N766" s="3">
        <v>670</v>
      </c>
      <c r="O766" s="3" t="str">
        <f t="shared" si="31"/>
        <v>2007</v>
      </c>
      <c r="P766" s="2">
        <v>252</v>
      </c>
    </row>
    <row r="767" spans="1:16" x14ac:dyDescent="0.35">
      <c r="A767" s="3">
        <v>2022</v>
      </c>
      <c r="B767" s="3">
        <v>1</v>
      </c>
      <c r="C767" s="3" t="s">
        <v>28</v>
      </c>
      <c r="D767" s="2">
        <v>4</v>
      </c>
      <c r="E767" s="3" t="s">
        <v>447</v>
      </c>
      <c r="F767" s="3">
        <v>1</v>
      </c>
      <c r="G767" s="3" t="s">
        <v>41</v>
      </c>
      <c r="H767" s="3" t="str">
        <f t="shared" si="32"/>
        <v>2013</v>
      </c>
      <c r="I767" s="3">
        <v>9</v>
      </c>
      <c r="J767" s="69"/>
      <c r="K767" s="3" t="s">
        <v>318</v>
      </c>
      <c r="L767" s="3" t="s">
        <v>318</v>
      </c>
      <c r="M767" s="3">
        <v>369.6</v>
      </c>
      <c r="N767" s="3">
        <v>672</v>
      </c>
      <c r="O767" s="3" t="str">
        <f t="shared" si="31"/>
        <v>2011</v>
      </c>
      <c r="P767" s="2">
        <v>4</v>
      </c>
    </row>
    <row r="768" spans="1:16" x14ac:dyDescent="0.35">
      <c r="A768" s="3">
        <v>2016</v>
      </c>
      <c r="B768" s="3">
        <v>11</v>
      </c>
      <c r="C768" s="3">
        <v>8</v>
      </c>
      <c r="D768" s="2">
        <v>196</v>
      </c>
      <c r="E768" s="3" t="s">
        <v>649</v>
      </c>
      <c r="F768" s="3">
        <v>4</v>
      </c>
      <c r="G768" s="3" t="s">
        <v>45</v>
      </c>
      <c r="H768" s="3" t="str">
        <f t="shared" si="32"/>
        <v>2011</v>
      </c>
      <c r="I768" s="3">
        <v>5</v>
      </c>
      <c r="J768" s="69"/>
      <c r="K768" s="3" t="s">
        <v>647</v>
      </c>
      <c r="L768" s="3" t="s">
        <v>317</v>
      </c>
      <c r="M768" s="3">
        <v>483.8</v>
      </c>
      <c r="N768" s="3">
        <v>673</v>
      </c>
      <c r="O768" s="3" t="str">
        <f t="shared" si="31"/>
        <v>2007</v>
      </c>
      <c r="P768" s="2">
        <v>196</v>
      </c>
    </row>
    <row r="769" spans="1:16" x14ac:dyDescent="0.35">
      <c r="A769" s="3">
        <v>2016</v>
      </c>
      <c r="B769" s="3">
        <v>11</v>
      </c>
      <c r="C769" s="3">
        <v>8</v>
      </c>
      <c r="D769" s="2">
        <v>198</v>
      </c>
      <c r="E769" s="3" t="s">
        <v>651</v>
      </c>
      <c r="F769" s="3">
        <v>4</v>
      </c>
      <c r="G769" s="3" t="s">
        <v>41</v>
      </c>
      <c r="H769" s="3" t="str">
        <f t="shared" si="32"/>
        <v>2012</v>
      </c>
      <c r="I769" s="3">
        <v>4</v>
      </c>
      <c r="J769" s="69"/>
      <c r="K769" s="3" t="s">
        <v>551</v>
      </c>
      <c r="L769" s="3" t="s">
        <v>461</v>
      </c>
      <c r="M769" s="3">
        <v>425.6</v>
      </c>
      <c r="N769" s="3">
        <v>673</v>
      </c>
      <c r="O769" s="3" t="str">
        <f t="shared" si="31"/>
        <v>2011</v>
      </c>
      <c r="P769" s="2">
        <v>198</v>
      </c>
    </row>
    <row r="770" spans="1:16" x14ac:dyDescent="0.35">
      <c r="A770" s="3">
        <v>2016</v>
      </c>
      <c r="B770" s="3">
        <v>11</v>
      </c>
      <c r="C770" s="3">
        <v>7</v>
      </c>
      <c r="D770" s="2">
        <v>208</v>
      </c>
      <c r="E770" s="3" t="s">
        <v>663</v>
      </c>
      <c r="F770" s="3">
        <v>4</v>
      </c>
      <c r="G770" s="3" t="s">
        <v>45</v>
      </c>
      <c r="H770" s="3" t="str">
        <f t="shared" si="32"/>
        <v>2009</v>
      </c>
      <c r="I770" s="3">
        <v>7</v>
      </c>
      <c r="J770" s="69"/>
      <c r="K770" s="3" t="s">
        <v>662</v>
      </c>
      <c r="L770" s="3" t="s">
        <v>488</v>
      </c>
      <c r="M770" s="3">
        <v>294.3</v>
      </c>
      <c r="N770" s="3">
        <v>674</v>
      </c>
      <c r="O770" s="3" t="str">
        <f t="shared" ref="O770:O833" si="33">IF(G770="PHD", "2007", IF(G770="TSL", "2011", IF(G770 = "SRS", "2018", IF(G770="WCA 3B", "2017", IF(G770="WCA 3A", "2021")))))</f>
        <v>2007</v>
      </c>
      <c r="P770" s="2">
        <v>208</v>
      </c>
    </row>
    <row r="771" spans="1:16" x14ac:dyDescent="0.35">
      <c r="A771" s="3">
        <v>2019</v>
      </c>
      <c r="B771" s="3">
        <v>2</v>
      </c>
      <c r="C771" s="3">
        <v>18</v>
      </c>
      <c r="D771" s="2">
        <v>174</v>
      </c>
      <c r="E771" s="3" t="s">
        <v>624</v>
      </c>
      <c r="F771" s="3">
        <v>1</v>
      </c>
      <c r="G771" s="3" t="s">
        <v>41</v>
      </c>
      <c r="H771" s="3" t="str">
        <f t="shared" si="32"/>
        <v>2013</v>
      </c>
      <c r="I771" s="3">
        <v>6</v>
      </c>
      <c r="J771" s="69"/>
      <c r="K771" s="3" t="s">
        <v>42</v>
      </c>
      <c r="L771" s="3" t="s">
        <v>318</v>
      </c>
      <c r="M771" s="3">
        <v>290.89999999999998</v>
      </c>
      <c r="N771" s="3">
        <v>676</v>
      </c>
      <c r="O771" s="3" t="str">
        <f t="shared" si="33"/>
        <v>2011</v>
      </c>
      <c r="P771" s="2">
        <v>174</v>
      </c>
    </row>
    <row r="772" spans="1:16" x14ac:dyDescent="0.35">
      <c r="A772" s="3">
        <v>2023</v>
      </c>
      <c r="B772" s="3">
        <v>2</v>
      </c>
      <c r="C772" s="3">
        <v>10</v>
      </c>
      <c r="D772" s="2">
        <v>148</v>
      </c>
      <c r="E772" s="3" t="s">
        <v>593</v>
      </c>
      <c r="F772" s="3">
        <v>1</v>
      </c>
      <c r="G772" s="3" t="s">
        <v>41</v>
      </c>
      <c r="H772" s="3" t="str">
        <f t="shared" si="32"/>
        <v>2013</v>
      </c>
      <c r="I772" s="3">
        <v>10</v>
      </c>
      <c r="J772" s="69"/>
      <c r="K772" s="3" t="s">
        <v>91</v>
      </c>
      <c r="L772" s="3" t="s">
        <v>318</v>
      </c>
      <c r="M772" s="3">
        <v>616.70000000000005</v>
      </c>
      <c r="N772" s="3">
        <v>678</v>
      </c>
      <c r="O772" s="3" t="str">
        <f t="shared" si="33"/>
        <v>2011</v>
      </c>
      <c r="P772" s="2">
        <v>148</v>
      </c>
    </row>
    <row r="773" spans="1:16" x14ac:dyDescent="0.35">
      <c r="A773" s="3">
        <v>2023</v>
      </c>
      <c r="B773" s="3">
        <v>11</v>
      </c>
      <c r="C773" s="3">
        <v>14</v>
      </c>
      <c r="D773" s="2">
        <v>515</v>
      </c>
      <c r="E773" s="3" t="s">
        <v>116</v>
      </c>
      <c r="F773" s="3">
        <v>4</v>
      </c>
      <c r="G773" s="3" t="s">
        <v>225</v>
      </c>
      <c r="H773" s="3" t="str">
        <f t="shared" si="32"/>
        <v>2021</v>
      </c>
      <c r="I773" s="3">
        <v>2</v>
      </c>
      <c r="J773" s="69"/>
      <c r="K773" s="3" t="s">
        <v>227</v>
      </c>
      <c r="L773" s="3">
        <v>4</v>
      </c>
      <c r="M773" s="3">
        <v>370</v>
      </c>
      <c r="N773" s="3">
        <v>679</v>
      </c>
      <c r="O773" s="3" t="str">
        <f t="shared" si="33"/>
        <v>2021</v>
      </c>
      <c r="P773" s="2">
        <v>515</v>
      </c>
    </row>
    <row r="774" spans="1:16" x14ac:dyDescent="0.35">
      <c r="A774" s="3">
        <v>2016</v>
      </c>
      <c r="B774" s="3">
        <v>9</v>
      </c>
      <c r="C774" s="3">
        <v>1</v>
      </c>
      <c r="D774" s="2">
        <v>232</v>
      </c>
      <c r="E774" s="3" t="s">
        <v>690</v>
      </c>
      <c r="F774" s="3">
        <v>3</v>
      </c>
      <c r="G774" s="3" t="s">
        <v>45</v>
      </c>
      <c r="H774" s="3" t="str">
        <f t="shared" si="32"/>
        <v>2011</v>
      </c>
      <c r="I774" s="3">
        <v>5</v>
      </c>
      <c r="J774" s="69"/>
      <c r="K774" s="3" t="s">
        <v>647</v>
      </c>
      <c r="L774" s="3" t="s">
        <v>317</v>
      </c>
      <c r="M774" s="3">
        <v>33.200000000000003</v>
      </c>
      <c r="N774" s="3">
        <v>680</v>
      </c>
      <c r="O774" s="3" t="str">
        <f t="shared" si="33"/>
        <v>2007</v>
      </c>
      <c r="P774" s="2">
        <v>232</v>
      </c>
    </row>
    <row r="775" spans="1:16" x14ac:dyDescent="0.35">
      <c r="A775" s="3">
        <v>2017</v>
      </c>
      <c r="B775" s="3">
        <v>11</v>
      </c>
      <c r="C775" s="3">
        <v>9</v>
      </c>
      <c r="D775" s="2">
        <v>77</v>
      </c>
      <c r="E775" s="14" t="s">
        <v>522</v>
      </c>
      <c r="F775" s="15">
        <v>4</v>
      </c>
      <c r="G775" s="3" t="s">
        <v>45</v>
      </c>
      <c r="H775" s="3" t="str">
        <f t="shared" ref="H775:H838" si="34">IF(L775="A55","2009",IF(L775="A59","2009",IF(L775="A60","2010",IF(L775="A62","2011",IF(L775="CP","2013",IF(L775="MD","2012",IF(L775="TS","2013",IF(L775="DL","2018",IF(L775="SCU","2018",IF(L775="NCU","2018",IF(L775="C1C","2018",IF(L775="C1E","2018",IF(L775="RS1S","2018",IF(L775="C2B","2018",IF(L775="DB3","2018",IF(AND(L775=6,G775="SRS"),"2018",IF(AND(L775=7,G775="SRS"),"2020",IF(AND(L775=8,G775="SRS"),"2020",IF(L775=23,"2019",IF(AND(L775=7,G775="WCA 3B"),"2017",IF(AND(L775=8,G775="WCA 3B"),"2019",IF(L775=1,"2021",IF(L775=2,"2022",IF(L775=3,"2021",IF(L775=4,"2021",IF(L775=5,"2022",IF(AND(L775=6,G775="WCA 3A"),"2022",IF(L775=9,"2023",IF(L775=10,"2023",IF(L775=37,"2020"))))))))))))))))))))))))))))))</f>
        <v>2011</v>
      </c>
      <c r="I775" s="3">
        <v>6</v>
      </c>
      <c r="J775" s="69"/>
      <c r="K775" s="3" t="s">
        <v>317</v>
      </c>
      <c r="L775" s="3" t="s">
        <v>317</v>
      </c>
      <c r="M775" s="3">
        <v>37.5</v>
      </c>
      <c r="N775" s="3">
        <v>687</v>
      </c>
      <c r="O775" s="3" t="str">
        <f t="shared" si="33"/>
        <v>2007</v>
      </c>
      <c r="P775" s="2">
        <v>77</v>
      </c>
    </row>
    <row r="776" spans="1:16" x14ac:dyDescent="0.35">
      <c r="A776" s="3">
        <v>2022</v>
      </c>
      <c r="B776" s="3">
        <v>1</v>
      </c>
      <c r="C776" s="3" t="s">
        <v>28</v>
      </c>
      <c r="D776" s="2">
        <v>17</v>
      </c>
      <c r="E776" s="3" t="s">
        <v>460</v>
      </c>
      <c r="F776" s="3">
        <v>1</v>
      </c>
      <c r="G776" s="3" t="s">
        <v>41</v>
      </c>
      <c r="H776" s="3" t="str">
        <f t="shared" si="34"/>
        <v>2012</v>
      </c>
      <c r="I776" s="3">
        <v>10</v>
      </c>
      <c r="J776" s="69"/>
      <c r="K776" s="3" t="s">
        <v>461</v>
      </c>
      <c r="L776" s="3" t="s">
        <v>461</v>
      </c>
      <c r="M776" s="3">
        <v>360.6</v>
      </c>
      <c r="N776" s="3">
        <v>690</v>
      </c>
      <c r="O776" s="3" t="str">
        <f t="shared" si="33"/>
        <v>2011</v>
      </c>
      <c r="P776" s="2">
        <v>17</v>
      </c>
    </row>
    <row r="777" spans="1:16" x14ac:dyDescent="0.35">
      <c r="A777" s="3">
        <v>2024</v>
      </c>
      <c r="B777" s="3">
        <v>4</v>
      </c>
      <c r="C777" s="3">
        <v>1</v>
      </c>
      <c r="D777" s="2">
        <v>688</v>
      </c>
      <c r="E777" s="3" t="s">
        <v>158</v>
      </c>
      <c r="F777" s="3">
        <v>2</v>
      </c>
      <c r="G777" s="3" t="s">
        <v>20</v>
      </c>
      <c r="H777" s="3" t="str">
        <f t="shared" si="34"/>
        <v>2020</v>
      </c>
      <c r="I777" s="3">
        <v>4</v>
      </c>
      <c r="J777" s="69"/>
      <c r="K777" t="s">
        <v>73</v>
      </c>
      <c r="L777">
        <v>37</v>
      </c>
      <c r="M777">
        <v>352.3</v>
      </c>
      <c r="N777" s="3">
        <v>690</v>
      </c>
      <c r="O777" s="3" t="str">
        <f t="shared" si="33"/>
        <v>2018</v>
      </c>
      <c r="P777" s="2">
        <v>688</v>
      </c>
    </row>
    <row r="778" spans="1:16" x14ac:dyDescent="0.35">
      <c r="A778" s="3">
        <v>2016</v>
      </c>
      <c r="B778" s="3">
        <v>11</v>
      </c>
      <c r="C778" s="3">
        <v>7</v>
      </c>
      <c r="D778" s="2">
        <v>254</v>
      </c>
      <c r="E778" s="3" t="s">
        <v>713</v>
      </c>
      <c r="F778" s="3">
        <v>4</v>
      </c>
      <c r="G778" s="3" t="s">
        <v>45</v>
      </c>
      <c r="H778" s="3" t="str">
        <f t="shared" si="34"/>
        <v>2009</v>
      </c>
      <c r="I778" s="3">
        <v>7</v>
      </c>
      <c r="J778" s="69"/>
      <c r="K778" s="3" t="s">
        <v>711</v>
      </c>
      <c r="L778" s="3" t="s">
        <v>512</v>
      </c>
      <c r="M778" s="3">
        <v>345.1</v>
      </c>
      <c r="N778" s="3">
        <v>693</v>
      </c>
      <c r="O778" s="3" t="str">
        <f t="shared" si="33"/>
        <v>2007</v>
      </c>
      <c r="P778" s="2">
        <v>254</v>
      </c>
    </row>
    <row r="779" spans="1:16" x14ac:dyDescent="0.35">
      <c r="A779" s="3">
        <v>2022</v>
      </c>
      <c r="B779" s="3">
        <v>1</v>
      </c>
      <c r="C779" s="3" t="s">
        <v>28</v>
      </c>
      <c r="D779" s="2">
        <v>22</v>
      </c>
      <c r="E779" s="3" t="s">
        <v>465</v>
      </c>
      <c r="F779" s="3">
        <v>1</v>
      </c>
      <c r="G779" s="3" t="s">
        <v>20</v>
      </c>
      <c r="H779" s="3" t="str">
        <f t="shared" si="34"/>
        <v>2020</v>
      </c>
      <c r="I779" s="3">
        <v>2</v>
      </c>
      <c r="J779" s="69"/>
      <c r="K779" s="3">
        <v>37</v>
      </c>
      <c r="L779" s="3">
        <v>37</v>
      </c>
      <c r="M779" s="3">
        <v>39.5</v>
      </c>
      <c r="N779" s="3">
        <v>694</v>
      </c>
      <c r="O779" s="3" t="str">
        <f t="shared" si="33"/>
        <v>2018</v>
      </c>
      <c r="P779" s="2">
        <v>22</v>
      </c>
    </row>
    <row r="780" spans="1:16" x14ac:dyDescent="0.35">
      <c r="A780" s="3">
        <v>2023</v>
      </c>
      <c r="B780" s="3">
        <v>11</v>
      </c>
      <c r="C780" s="3">
        <v>2</v>
      </c>
      <c r="D780" s="2">
        <v>545</v>
      </c>
      <c r="E780" s="3" t="s">
        <v>994</v>
      </c>
      <c r="F780" s="3">
        <v>4</v>
      </c>
      <c r="G780" s="3" t="s">
        <v>45</v>
      </c>
      <c r="H780" s="3" t="str">
        <f t="shared" si="34"/>
        <v>2011</v>
      </c>
      <c r="I780" s="3">
        <v>12</v>
      </c>
      <c r="J780" s="69"/>
      <c r="K780" t="s">
        <v>236</v>
      </c>
      <c r="L780" s="3" t="s">
        <v>317</v>
      </c>
      <c r="M780" s="3">
        <v>368.9</v>
      </c>
      <c r="N780" s="3">
        <v>696</v>
      </c>
      <c r="O780" s="3" t="str">
        <f t="shared" si="33"/>
        <v>2007</v>
      </c>
      <c r="P780" s="2">
        <v>545</v>
      </c>
    </row>
    <row r="781" spans="1:16" x14ac:dyDescent="0.35">
      <c r="A781" s="3">
        <v>2016</v>
      </c>
      <c r="B781" s="3">
        <v>11</v>
      </c>
      <c r="C781" s="3">
        <v>7</v>
      </c>
      <c r="D781" s="2">
        <v>229</v>
      </c>
      <c r="E781" s="3" t="s">
        <v>687</v>
      </c>
      <c r="F781" s="3">
        <v>4</v>
      </c>
      <c r="G781" s="3" t="s">
        <v>45</v>
      </c>
      <c r="H781" s="3" t="str">
        <f t="shared" si="34"/>
        <v>2009</v>
      </c>
      <c r="I781" s="3">
        <v>7</v>
      </c>
      <c r="J781" s="69"/>
      <c r="K781" s="3" t="s">
        <v>671</v>
      </c>
      <c r="L781" s="3" t="s">
        <v>512</v>
      </c>
      <c r="M781" s="3">
        <v>345.3</v>
      </c>
      <c r="N781" s="3">
        <v>699</v>
      </c>
      <c r="O781" s="3" t="str">
        <f t="shared" si="33"/>
        <v>2007</v>
      </c>
      <c r="P781" s="2">
        <v>229</v>
      </c>
    </row>
    <row r="782" spans="1:16" x14ac:dyDescent="0.35">
      <c r="A782" s="3">
        <v>2024</v>
      </c>
      <c r="B782" s="3">
        <v>1</v>
      </c>
      <c r="C782" s="3">
        <v>17</v>
      </c>
      <c r="D782" s="2">
        <v>555</v>
      </c>
      <c r="E782" s="3" t="s">
        <v>127</v>
      </c>
      <c r="F782" s="3">
        <v>1</v>
      </c>
      <c r="G782" s="3" t="s">
        <v>41</v>
      </c>
      <c r="H782" s="3" t="str">
        <f t="shared" si="34"/>
        <v>2013</v>
      </c>
      <c r="I782" s="3">
        <v>11</v>
      </c>
      <c r="J782" s="69"/>
      <c r="K782" t="s">
        <v>49</v>
      </c>
      <c r="L782" s="3" t="s">
        <v>318</v>
      </c>
      <c r="M782">
        <v>351.5</v>
      </c>
      <c r="N782" s="3">
        <v>700</v>
      </c>
      <c r="O782" s="3" t="str">
        <f t="shared" si="33"/>
        <v>2011</v>
      </c>
      <c r="P782" s="2">
        <v>555</v>
      </c>
    </row>
    <row r="783" spans="1:16" x14ac:dyDescent="0.35">
      <c r="A783" s="3">
        <v>2017</v>
      </c>
      <c r="B783" s="3">
        <v>1</v>
      </c>
      <c r="C783" s="3">
        <v>20</v>
      </c>
      <c r="D783" s="2">
        <v>95</v>
      </c>
      <c r="E783" s="14" t="s">
        <v>540</v>
      </c>
      <c r="F783" s="15">
        <v>1</v>
      </c>
      <c r="G783" s="3" t="s">
        <v>41</v>
      </c>
      <c r="H783" s="3" t="str">
        <f t="shared" si="34"/>
        <v>2012</v>
      </c>
      <c r="I783" s="3">
        <v>5</v>
      </c>
      <c r="J783" s="69"/>
      <c r="K783" s="3" t="s">
        <v>541</v>
      </c>
      <c r="L783" s="3" t="s">
        <v>461</v>
      </c>
      <c r="M783" s="3">
        <v>342.4</v>
      </c>
      <c r="N783" s="3">
        <v>703</v>
      </c>
      <c r="O783" s="3" t="str">
        <f t="shared" si="33"/>
        <v>2011</v>
      </c>
      <c r="P783" s="2">
        <v>95</v>
      </c>
    </row>
    <row r="784" spans="1:16" x14ac:dyDescent="0.35">
      <c r="A784" s="3">
        <v>2024</v>
      </c>
      <c r="B784" s="3">
        <v>8</v>
      </c>
      <c r="C784" s="3">
        <v>5</v>
      </c>
      <c r="D784" s="2">
        <v>761</v>
      </c>
      <c r="E784" s="3" t="s">
        <v>269</v>
      </c>
      <c r="F784" s="3">
        <v>3</v>
      </c>
      <c r="G784" s="3" t="s">
        <v>20</v>
      </c>
      <c r="H784" s="3" t="str">
        <f t="shared" si="34"/>
        <v>2020</v>
      </c>
      <c r="I784" s="3">
        <v>4</v>
      </c>
      <c r="J784" s="69"/>
      <c r="K784" s="6" t="s">
        <v>783</v>
      </c>
      <c r="L784">
        <v>7</v>
      </c>
      <c r="M784">
        <v>446.9</v>
      </c>
      <c r="N784" s="3">
        <v>704</v>
      </c>
      <c r="O784" s="3" t="str">
        <f t="shared" si="33"/>
        <v>2018</v>
      </c>
      <c r="P784" s="2">
        <v>761</v>
      </c>
    </row>
    <row r="785" spans="1:16" x14ac:dyDescent="0.35">
      <c r="A785" s="3">
        <v>2023</v>
      </c>
      <c r="B785" s="3">
        <v>2</v>
      </c>
      <c r="C785" s="3">
        <v>1</v>
      </c>
      <c r="D785" s="2">
        <v>122</v>
      </c>
      <c r="E785" s="14" t="s">
        <v>35</v>
      </c>
      <c r="F785" s="15">
        <v>1</v>
      </c>
      <c r="G785" s="3" t="s">
        <v>20</v>
      </c>
      <c r="H785" s="3" t="str">
        <f t="shared" si="34"/>
        <v>2020</v>
      </c>
      <c r="I785" s="3">
        <v>3</v>
      </c>
      <c r="J785" s="69"/>
      <c r="K785" s="3">
        <v>7</v>
      </c>
      <c r="L785" s="3">
        <v>7</v>
      </c>
      <c r="M785" s="3">
        <v>69.099999999999994</v>
      </c>
      <c r="N785" s="3">
        <v>707</v>
      </c>
      <c r="O785" s="3" t="str">
        <f t="shared" si="33"/>
        <v>2018</v>
      </c>
      <c r="P785" s="2">
        <v>122</v>
      </c>
    </row>
    <row r="786" spans="1:16" x14ac:dyDescent="0.35">
      <c r="A786" s="3">
        <v>2022</v>
      </c>
      <c r="B786" s="3">
        <v>1</v>
      </c>
      <c r="C786" s="3" t="s">
        <v>28</v>
      </c>
      <c r="D786" s="2">
        <v>58</v>
      </c>
      <c r="E786" s="3" t="s">
        <v>501</v>
      </c>
      <c r="F786" s="3">
        <v>1</v>
      </c>
      <c r="G786" s="3" t="s">
        <v>41</v>
      </c>
      <c r="H786" s="3" t="str">
        <f t="shared" si="34"/>
        <v>2012</v>
      </c>
      <c r="I786" s="3">
        <v>10</v>
      </c>
      <c r="J786" s="69"/>
      <c r="K786" s="3" t="s">
        <v>461</v>
      </c>
      <c r="L786" s="3" t="s">
        <v>461</v>
      </c>
      <c r="M786" s="3">
        <v>361.3</v>
      </c>
      <c r="N786" s="3">
        <v>711</v>
      </c>
      <c r="O786" s="3" t="str">
        <f t="shared" si="33"/>
        <v>2011</v>
      </c>
      <c r="P786" s="2">
        <v>58</v>
      </c>
    </row>
    <row r="787" spans="1:16" x14ac:dyDescent="0.35">
      <c r="A787" s="3">
        <v>2024</v>
      </c>
      <c r="B787" s="3">
        <v>1</v>
      </c>
      <c r="C787" s="3">
        <v>30</v>
      </c>
      <c r="D787" s="2">
        <v>649</v>
      </c>
      <c r="E787" t="s">
        <v>102</v>
      </c>
      <c r="F787" s="3">
        <v>1</v>
      </c>
      <c r="G787" s="3" t="s">
        <v>225</v>
      </c>
      <c r="H787" s="3" t="str">
        <f t="shared" si="34"/>
        <v>2022</v>
      </c>
      <c r="I787" s="3">
        <v>2</v>
      </c>
      <c r="J787" s="69"/>
      <c r="K787" t="s">
        <v>58</v>
      </c>
      <c r="L787">
        <v>2</v>
      </c>
      <c r="M787">
        <v>415.8</v>
      </c>
      <c r="N787" s="3">
        <v>711</v>
      </c>
      <c r="O787" s="3" t="str">
        <f t="shared" si="33"/>
        <v>2021</v>
      </c>
      <c r="P787" s="2">
        <v>649</v>
      </c>
    </row>
    <row r="788" spans="1:16" x14ac:dyDescent="0.35">
      <c r="A788" s="3">
        <v>2017</v>
      </c>
      <c r="B788" s="3">
        <v>11</v>
      </c>
      <c r="C788" s="3">
        <v>9</v>
      </c>
      <c r="D788" s="2">
        <v>79</v>
      </c>
      <c r="E788" s="14" t="s">
        <v>524</v>
      </c>
      <c r="F788" s="15">
        <v>4</v>
      </c>
      <c r="G788" s="3" t="s">
        <v>45</v>
      </c>
      <c r="H788" s="3" t="str">
        <f t="shared" si="34"/>
        <v>2011</v>
      </c>
      <c r="I788" s="3">
        <v>6</v>
      </c>
      <c r="J788" s="69"/>
      <c r="K788" s="3" t="s">
        <v>317</v>
      </c>
      <c r="L788" s="3" t="s">
        <v>317</v>
      </c>
      <c r="M788" s="3">
        <v>435.2</v>
      </c>
      <c r="N788" s="3">
        <v>712</v>
      </c>
      <c r="O788" s="3" t="str">
        <f t="shared" si="33"/>
        <v>2007</v>
      </c>
      <c r="P788" s="2">
        <v>79</v>
      </c>
    </row>
    <row r="789" spans="1:16" x14ac:dyDescent="0.35">
      <c r="A789" s="3">
        <v>2023</v>
      </c>
      <c r="B789" s="3">
        <v>7</v>
      </c>
      <c r="C789" s="3">
        <v>19</v>
      </c>
      <c r="D789" s="2">
        <v>402</v>
      </c>
      <c r="E789" s="3" t="s">
        <v>868</v>
      </c>
      <c r="F789" s="3">
        <v>3</v>
      </c>
      <c r="G789" s="3" t="s">
        <v>41</v>
      </c>
      <c r="H789" s="3" t="str">
        <f t="shared" si="34"/>
        <v>2013</v>
      </c>
      <c r="I789" s="3">
        <v>10</v>
      </c>
      <c r="J789" s="69"/>
      <c r="K789" s="3" t="s">
        <v>49</v>
      </c>
      <c r="L789" s="3" t="s">
        <v>318</v>
      </c>
      <c r="M789" s="3">
        <v>310.5</v>
      </c>
      <c r="N789" s="3">
        <v>714</v>
      </c>
      <c r="O789" s="3" t="str">
        <f t="shared" si="33"/>
        <v>2011</v>
      </c>
      <c r="P789" s="2">
        <v>402</v>
      </c>
    </row>
    <row r="790" spans="1:16" x14ac:dyDescent="0.35">
      <c r="A790" s="3">
        <v>2024</v>
      </c>
      <c r="B790">
        <v>8</v>
      </c>
      <c r="C790" s="3">
        <v>9</v>
      </c>
      <c r="D790" s="2">
        <v>857</v>
      </c>
      <c r="E790" s="3" t="s">
        <v>1187</v>
      </c>
      <c r="F790" s="3">
        <v>3</v>
      </c>
      <c r="G790" t="s">
        <v>41</v>
      </c>
      <c r="H790" s="3" t="str">
        <f t="shared" si="34"/>
        <v>2013</v>
      </c>
      <c r="I790" s="3">
        <v>11</v>
      </c>
      <c r="J790" s="69"/>
      <c r="K790" t="s">
        <v>42</v>
      </c>
      <c r="L790" t="s">
        <v>318</v>
      </c>
      <c r="M790">
        <v>465.3</v>
      </c>
      <c r="N790" s="3">
        <v>718</v>
      </c>
      <c r="O790" s="3" t="str">
        <f t="shared" si="33"/>
        <v>2011</v>
      </c>
      <c r="P790" s="2">
        <v>857</v>
      </c>
    </row>
    <row r="791" spans="1:16" x14ac:dyDescent="0.35">
      <c r="A791" s="3">
        <v>2016</v>
      </c>
      <c r="B791" s="3">
        <v>9</v>
      </c>
      <c r="C791" s="3">
        <v>1</v>
      </c>
      <c r="D791" s="2">
        <v>299</v>
      </c>
      <c r="E791" s="3" t="s">
        <v>765</v>
      </c>
      <c r="F791" s="3">
        <v>3</v>
      </c>
      <c r="G791" s="3" t="s">
        <v>45</v>
      </c>
      <c r="H791" s="3" t="str">
        <f t="shared" si="34"/>
        <v>2011</v>
      </c>
      <c r="I791" s="3">
        <v>5</v>
      </c>
      <c r="J791" s="69"/>
      <c r="K791" s="3" t="s">
        <v>632</v>
      </c>
      <c r="L791" s="3" t="s">
        <v>317</v>
      </c>
      <c r="M791" s="3">
        <v>492.5</v>
      </c>
      <c r="N791" s="3">
        <v>719</v>
      </c>
      <c r="O791" s="3" t="str">
        <f t="shared" si="33"/>
        <v>2007</v>
      </c>
      <c r="P791" s="2">
        <v>299</v>
      </c>
    </row>
    <row r="792" spans="1:16" x14ac:dyDescent="0.35">
      <c r="A792" s="3">
        <v>2022</v>
      </c>
      <c r="B792" s="3">
        <v>1</v>
      </c>
      <c r="C792" s="3" t="s">
        <v>28</v>
      </c>
      <c r="D792" s="2">
        <v>3</v>
      </c>
      <c r="E792" s="3" t="s">
        <v>446</v>
      </c>
      <c r="F792" s="3">
        <v>1</v>
      </c>
      <c r="G792" s="3" t="s">
        <v>41</v>
      </c>
      <c r="H792" s="3" t="str">
        <f t="shared" si="34"/>
        <v>2013</v>
      </c>
      <c r="I792" s="3">
        <v>9</v>
      </c>
      <c r="J792" s="69"/>
      <c r="K792" s="3" t="s">
        <v>318</v>
      </c>
      <c r="L792" s="3" t="s">
        <v>318</v>
      </c>
      <c r="M792" s="3">
        <v>464.6</v>
      </c>
      <c r="N792" s="3">
        <v>722</v>
      </c>
      <c r="O792" s="3" t="str">
        <f t="shared" si="33"/>
        <v>2011</v>
      </c>
      <c r="P792" s="2">
        <v>3</v>
      </c>
    </row>
    <row r="793" spans="1:16" x14ac:dyDescent="0.35">
      <c r="A793" s="3">
        <v>2019</v>
      </c>
      <c r="B793" s="3">
        <v>2</v>
      </c>
      <c r="C793" s="3">
        <v>20</v>
      </c>
      <c r="D793" s="2">
        <v>173</v>
      </c>
      <c r="E793" s="3" t="s">
        <v>622</v>
      </c>
      <c r="F793" s="3">
        <v>1</v>
      </c>
      <c r="G793" s="3" t="s">
        <v>41</v>
      </c>
      <c r="H793" s="3" t="str">
        <f t="shared" si="34"/>
        <v>2012</v>
      </c>
      <c r="I793" s="3">
        <v>7</v>
      </c>
      <c r="J793" s="69"/>
      <c r="K793" s="3" t="s">
        <v>623</v>
      </c>
      <c r="L793" s="3" t="s">
        <v>461</v>
      </c>
      <c r="M793" s="3">
        <v>417.3</v>
      </c>
      <c r="N793" s="3">
        <v>723</v>
      </c>
      <c r="O793" s="3" t="str">
        <f t="shared" si="33"/>
        <v>2011</v>
      </c>
      <c r="P793" s="2">
        <v>173</v>
      </c>
    </row>
    <row r="794" spans="1:16" x14ac:dyDescent="0.35">
      <c r="A794" s="3">
        <v>2022</v>
      </c>
      <c r="B794" s="3">
        <v>11</v>
      </c>
      <c r="C794" s="3">
        <v>1</v>
      </c>
      <c r="D794" s="2">
        <v>368</v>
      </c>
      <c r="E794" s="3" t="s">
        <v>834</v>
      </c>
      <c r="F794" s="3">
        <v>4</v>
      </c>
      <c r="G794" s="3" t="s">
        <v>41</v>
      </c>
      <c r="H794" s="3" t="str">
        <f t="shared" si="34"/>
        <v>2013</v>
      </c>
      <c r="I794" s="3">
        <v>9</v>
      </c>
      <c r="J794" s="69"/>
      <c r="K794" s="3" t="s">
        <v>42</v>
      </c>
      <c r="L794" s="3" t="s">
        <v>318</v>
      </c>
      <c r="M794" s="3">
        <v>295.89999999999998</v>
      </c>
      <c r="N794" s="3">
        <v>724</v>
      </c>
      <c r="O794" s="3" t="str">
        <f t="shared" si="33"/>
        <v>2011</v>
      </c>
      <c r="P794" s="2">
        <v>368</v>
      </c>
    </row>
    <row r="795" spans="1:16" x14ac:dyDescent="0.35">
      <c r="A795" s="3">
        <v>2022</v>
      </c>
      <c r="B795" s="3">
        <v>1</v>
      </c>
      <c r="C795" s="3" t="s">
        <v>28</v>
      </c>
      <c r="D795" s="2">
        <v>60</v>
      </c>
      <c r="E795" s="3" t="s">
        <v>503</v>
      </c>
      <c r="F795" s="3">
        <v>1</v>
      </c>
      <c r="G795" s="3" t="s">
        <v>41</v>
      </c>
      <c r="H795" s="3" t="str">
        <f t="shared" si="34"/>
        <v>2012</v>
      </c>
      <c r="I795" s="3">
        <v>10</v>
      </c>
      <c r="J795" s="69"/>
      <c r="K795" s="3" t="s">
        <v>461</v>
      </c>
      <c r="L795" s="3" t="s">
        <v>461</v>
      </c>
      <c r="M795" s="3">
        <v>399.2</v>
      </c>
      <c r="N795" s="3">
        <v>730</v>
      </c>
      <c r="O795" s="3" t="str">
        <f t="shared" si="33"/>
        <v>2011</v>
      </c>
      <c r="P795" s="2">
        <v>60</v>
      </c>
    </row>
    <row r="796" spans="1:16" x14ac:dyDescent="0.35">
      <c r="A796" s="3">
        <v>2022</v>
      </c>
      <c r="B796" s="3">
        <v>11</v>
      </c>
      <c r="C796" s="3">
        <v>7</v>
      </c>
      <c r="D796" s="2">
        <v>116</v>
      </c>
      <c r="E796" s="14" t="s">
        <v>562</v>
      </c>
      <c r="F796" s="15">
        <v>4</v>
      </c>
      <c r="G796" s="3" t="s">
        <v>41</v>
      </c>
      <c r="H796" s="3" t="str">
        <f t="shared" si="34"/>
        <v>2012</v>
      </c>
      <c r="I796" s="3">
        <v>10</v>
      </c>
      <c r="J796" s="69"/>
      <c r="K796" s="3" t="s">
        <v>461</v>
      </c>
      <c r="L796" s="3" t="s">
        <v>461</v>
      </c>
      <c r="M796" s="3">
        <v>441.9</v>
      </c>
      <c r="N796" s="3">
        <v>730</v>
      </c>
      <c r="O796" s="3" t="str">
        <f t="shared" si="33"/>
        <v>2011</v>
      </c>
      <c r="P796" s="2">
        <v>116</v>
      </c>
    </row>
    <row r="797" spans="1:16" x14ac:dyDescent="0.35">
      <c r="A797" s="3">
        <v>2016</v>
      </c>
      <c r="B797" s="3">
        <v>9</v>
      </c>
      <c r="C797" s="3">
        <v>2</v>
      </c>
      <c r="D797" s="2">
        <v>290</v>
      </c>
      <c r="E797" s="3" t="s">
        <v>756</v>
      </c>
      <c r="F797" s="3">
        <v>3</v>
      </c>
      <c r="G797" s="3" t="s">
        <v>41</v>
      </c>
      <c r="H797" s="3" t="str">
        <f t="shared" si="34"/>
        <v>2013</v>
      </c>
      <c r="I797" s="3">
        <v>3</v>
      </c>
      <c r="J797" s="69"/>
      <c r="K797" s="3" t="s">
        <v>42</v>
      </c>
      <c r="L797" s="3" t="s">
        <v>318</v>
      </c>
      <c r="M797" s="3">
        <v>403.5</v>
      </c>
      <c r="N797" s="3">
        <v>731</v>
      </c>
      <c r="O797" s="3" t="str">
        <f t="shared" si="33"/>
        <v>2011</v>
      </c>
      <c r="P797" s="2">
        <v>290</v>
      </c>
    </row>
    <row r="798" spans="1:16" x14ac:dyDescent="0.35">
      <c r="A798" s="3">
        <v>2022</v>
      </c>
      <c r="B798" s="3">
        <v>11</v>
      </c>
      <c r="C798" s="3">
        <v>1</v>
      </c>
      <c r="D798" s="2">
        <v>362</v>
      </c>
      <c r="E798" s="3" t="s">
        <v>828</v>
      </c>
      <c r="F798" s="3">
        <v>4</v>
      </c>
      <c r="G798" s="3" t="s">
        <v>41</v>
      </c>
      <c r="H798" s="3" t="str">
        <f t="shared" si="34"/>
        <v>2013</v>
      </c>
      <c r="I798" s="3">
        <v>9</v>
      </c>
      <c r="J798" s="69"/>
      <c r="K798" s="3" t="s">
        <v>583</v>
      </c>
      <c r="L798" s="3" t="s">
        <v>318</v>
      </c>
      <c r="M798" s="3">
        <v>318.8</v>
      </c>
      <c r="N798" s="3">
        <v>732</v>
      </c>
      <c r="O798" s="3" t="str">
        <f t="shared" si="33"/>
        <v>2011</v>
      </c>
      <c r="P798" s="2">
        <v>362</v>
      </c>
    </row>
    <row r="799" spans="1:16" x14ac:dyDescent="0.35">
      <c r="A799" s="3">
        <v>2022</v>
      </c>
      <c r="B799" s="3">
        <v>11</v>
      </c>
      <c r="C799" s="3">
        <v>14</v>
      </c>
      <c r="D799" s="2">
        <v>120</v>
      </c>
      <c r="E799" s="14" t="s">
        <v>33</v>
      </c>
      <c r="F799" s="15">
        <v>4</v>
      </c>
      <c r="G799" s="3" t="s">
        <v>20</v>
      </c>
      <c r="H799" s="3" t="str">
        <f t="shared" si="34"/>
        <v>2020</v>
      </c>
      <c r="I799" s="3">
        <v>2</v>
      </c>
      <c r="J799" s="69"/>
      <c r="K799" s="3">
        <v>8</v>
      </c>
      <c r="L799" s="3">
        <v>8</v>
      </c>
      <c r="M799" s="3">
        <v>470.6</v>
      </c>
      <c r="N799" s="3">
        <v>735</v>
      </c>
      <c r="O799" s="3" t="str">
        <f t="shared" si="33"/>
        <v>2018</v>
      </c>
      <c r="P799" s="2">
        <v>120</v>
      </c>
    </row>
    <row r="800" spans="1:16" x14ac:dyDescent="0.35">
      <c r="A800" s="3">
        <v>2019</v>
      </c>
      <c r="B800" s="3">
        <v>2</v>
      </c>
      <c r="C800" s="3">
        <v>21</v>
      </c>
      <c r="D800" s="2">
        <v>158</v>
      </c>
      <c r="E800" s="3" t="s">
        <v>604</v>
      </c>
      <c r="F800" s="3">
        <v>1</v>
      </c>
      <c r="G800" s="3" t="s">
        <v>45</v>
      </c>
      <c r="H800" s="3" t="str">
        <f t="shared" si="34"/>
        <v>2011</v>
      </c>
      <c r="I800" s="3">
        <v>8</v>
      </c>
      <c r="J800" s="69"/>
      <c r="K800" s="3" t="s">
        <v>602</v>
      </c>
      <c r="L800" s="3" t="s">
        <v>317</v>
      </c>
      <c r="M800" s="3">
        <v>482.9</v>
      </c>
      <c r="N800" s="3">
        <v>736</v>
      </c>
      <c r="O800" s="3" t="str">
        <f t="shared" si="33"/>
        <v>2007</v>
      </c>
      <c r="P800" s="2">
        <v>158</v>
      </c>
    </row>
    <row r="801" spans="1:16" x14ac:dyDescent="0.35">
      <c r="A801" s="3">
        <v>2022</v>
      </c>
      <c r="B801" s="3">
        <v>11</v>
      </c>
      <c r="C801" s="3">
        <v>7</v>
      </c>
      <c r="D801" s="2">
        <v>127</v>
      </c>
      <c r="E801" s="14" t="s">
        <v>572</v>
      </c>
      <c r="F801" s="15">
        <v>4</v>
      </c>
      <c r="G801" s="3" t="s">
        <v>41</v>
      </c>
      <c r="H801" s="3" t="str">
        <f t="shared" si="34"/>
        <v>2012</v>
      </c>
      <c r="I801" s="3">
        <v>10</v>
      </c>
      <c r="J801" s="69"/>
      <c r="K801" s="3" t="s">
        <v>461</v>
      </c>
      <c r="L801" s="3" t="s">
        <v>461</v>
      </c>
      <c r="M801" s="3">
        <v>504.1</v>
      </c>
      <c r="N801" s="3">
        <v>739</v>
      </c>
      <c r="O801" s="3" t="str">
        <f t="shared" si="33"/>
        <v>2011</v>
      </c>
      <c r="P801" s="2">
        <v>127</v>
      </c>
    </row>
    <row r="802" spans="1:16" x14ac:dyDescent="0.35">
      <c r="A802" s="3">
        <v>2016</v>
      </c>
      <c r="B802" s="3">
        <v>11</v>
      </c>
      <c r="C802" s="3">
        <v>16</v>
      </c>
      <c r="D802" s="2">
        <v>200</v>
      </c>
      <c r="E802" s="3" t="s">
        <v>653</v>
      </c>
      <c r="F802" s="3">
        <v>4</v>
      </c>
      <c r="G802" s="3" t="s">
        <v>41</v>
      </c>
      <c r="H802" s="3" t="str">
        <f t="shared" si="34"/>
        <v>2013</v>
      </c>
      <c r="I802" s="3">
        <v>3</v>
      </c>
      <c r="J802" s="69"/>
      <c r="K802" s="3" t="s">
        <v>42</v>
      </c>
      <c r="L802" s="3" t="s">
        <v>318</v>
      </c>
      <c r="M802" s="3">
        <v>483.5</v>
      </c>
      <c r="N802" s="3">
        <v>742</v>
      </c>
      <c r="O802" s="3" t="str">
        <f t="shared" si="33"/>
        <v>2011</v>
      </c>
      <c r="P802" s="2">
        <v>200</v>
      </c>
    </row>
    <row r="803" spans="1:16" x14ac:dyDescent="0.35">
      <c r="A803" s="3">
        <v>2018</v>
      </c>
      <c r="B803" s="3">
        <v>8</v>
      </c>
      <c r="C803" s="3">
        <v>15</v>
      </c>
      <c r="D803" s="2">
        <v>288</v>
      </c>
      <c r="E803" s="3" t="s">
        <v>753</v>
      </c>
      <c r="F803" s="3">
        <v>3</v>
      </c>
      <c r="G803" s="3" t="s">
        <v>41</v>
      </c>
      <c r="H803" s="3" t="str">
        <f t="shared" si="34"/>
        <v>2013</v>
      </c>
      <c r="I803" s="3">
        <v>5</v>
      </c>
      <c r="J803" s="69"/>
      <c r="K803" s="3" t="s">
        <v>509</v>
      </c>
      <c r="L803" s="3" t="s">
        <v>458</v>
      </c>
      <c r="M803" s="3">
        <v>49.1</v>
      </c>
      <c r="N803" s="3">
        <v>745</v>
      </c>
      <c r="O803" s="3" t="str">
        <f t="shared" si="33"/>
        <v>2011</v>
      </c>
      <c r="P803" s="2">
        <v>288</v>
      </c>
    </row>
    <row r="804" spans="1:16" x14ac:dyDescent="0.35">
      <c r="A804" s="3">
        <v>2024</v>
      </c>
      <c r="B804" s="3">
        <v>8</v>
      </c>
      <c r="C804" s="3">
        <v>13</v>
      </c>
      <c r="D804" s="2">
        <v>721</v>
      </c>
      <c r="E804" s="3" t="s">
        <v>244</v>
      </c>
      <c r="F804" s="3">
        <v>3</v>
      </c>
      <c r="G804" s="3" t="s">
        <v>225</v>
      </c>
      <c r="H804" s="3" t="str">
        <f t="shared" si="34"/>
        <v>2021</v>
      </c>
      <c r="I804" s="3">
        <v>3</v>
      </c>
      <c r="J804" s="69"/>
      <c r="K804" t="s">
        <v>1137</v>
      </c>
      <c r="L804">
        <v>3</v>
      </c>
      <c r="M804">
        <v>466.3</v>
      </c>
      <c r="N804" s="3">
        <v>745</v>
      </c>
      <c r="O804" s="3" t="str">
        <f t="shared" si="33"/>
        <v>2021</v>
      </c>
      <c r="P804" s="2">
        <v>721</v>
      </c>
    </row>
    <row r="805" spans="1:16" x14ac:dyDescent="0.35">
      <c r="A805" s="3">
        <v>2018</v>
      </c>
      <c r="B805" s="3">
        <v>8</v>
      </c>
      <c r="C805" s="3">
        <v>15</v>
      </c>
      <c r="D805" s="2">
        <v>334</v>
      </c>
      <c r="E805" s="3" t="s">
        <v>40</v>
      </c>
      <c r="F805" s="3">
        <v>3</v>
      </c>
      <c r="G805" s="3" t="s">
        <v>41</v>
      </c>
      <c r="H805" s="3" t="str">
        <f t="shared" si="34"/>
        <v>2013</v>
      </c>
      <c r="I805" s="3">
        <v>5</v>
      </c>
      <c r="J805" s="69"/>
      <c r="K805" s="3" t="s">
        <v>42</v>
      </c>
      <c r="L805" s="3" t="s">
        <v>318</v>
      </c>
      <c r="M805" s="3">
        <v>378.7</v>
      </c>
      <c r="N805" s="3">
        <v>746</v>
      </c>
      <c r="O805" s="3" t="str">
        <f t="shared" si="33"/>
        <v>2011</v>
      </c>
      <c r="P805" s="2">
        <v>334</v>
      </c>
    </row>
    <row r="806" spans="1:16" x14ac:dyDescent="0.35">
      <c r="A806" s="3">
        <v>2024</v>
      </c>
      <c r="B806" s="3">
        <v>8</v>
      </c>
      <c r="C806" s="3">
        <v>20</v>
      </c>
      <c r="D806" s="2">
        <v>765</v>
      </c>
      <c r="E806" s="3" t="s">
        <v>1157</v>
      </c>
      <c r="F806" s="3">
        <v>3</v>
      </c>
      <c r="G806" s="3" t="s">
        <v>226</v>
      </c>
      <c r="H806" s="3" t="str">
        <f t="shared" si="34"/>
        <v>2017</v>
      </c>
      <c r="I806" s="3">
        <v>7</v>
      </c>
      <c r="J806" s="69"/>
      <c r="K806" s="6" t="s">
        <v>228</v>
      </c>
      <c r="L806">
        <v>7</v>
      </c>
      <c r="M806">
        <v>479.2</v>
      </c>
      <c r="N806" s="3">
        <v>747</v>
      </c>
      <c r="O806" s="3" t="str">
        <f t="shared" si="33"/>
        <v>2017</v>
      </c>
      <c r="P806" s="2">
        <v>765</v>
      </c>
    </row>
    <row r="807" spans="1:16" x14ac:dyDescent="0.35">
      <c r="A807" s="3">
        <v>2023</v>
      </c>
      <c r="B807" s="3">
        <v>7</v>
      </c>
      <c r="C807" s="3">
        <v>19</v>
      </c>
      <c r="D807" s="2">
        <v>401</v>
      </c>
      <c r="E807" s="3" t="s">
        <v>867</v>
      </c>
      <c r="F807" s="3">
        <v>3</v>
      </c>
      <c r="G807" s="3" t="s">
        <v>41</v>
      </c>
      <c r="H807" s="3" t="str">
        <f t="shared" si="34"/>
        <v>2013</v>
      </c>
      <c r="I807" s="3">
        <v>10</v>
      </c>
      <c r="J807" s="69"/>
      <c r="K807" s="3" t="s">
        <v>49</v>
      </c>
      <c r="L807" s="3" t="s">
        <v>318</v>
      </c>
      <c r="M807" s="3">
        <v>371.6</v>
      </c>
      <c r="N807" s="3">
        <v>751</v>
      </c>
      <c r="O807" s="3" t="str">
        <f t="shared" si="33"/>
        <v>2011</v>
      </c>
      <c r="P807" s="2">
        <v>401</v>
      </c>
    </row>
    <row r="808" spans="1:16" x14ac:dyDescent="0.35">
      <c r="A808" s="3">
        <v>2024</v>
      </c>
      <c r="B808" s="3">
        <v>8</v>
      </c>
      <c r="C808" s="3">
        <v>5</v>
      </c>
      <c r="D808" s="2">
        <v>708</v>
      </c>
      <c r="E808" s="3" t="s">
        <v>242</v>
      </c>
      <c r="F808" s="3">
        <v>3</v>
      </c>
      <c r="G808" s="3" t="s">
        <v>20</v>
      </c>
      <c r="H808" s="3" t="str">
        <f t="shared" si="34"/>
        <v>2020</v>
      </c>
      <c r="I808" s="3">
        <v>4</v>
      </c>
      <c r="J808" s="69"/>
      <c r="K808" t="s">
        <v>64</v>
      </c>
      <c r="L808">
        <v>7</v>
      </c>
      <c r="M808">
        <v>558.1</v>
      </c>
      <c r="N808" s="3">
        <v>751</v>
      </c>
      <c r="O808" s="3" t="str">
        <f t="shared" si="33"/>
        <v>2018</v>
      </c>
      <c r="P808" s="2">
        <v>708</v>
      </c>
    </row>
    <row r="809" spans="1:16" x14ac:dyDescent="0.35">
      <c r="A809" s="3">
        <v>2017</v>
      </c>
      <c r="B809" s="3">
        <v>11</v>
      </c>
      <c r="C809" s="3">
        <v>9</v>
      </c>
      <c r="D809" s="2">
        <v>71</v>
      </c>
      <c r="E809" s="14" t="s">
        <v>516</v>
      </c>
      <c r="F809" s="15">
        <v>4</v>
      </c>
      <c r="G809" s="3" t="s">
        <v>45</v>
      </c>
      <c r="H809" s="3" t="str">
        <f t="shared" si="34"/>
        <v>2011</v>
      </c>
      <c r="I809" s="3">
        <v>6</v>
      </c>
      <c r="J809" s="69"/>
      <c r="K809" s="3" t="s">
        <v>317</v>
      </c>
      <c r="L809" s="3" t="s">
        <v>317</v>
      </c>
      <c r="M809" s="3">
        <v>444.8</v>
      </c>
      <c r="N809" s="3">
        <v>752</v>
      </c>
      <c r="O809" s="3" t="str">
        <f t="shared" si="33"/>
        <v>2007</v>
      </c>
      <c r="P809" s="2">
        <v>71</v>
      </c>
    </row>
    <row r="810" spans="1:16" x14ac:dyDescent="0.35">
      <c r="A810" s="3">
        <v>2024</v>
      </c>
      <c r="B810" s="3">
        <v>8</v>
      </c>
      <c r="C810" s="3">
        <v>13</v>
      </c>
      <c r="D810" s="2">
        <v>710</v>
      </c>
      <c r="E810" s="3" t="s">
        <v>1125</v>
      </c>
      <c r="F810" s="3">
        <v>3</v>
      </c>
      <c r="G810" s="3" t="s">
        <v>225</v>
      </c>
      <c r="H810" s="3" t="str">
        <f t="shared" si="34"/>
        <v>2022</v>
      </c>
      <c r="I810" s="3">
        <v>2</v>
      </c>
      <c r="J810" s="69"/>
      <c r="K810" t="s">
        <v>1126</v>
      </c>
      <c r="L810">
        <v>2</v>
      </c>
      <c r="M810">
        <v>450.1</v>
      </c>
      <c r="N810" s="3">
        <v>755</v>
      </c>
      <c r="O810" s="3" t="str">
        <f t="shared" si="33"/>
        <v>2021</v>
      </c>
      <c r="P810" s="2">
        <v>710</v>
      </c>
    </row>
    <row r="811" spans="1:16" x14ac:dyDescent="0.35">
      <c r="A811" s="3">
        <v>2022</v>
      </c>
      <c r="B811" s="3">
        <v>11</v>
      </c>
      <c r="C811" s="3">
        <v>1</v>
      </c>
      <c r="D811" s="2">
        <v>371</v>
      </c>
      <c r="E811" s="3" t="s">
        <v>837</v>
      </c>
      <c r="F811" s="3">
        <v>4</v>
      </c>
      <c r="G811" s="3" t="s">
        <v>41</v>
      </c>
      <c r="H811" s="3" t="str">
        <f t="shared" si="34"/>
        <v>2013</v>
      </c>
      <c r="I811" s="3">
        <v>9</v>
      </c>
      <c r="J811" s="69"/>
      <c r="K811" s="3" t="s">
        <v>49</v>
      </c>
      <c r="L811" s="3" t="s">
        <v>318</v>
      </c>
      <c r="M811" s="3">
        <v>422.6</v>
      </c>
      <c r="N811" s="3">
        <v>756</v>
      </c>
      <c r="O811" s="3" t="str">
        <f t="shared" si="33"/>
        <v>2011</v>
      </c>
      <c r="P811" s="2">
        <v>371</v>
      </c>
    </row>
    <row r="812" spans="1:16" x14ac:dyDescent="0.35">
      <c r="A812" s="3">
        <v>2023</v>
      </c>
      <c r="B812" s="3">
        <v>7</v>
      </c>
      <c r="C812" s="3">
        <v>17</v>
      </c>
      <c r="D812" s="2">
        <v>386</v>
      </c>
      <c r="E812" s="3" t="s">
        <v>851</v>
      </c>
      <c r="F812" s="3">
        <v>3</v>
      </c>
      <c r="G812" s="3" t="s">
        <v>45</v>
      </c>
      <c r="H812" s="3" t="str">
        <f t="shared" si="34"/>
        <v>2011</v>
      </c>
      <c r="I812" s="3">
        <v>12</v>
      </c>
      <c r="J812" s="69"/>
      <c r="K812" s="3" t="s">
        <v>46</v>
      </c>
      <c r="L812" s="3" t="s">
        <v>317</v>
      </c>
      <c r="M812" s="3">
        <v>409.8</v>
      </c>
      <c r="N812" s="3">
        <v>757</v>
      </c>
      <c r="O812" s="3" t="str">
        <f t="shared" si="33"/>
        <v>2007</v>
      </c>
      <c r="P812" s="2">
        <v>386</v>
      </c>
    </row>
    <row r="813" spans="1:16" x14ac:dyDescent="0.35">
      <c r="A813" s="3">
        <v>2023</v>
      </c>
      <c r="B813" s="3">
        <v>11</v>
      </c>
      <c r="C813" s="3">
        <v>9</v>
      </c>
      <c r="D813" s="2">
        <v>549</v>
      </c>
      <c r="E813" s="3" t="s">
        <v>124</v>
      </c>
      <c r="F813" s="3">
        <v>4</v>
      </c>
      <c r="G813" s="3" t="s">
        <v>20</v>
      </c>
      <c r="H813" s="3" t="str">
        <f t="shared" si="34"/>
        <v>2020</v>
      </c>
      <c r="I813" s="3">
        <v>3</v>
      </c>
      <c r="J813" s="69"/>
      <c r="K813" t="s">
        <v>64</v>
      </c>
      <c r="L813">
        <v>7</v>
      </c>
      <c r="M813">
        <v>576.29999999999995</v>
      </c>
      <c r="N813" s="3">
        <v>757</v>
      </c>
      <c r="O813" s="3" t="str">
        <f t="shared" si="33"/>
        <v>2018</v>
      </c>
      <c r="P813" s="2">
        <v>549</v>
      </c>
    </row>
    <row r="814" spans="1:16" x14ac:dyDescent="0.35">
      <c r="A814" s="3" t="s">
        <v>28</v>
      </c>
      <c r="B814" s="3" t="s">
        <v>28</v>
      </c>
      <c r="C814" s="3" t="s">
        <v>28</v>
      </c>
      <c r="D814" s="2">
        <v>448</v>
      </c>
      <c r="E814" s="3" t="s">
        <v>907</v>
      </c>
      <c r="F814" s="3" t="s">
        <v>28</v>
      </c>
      <c r="G814" s="3" t="s">
        <v>28</v>
      </c>
      <c r="H814" s="3" t="b">
        <f t="shared" si="34"/>
        <v>0</v>
      </c>
      <c r="I814" s="3" t="e">
        <v>#VALUE!</v>
      </c>
      <c r="J814" s="69"/>
      <c r="K814" s="3" t="s">
        <v>28</v>
      </c>
      <c r="L814" s="3" t="s">
        <v>28</v>
      </c>
      <c r="M814" s="3">
        <v>517.70000000000005</v>
      </c>
      <c r="N814" s="3">
        <v>761</v>
      </c>
      <c r="O814" s="3" t="b">
        <f t="shared" si="33"/>
        <v>0</v>
      </c>
      <c r="P814" s="2">
        <v>448</v>
      </c>
    </row>
    <row r="815" spans="1:16" x14ac:dyDescent="0.35">
      <c r="A815" s="3">
        <v>2019</v>
      </c>
      <c r="B815" s="3">
        <v>2</v>
      </c>
      <c r="C815" s="3">
        <v>21</v>
      </c>
      <c r="D815" s="2">
        <v>157</v>
      </c>
      <c r="E815" s="3" t="s">
        <v>603</v>
      </c>
      <c r="F815" s="3">
        <v>1</v>
      </c>
      <c r="G815" s="3" t="s">
        <v>45</v>
      </c>
      <c r="H815" s="3" t="str">
        <f t="shared" si="34"/>
        <v>2011</v>
      </c>
      <c r="I815" s="3">
        <v>8</v>
      </c>
      <c r="J815" s="69"/>
      <c r="K815" s="3" t="s">
        <v>602</v>
      </c>
      <c r="L815" s="3" t="s">
        <v>317</v>
      </c>
      <c r="M815" s="3">
        <v>540.5</v>
      </c>
      <c r="N815" s="3">
        <v>770</v>
      </c>
      <c r="O815" s="3" t="str">
        <f t="shared" si="33"/>
        <v>2007</v>
      </c>
      <c r="P815" s="2">
        <v>157</v>
      </c>
    </row>
    <row r="816" spans="1:16" x14ac:dyDescent="0.35">
      <c r="A816" s="3">
        <v>2024</v>
      </c>
      <c r="B816" s="3">
        <v>4</v>
      </c>
      <c r="C816" s="3">
        <v>1</v>
      </c>
      <c r="D816" s="2">
        <v>689</v>
      </c>
      <c r="E816" s="3" t="s">
        <v>103</v>
      </c>
      <c r="F816" s="3">
        <v>2</v>
      </c>
      <c r="G816" s="3" t="s">
        <v>20</v>
      </c>
      <c r="H816" s="3" t="str">
        <f t="shared" si="34"/>
        <v>2020</v>
      </c>
      <c r="I816" s="3">
        <v>4</v>
      </c>
      <c r="J816" s="69"/>
      <c r="K816" t="s">
        <v>73</v>
      </c>
      <c r="L816">
        <v>37</v>
      </c>
      <c r="M816">
        <v>542.5</v>
      </c>
      <c r="N816" s="3">
        <v>770</v>
      </c>
      <c r="O816" s="3" t="str">
        <f t="shared" si="33"/>
        <v>2018</v>
      </c>
      <c r="P816" s="2">
        <v>689</v>
      </c>
    </row>
    <row r="817" spans="1:16" x14ac:dyDescent="0.35">
      <c r="A817" s="3">
        <v>2018</v>
      </c>
      <c r="B817" s="3">
        <v>8</v>
      </c>
      <c r="C817" s="3">
        <v>15</v>
      </c>
      <c r="D817" s="2">
        <v>304</v>
      </c>
      <c r="E817" s="3" t="s">
        <v>770</v>
      </c>
      <c r="F817" s="3">
        <v>3</v>
      </c>
      <c r="G817" s="3" t="s">
        <v>41</v>
      </c>
      <c r="H817" s="3" t="str">
        <f t="shared" si="34"/>
        <v>2013</v>
      </c>
      <c r="I817" s="3">
        <v>5</v>
      </c>
      <c r="J817" s="69"/>
      <c r="K817" s="3" t="s">
        <v>49</v>
      </c>
      <c r="L817" s="3" t="s">
        <v>318</v>
      </c>
      <c r="M817" s="3">
        <v>465.5</v>
      </c>
      <c r="N817" s="3">
        <v>775</v>
      </c>
      <c r="O817" s="3" t="str">
        <f t="shared" si="33"/>
        <v>2011</v>
      </c>
      <c r="P817" s="2">
        <v>304</v>
      </c>
    </row>
    <row r="818" spans="1:16" x14ac:dyDescent="0.35">
      <c r="A818" s="3">
        <v>2022</v>
      </c>
      <c r="B818" s="3">
        <v>11</v>
      </c>
      <c r="C818" s="3">
        <v>1</v>
      </c>
      <c r="D818" s="2">
        <v>363</v>
      </c>
      <c r="E818" s="3" t="s">
        <v>829</v>
      </c>
      <c r="F818" s="3">
        <v>4</v>
      </c>
      <c r="G818" s="3" t="s">
        <v>41</v>
      </c>
      <c r="H818" s="3" t="str">
        <f t="shared" si="34"/>
        <v>2013</v>
      </c>
      <c r="I818" s="3">
        <v>9</v>
      </c>
      <c r="J818" s="69"/>
      <c r="K818" s="3" t="s">
        <v>669</v>
      </c>
      <c r="L818" s="3" t="s">
        <v>458</v>
      </c>
      <c r="M818" s="3">
        <v>510.2</v>
      </c>
      <c r="N818" s="3">
        <v>775</v>
      </c>
      <c r="O818" s="3" t="str">
        <f t="shared" si="33"/>
        <v>2011</v>
      </c>
      <c r="P818" s="2">
        <v>363</v>
      </c>
    </row>
    <row r="819" spans="1:16" x14ac:dyDescent="0.35">
      <c r="A819" s="3">
        <v>2024</v>
      </c>
      <c r="B819" s="3">
        <v>1</v>
      </c>
      <c r="C819" s="3">
        <v>22</v>
      </c>
      <c r="D819" s="2">
        <v>587</v>
      </c>
      <c r="E819" s="3" t="s">
        <v>1032</v>
      </c>
      <c r="F819" s="3">
        <v>1</v>
      </c>
      <c r="G819" s="3" t="s">
        <v>20</v>
      </c>
      <c r="H819" s="3" t="str">
        <f t="shared" si="34"/>
        <v>2020</v>
      </c>
      <c r="I819" s="3">
        <v>4</v>
      </c>
      <c r="J819" s="69"/>
      <c r="K819" t="s">
        <v>73</v>
      </c>
      <c r="L819">
        <v>37</v>
      </c>
      <c r="M819">
        <v>527.6</v>
      </c>
      <c r="N819" s="3">
        <v>776</v>
      </c>
      <c r="O819" s="3" t="str">
        <f t="shared" si="33"/>
        <v>2018</v>
      </c>
      <c r="P819" s="2">
        <v>587</v>
      </c>
    </row>
    <row r="820" spans="1:16" x14ac:dyDescent="0.35">
      <c r="A820" s="3">
        <v>2016</v>
      </c>
      <c r="B820" s="3">
        <v>11</v>
      </c>
      <c r="C820" s="3">
        <v>8</v>
      </c>
      <c r="D820" s="2">
        <v>191</v>
      </c>
      <c r="E820" s="3" t="s">
        <v>642</v>
      </c>
      <c r="F820" s="3">
        <v>4</v>
      </c>
      <c r="G820" s="3" t="s">
        <v>45</v>
      </c>
      <c r="H820" s="3" t="str">
        <f t="shared" si="34"/>
        <v>2011</v>
      </c>
      <c r="I820" s="3">
        <v>5</v>
      </c>
      <c r="J820" s="69"/>
      <c r="K820" s="3" t="s">
        <v>46</v>
      </c>
      <c r="L820" s="3" t="s">
        <v>317</v>
      </c>
      <c r="M820" s="3">
        <v>688.2</v>
      </c>
      <c r="N820" s="3">
        <v>780</v>
      </c>
      <c r="O820" s="3" t="str">
        <f t="shared" si="33"/>
        <v>2007</v>
      </c>
      <c r="P820" s="2">
        <v>191</v>
      </c>
    </row>
    <row r="821" spans="1:16" x14ac:dyDescent="0.35">
      <c r="A821" s="3">
        <v>2024</v>
      </c>
      <c r="B821" s="3">
        <v>1</v>
      </c>
      <c r="C821" s="3">
        <v>17</v>
      </c>
      <c r="D821" s="2">
        <v>608</v>
      </c>
      <c r="E821" s="3" t="s">
        <v>1050</v>
      </c>
      <c r="F821" s="3">
        <v>1</v>
      </c>
      <c r="G821" s="3" t="s">
        <v>41</v>
      </c>
      <c r="H821" s="3" t="str">
        <f t="shared" si="34"/>
        <v>2013</v>
      </c>
      <c r="I821" s="3">
        <v>11</v>
      </c>
      <c r="J821" s="69"/>
      <c r="K821" t="s">
        <v>583</v>
      </c>
      <c r="L821" s="3" t="s">
        <v>318</v>
      </c>
      <c r="M821">
        <v>522.5</v>
      </c>
      <c r="N821" s="3">
        <v>780</v>
      </c>
      <c r="O821" s="3" t="str">
        <f t="shared" si="33"/>
        <v>2011</v>
      </c>
      <c r="P821" s="2">
        <v>608</v>
      </c>
    </row>
    <row r="822" spans="1:16" x14ac:dyDescent="0.35">
      <c r="A822" s="3">
        <v>2011</v>
      </c>
      <c r="B822" s="3">
        <v>11</v>
      </c>
      <c r="C822" s="3">
        <v>14</v>
      </c>
      <c r="D822" s="2">
        <v>611</v>
      </c>
      <c r="E822" s="3" t="s">
        <v>133</v>
      </c>
      <c r="F822" s="3">
        <v>4</v>
      </c>
      <c r="G822" s="3" t="s">
        <v>45</v>
      </c>
      <c r="H822" s="3" t="str">
        <f t="shared" si="34"/>
        <v>2009</v>
      </c>
      <c r="I822" s="3">
        <v>2</v>
      </c>
      <c r="J822" s="69"/>
      <c r="K822" t="s">
        <v>671</v>
      </c>
      <c r="L822" s="3" t="s">
        <v>512</v>
      </c>
      <c r="M822">
        <v>597.79999999999995</v>
      </c>
      <c r="N822" s="3">
        <v>780</v>
      </c>
      <c r="O822" s="3" t="str">
        <f t="shared" si="33"/>
        <v>2007</v>
      </c>
      <c r="P822" s="2">
        <v>611</v>
      </c>
    </row>
    <row r="823" spans="1:16" x14ac:dyDescent="0.35">
      <c r="A823" s="3">
        <v>2022</v>
      </c>
      <c r="B823" s="3">
        <v>11</v>
      </c>
      <c r="C823" s="3">
        <v>1</v>
      </c>
      <c r="D823" s="2">
        <v>372</v>
      </c>
      <c r="E823" s="3" t="s">
        <v>838</v>
      </c>
      <c r="F823" s="3">
        <v>4</v>
      </c>
      <c r="G823" s="3" t="s">
        <v>41</v>
      </c>
      <c r="H823" s="3" t="str">
        <f t="shared" si="34"/>
        <v>2013</v>
      </c>
      <c r="I823" s="3">
        <v>9</v>
      </c>
      <c r="J823" s="69"/>
      <c r="K823" s="3" t="s">
        <v>42</v>
      </c>
      <c r="L823" s="3" t="s">
        <v>318</v>
      </c>
      <c r="M823" s="3">
        <v>439.7</v>
      </c>
      <c r="N823" s="3">
        <v>781</v>
      </c>
      <c r="O823" s="3" t="str">
        <f t="shared" si="33"/>
        <v>2011</v>
      </c>
      <c r="P823" s="2">
        <v>372</v>
      </c>
    </row>
    <row r="824" spans="1:16" x14ac:dyDescent="0.35">
      <c r="A824" s="3">
        <v>2024</v>
      </c>
      <c r="B824" s="3">
        <v>8</v>
      </c>
      <c r="C824" s="3">
        <v>9</v>
      </c>
      <c r="D824" s="2">
        <v>713</v>
      </c>
      <c r="E824" s="3" t="s">
        <v>1129</v>
      </c>
      <c r="F824" s="3">
        <v>3</v>
      </c>
      <c r="G824" s="3" t="s">
        <v>41</v>
      </c>
      <c r="H824" s="3" t="str">
        <f t="shared" si="34"/>
        <v>2013</v>
      </c>
      <c r="I824" s="3">
        <v>11</v>
      </c>
      <c r="J824" s="69"/>
      <c r="K824" t="s">
        <v>42</v>
      </c>
      <c r="L824" t="s">
        <v>318</v>
      </c>
      <c r="M824">
        <v>454.7</v>
      </c>
      <c r="N824" s="3">
        <v>782</v>
      </c>
      <c r="O824" s="3" t="str">
        <f t="shared" si="33"/>
        <v>2011</v>
      </c>
      <c r="P824" s="2">
        <v>713</v>
      </c>
    </row>
    <row r="825" spans="1:16" x14ac:dyDescent="0.35">
      <c r="A825" s="3">
        <v>2016</v>
      </c>
      <c r="B825" s="3">
        <v>9</v>
      </c>
      <c r="C825" s="3">
        <v>1</v>
      </c>
      <c r="D825" s="2">
        <v>246</v>
      </c>
      <c r="E825" s="3" t="s">
        <v>704</v>
      </c>
      <c r="F825" s="3">
        <v>3</v>
      </c>
      <c r="G825" s="3" t="s">
        <v>41</v>
      </c>
      <c r="H825" s="3" t="str">
        <f t="shared" si="34"/>
        <v>2012</v>
      </c>
      <c r="I825" s="3">
        <v>4</v>
      </c>
      <c r="J825" s="69"/>
      <c r="K825" s="3" t="s">
        <v>544</v>
      </c>
      <c r="L825" s="3" t="s">
        <v>461</v>
      </c>
      <c r="M825" s="3">
        <v>480.5</v>
      </c>
      <c r="N825" s="3">
        <v>784</v>
      </c>
      <c r="O825" s="3" t="str">
        <f t="shared" si="33"/>
        <v>2011</v>
      </c>
      <c r="P825" s="2">
        <v>246</v>
      </c>
    </row>
    <row r="826" spans="1:16" x14ac:dyDescent="0.35">
      <c r="A826" s="3">
        <v>2023</v>
      </c>
      <c r="B826" s="3">
        <v>2</v>
      </c>
      <c r="C826" s="3">
        <v>13</v>
      </c>
      <c r="D826" s="2">
        <v>153</v>
      </c>
      <c r="E826" s="3" t="s">
        <v>598</v>
      </c>
      <c r="F826" s="3">
        <v>1</v>
      </c>
      <c r="G826" s="3" t="s">
        <v>41</v>
      </c>
      <c r="H826" s="3" t="str">
        <f t="shared" si="34"/>
        <v>2012</v>
      </c>
      <c r="I826" s="3">
        <v>11</v>
      </c>
      <c r="J826" s="69"/>
      <c r="K826" s="3" t="s">
        <v>461</v>
      </c>
      <c r="L826" s="3" t="s">
        <v>461</v>
      </c>
      <c r="M826" s="3">
        <v>519.79999999999995</v>
      </c>
      <c r="N826" s="3">
        <v>785</v>
      </c>
      <c r="O826" s="3" t="str">
        <f t="shared" si="33"/>
        <v>2011</v>
      </c>
      <c r="P826" s="2">
        <v>153</v>
      </c>
    </row>
    <row r="827" spans="1:16" x14ac:dyDescent="0.35">
      <c r="A827" s="3">
        <v>2018</v>
      </c>
      <c r="B827" s="3">
        <v>8</v>
      </c>
      <c r="C827" s="3">
        <v>15</v>
      </c>
      <c r="D827" s="2">
        <v>309</v>
      </c>
      <c r="E827" s="3" t="s">
        <v>775</v>
      </c>
      <c r="F827" s="3">
        <v>3</v>
      </c>
      <c r="G827" s="3" t="s">
        <v>41</v>
      </c>
      <c r="H827" s="3" t="str">
        <f t="shared" si="34"/>
        <v>2013</v>
      </c>
      <c r="I827" s="3">
        <v>5</v>
      </c>
      <c r="J827" s="69"/>
      <c r="K827" s="3" t="s">
        <v>49</v>
      </c>
      <c r="L827" s="3" t="s">
        <v>318</v>
      </c>
      <c r="M827" s="3">
        <v>568.5</v>
      </c>
      <c r="N827" s="3">
        <v>785</v>
      </c>
      <c r="O827" s="3" t="str">
        <f t="shared" si="33"/>
        <v>2011</v>
      </c>
      <c r="P827" s="2">
        <v>309</v>
      </c>
    </row>
    <row r="828" spans="1:16" x14ac:dyDescent="0.35">
      <c r="A828" s="3">
        <v>2019</v>
      </c>
      <c r="B828" s="3">
        <v>2</v>
      </c>
      <c r="C828" s="3">
        <v>20</v>
      </c>
      <c r="D828" s="2">
        <v>163</v>
      </c>
      <c r="E828" s="3" t="s">
        <v>611</v>
      </c>
      <c r="F828" s="3">
        <v>1</v>
      </c>
      <c r="G828" s="3" t="s">
        <v>45</v>
      </c>
      <c r="H828" s="3" t="str">
        <f t="shared" si="34"/>
        <v>2011</v>
      </c>
      <c r="I828" s="3">
        <v>8</v>
      </c>
      <c r="J828" s="69"/>
      <c r="K828" s="3" t="s">
        <v>610</v>
      </c>
      <c r="L828" s="3" t="s">
        <v>317</v>
      </c>
      <c r="M828" s="3">
        <v>603.1</v>
      </c>
      <c r="N828" s="3">
        <v>786</v>
      </c>
      <c r="O828" s="3" t="str">
        <f t="shared" si="33"/>
        <v>2007</v>
      </c>
      <c r="P828" s="2">
        <v>163</v>
      </c>
    </row>
    <row r="829" spans="1:16" x14ac:dyDescent="0.35">
      <c r="A829" s="3">
        <v>2022</v>
      </c>
      <c r="B829" s="3">
        <v>11</v>
      </c>
      <c r="C829" s="3">
        <v>1</v>
      </c>
      <c r="D829" s="2">
        <v>406</v>
      </c>
      <c r="E829" s="3" t="s">
        <v>870</v>
      </c>
      <c r="F829" s="3">
        <v>4</v>
      </c>
      <c r="G829" s="3" t="s">
        <v>41</v>
      </c>
      <c r="H829" s="3" t="str">
        <f t="shared" si="34"/>
        <v>2013</v>
      </c>
      <c r="I829" s="3">
        <v>9</v>
      </c>
      <c r="J829" s="69"/>
      <c r="K829" s="3" t="s">
        <v>509</v>
      </c>
      <c r="L829" s="3" t="s">
        <v>458</v>
      </c>
      <c r="M829" s="3">
        <v>37.5</v>
      </c>
      <c r="N829" s="3">
        <v>790</v>
      </c>
      <c r="O829" s="3" t="str">
        <f t="shared" si="33"/>
        <v>2011</v>
      </c>
      <c r="P829" s="2">
        <v>406</v>
      </c>
    </row>
    <row r="830" spans="1:16" x14ac:dyDescent="0.35">
      <c r="A830" s="3">
        <v>2024</v>
      </c>
      <c r="B830" s="3">
        <v>1</v>
      </c>
      <c r="C830" s="3">
        <v>17</v>
      </c>
      <c r="D830" s="2">
        <v>585</v>
      </c>
      <c r="E830" s="3" t="s">
        <v>1029</v>
      </c>
      <c r="F830" s="3">
        <v>1</v>
      </c>
      <c r="G830" s="3" t="s">
        <v>41</v>
      </c>
      <c r="H830" s="3" t="str">
        <f t="shared" si="34"/>
        <v>2013</v>
      </c>
      <c r="I830" s="3">
        <v>11</v>
      </c>
      <c r="J830" s="69"/>
      <c r="K830" t="s">
        <v>583</v>
      </c>
      <c r="L830" s="3" t="s">
        <v>318</v>
      </c>
      <c r="M830">
        <v>554.1</v>
      </c>
      <c r="N830" s="3">
        <v>794</v>
      </c>
      <c r="O830" s="3" t="str">
        <f t="shared" si="33"/>
        <v>2011</v>
      </c>
      <c r="P830" s="2">
        <v>585</v>
      </c>
    </row>
    <row r="831" spans="1:16" x14ac:dyDescent="0.35">
      <c r="A831" s="3">
        <v>2024</v>
      </c>
      <c r="B831" s="3">
        <v>8</v>
      </c>
      <c r="C831" s="3">
        <v>9</v>
      </c>
      <c r="D831" s="2">
        <v>712</v>
      </c>
      <c r="E831" s="3" t="s">
        <v>1128</v>
      </c>
      <c r="F831" s="3">
        <v>3</v>
      </c>
      <c r="G831" s="3" t="s">
        <v>41</v>
      </c>
      <c r="H831" s="3" t="str">
        <f t="shared" si="34"/>
        <v>2013</v>
      </c>
      <c r="I831" s="3">
        <v>11</v>
      </c>
      <c r="J831" s="69"/>
      <c r="K831" t="s">
        <v>42</v>
      </c>
      <c r="L831" t="s">
        <v>318</v>
      </c>
      <c r="M831">
        <v>537.70000000000005</v>
      </c>
      <c r="N831" s="3">
        <v>794</v>
      </c>
      <c r="O831" s="3" t="str">
        <f t="shared" si="33"/>
        <v>2011</v>
      </c>
      <c r="P831" s="2">
        <v>712</v>
      </c>
    </row>
    <row r="832" spans="1:16" x14ac:dyDescent="0.35">
      <c r="A832" s="3">
        <v>2024</v>
      </c>
      <c r="B832" s="3">
        <v>8</v>
      </c>
      <c r="C832" s="3">
        <v>15</v>
      </c>
      <c r="D832" s="2">
        <v>738</v>
      </c>
      <c r="E832" s="3" t="s">
        <v>1147</v>
      </c>
      <c r="F832" s="3">
        <v>3</v>
      </c>
      <c r="G832" s="3" t="s">
        <v>225</v>
      </c>
      <c r="H832" s="3" t="str">
        <f t="shared" si="34"/>
        <v>2021</v>
      </c>
      <c r="I832" s="3">
        <v>3</v>
      </c>
      <c r="J832" s="69"/>
      <c r="K832">
        <v>3</v>
      </c>
      <c r="L832">
        <v>3</v>
      </c>
      <c r="M832">
        <v>723.2</v>
      </c>
      <c r="N832" s="3">
        <v>795</v>
      </c>
      <c r="O832" s="3" t="str">
        <f t="shared" si="33"/>
        <v>2021</v>
      </c>
      <c r="P832" s="2">
        <v>738</v>
      </c>
    </row>
    <row r="833" spans="1:16" x14ac:dyDescent="0.35">
      <c r="A833" s="3">
        <v>2016</v>
      </c>
      <c r="B833" s="3">
        <v>9</v>
      </c>
      <c r="C833" s="3">
        <v>1</v>
      </c>
      <c r="D833" s="2">
        <v>262</v>
      </c>
      <c r="E833" s="3" t="s">
        <v>723</v>
      </c>
      <c r="F833" s="3">
        <v>3</v>
      </c>
      <c r="G833" s="3" t="s">
        <v>45</v>
      </c>
      <c r="H833" s="3" t="str">
        <f t="shared" si="34"/>
        <v>2011</v>
      </c>
      <c r="I833" s="3">
        <v>5</v>
      </c>
      <c r="J833" s="69"/>
      <c r="K833" s="3" t="s">
        <v>718</v>
      </c>
      <c r="L833" s="3" t="s">
        <v>317</v>
      </c>
      <c r="M833" s="3">
        <v>569.79999999999995</v>
      </c>
      <c r="N833" s="3">
        <v>799</v>
      </c>
      <c r="O833" s="3" t="str">
        <f t="shared" si="33"/>
        <v>2007</v>
      </c>
      <c r="P833" s="2">
        <v>262</v>
      </c>
    </row>
    <row r="834" spans="1:16" x14ac:dyDescent="0.35">
      <c r="A834" s="3">
        <v>2023</v>
      </c>
      <c r="B834" s="3">
        <v>7</v>
      </c>
      <c r="C834" s="3">
        <v>17</v>
      </c>
      <c r="D834" s="2">
        <v>387</v>
      </c>
      <c r="E834" s="3" t="s">
        <v>852</v>
      </c>
      <c r="F834" s="3">
        <v>3</v>
      </c>
      <c r="G834" s="3" t="s">
        <v>45</v>
      </c>
      <c r="H834" s="3" t="str">
        <f t="shared" si="34"/>
        <v>2011</v>
      </c>
      <c r="I834" s="3">
        <v>12</v>
      </c>
      <c r="J834" s="69"/>
      <c r="K834" s="3" t="s">
        <v>632</v>
      </c>
      <c r="L834" s="3" t="s">
        <v>317</v>
      </c>
      <c r="M834" s="3">
        <v>48.5</v>
      </c>
      <c r="N834" s="3">
        <v>799</v>
      </c>
      <c r="O834" s="3" t="str">
        <f t="shared" ref="O834:O846" si="35">IF(G834="PHD", "2007", IF(G834="TSL", "2011", IF(G834 = "SRS", "2018", IF(G834="WCA 3B", "2017", IF(G834="WCA 3A", "2021")))))</f>
        <v>2007</v>
      </c>
      <c r="P834" s="2">
        <v>387</v>
      </c>
    </row>
    <row r="835" spans="1:16" x14ac:dyDescent="0.35">
      <c r="A835" s="3">
        <v>2018</v>
      </c>
      <c r="B835" s="3">
        <v>8</v>
      </c>
      <c r="C835" s="3">
        <v>16</v>
      </c>
      <c r="D835" s="2">
        <v>335</v>
      </c>
      <c r="E835" s="3" t="s">
        <v>801</v>
      </c>
      <c r="F835" s="3">
        <v>3</v>
      </c>
      <c r="G835" s="3" t="s">
        <v>41</v>
      </c>
      <c r="H835" s="3" t="str">
        <f t="shared" si="34"/>
        <v>2013</v>
      </c>
      <c r="I835" s="3">
        <v>5</v>
      </c>
      <c r="J835" s="69"/>
      <c r="K835" s="3" t="s">
        <v>583</v>
      </c>
      <c r="L835" s="3" t="s">
        <v>318</v>
      </c>
      <c r="M835" s="3">
        <v>613.4</v>
      </c>
      <c r="N835" s="3">
        <v>805</v>
      </c>
      <c r="O835" s="3" t="str">
        <f t="shared" si="35"/>
        <v>2011</v>
      </c>
      <c r="P835" s="2">
        <v>335</v>
      </c>
    </row>
    <row r="836" spans="1:16" x14ac:dyDescent="0.35">
      <c r="A836" s="3">
        <v>2024</v>
      </c>
      <c r="B836" s="3">
        <v>8</v>
      </c>
      <c r="C836" s="3">
        <v>5</v>
      </c>
      <c r="D836" s="2">
        <v>709</v>
      </c>
      <c r="E836" s="3" t="s">
        <v>243</v>
      </c>
      <c r="F836" s="3">
        <v>3</v>
      </c>
      <c r="G836" s="3" t="s">
        <v>20</v>
      </c>
      <c r="H836" s="3" t="str">
        <f t="shared" si="34"/>
        <v>2020</v>
      </c>
      <c r="I836" s="3">
        <v>4</v>
      </c>
      <c r="J836" s="69"/>
      <c r="K836" t="s">
        <v>64</v>
      </c>
      <c r="L836">
        <v>7</v>
      </c>
      <c r="M836">
        <v>596.70000000000005</v>
      </c>
      <c r="N836" s="3">
        <v>810</v>
      </c>
      <c r="O836" s="3" t="str">
        <f t="shared" si="35"/>
        <v>2018</v>
      </c>
      <c r="P836" s="2">
        <v>709</v>
      </c>
    </row>
    <row r="837" spans="1:16" x14ac:dyDescent="0.35">
      <c r="A837" s="3">
        <v>2023</v>
      </c>
      <c r="B837" s="3">
        <v>2</v>
      </c>
      <c r="C837" s="3">
        <v>13</v>
      </c>
      <c r="D837" s="2">
        <v>154</v>
      </c>
      <c r="E837" s="3" t="s">
        <v>599</v>
      </c>
      <c r="F837" s="3">
        <v>1</v>
      </c>
      <c r="G837" s="3" t="s">
        <v>41</v>
      </c>
      <c r="H837" s="3" t="str">
        <f t="shared" si="34"/>
        <v>2012</v>
      </c>
      <c r="I837" s="3">
        <v>11</v>
      </c>
      <c r="J837" s="69"/>
      <c r="K837" s="3" t="s">
        <v>461</v>
      </c>
      <c r="L837" s="3" t="s">
        <v>461</v>
      </c>
      <c r="M837" s="3">
        <v>567.79999999999995</v>
      </c>
      <c r="N837" s="3">
        <v>812</v>
      </c>
      <c r="O837" s="3" t="str">
        <f t="shared" si="35"/>
        <v>2011</v>
      </c>
      <c r="P837" s="2">
        <v>154</v>
      </c>
    </row>
    <row r="838" spans="1:16" x14ac:dyDescent="0.35">
      <c r="A838" s="3">
        <v>2023</v>
      </c>
      <c r="B838" s="3">
        <v>11</v>
      </c>
      <c r="C838" s="3">
        <v>7</v>
      </c>
      <c r="D838" s="2">
        <v>519</v>
      </c>
      <c r="E838" s="3" t="s">
        <v>971</v>
      </c>
      <c r="F838" s="3">
        <v>4</v>
      </c>
      <c r="G838" s="3" t="s">
        <v>41</v>
      </c>
      <c r="H838" s="3" t="str">
        <f t="shared" si="34"/>
        <v>2013</v>
      </c>
      <c r="I838" s="3">
        <v>10</v>
      </c>
      <c r="J838" s="69"/>
      <c r="K838" s="3" t="s">
        <v>583</v>
      </c>
      <c r="L838" s="3" t="s">
        <v>318</v>
      </c>
      <c r="M838" s="3">
        <v>530.20000000000005</v>
      </c>
      <c r="N838" s="3">
        <v>815</v>
      </c>
      <c r="O838" s="3" t="str">
        <f t="shared" si="35"/>
        <v>2011</v>
      </c>
      <c r="P838" s="2">
        <v>519</v>
      </c>
    </row>
    <row r="839" spans="1:16" x14ac:dyDescent="0.35">
      <c r="A839" s="3">
        <v>2024</v>
      </c>
      <c r="B839" s="3">
        <v>3</v>
      </c>
      <c r="C839" s="3">
        <v>14</v>
      </c>
      <c r="D839" s="2">
        <v>694</v>
      </c>
      <c r="E839" s="3" t="s">
        <v>1113</v>
      </c>
      <c r="F839" s="3">
        <v>2</v>
      </c>
      <c r="G839" s="3" t="s">
        <v>20</v>
      </c>
      <c r="H839" s="3" t="str">
        <f t="shared" ref="H839:H846" si="36">IF(L839="A55","2009",IF(L839="A59","2009",IF(L839="A60","2010",IF(L839="A62","2011",IF(L839="CP","2013",IF(L839="MD","2012",IF(L839="TS","2013",IF(L839="DL","2018",IF(L839="SCU","2018",IF(L839="NCU","2018",IF(L839="C1C","2018",IF(L839="C1E","2018",IF(L839="RS1S","2018",IF(L839="C2B","2018",IF(L839="DB3","2018",IF(AND(L839=6,G839="SRS"),"2018",IF(AND(L839=7,G839="SRS"),"2020",IF(AND(L839=8,G839="SRS"),"2020",IF(L839=23,"2019",IF(AND(L839=7,G839="WCA 3B"),"2017",IF(AND(L839=8,G839="WCA 3B"),"2019",IF(L839=1,"2021",IF(L839=2,"2022",IF(L839=3,"2021",IF(L839=4,"2021",IF(L839=5,"2022",IF(AND(L839=6,G839="WCA 3A"),"2022",IF(L839=9,"2023",IF(L839=10,"2023",IF(L839=37,"2020"))))))))))))))))))))))))))))))</f>
        <v>2019</v>
      </c>
      <c r="I839" s="3">
        <v>5</v>
      </c>
      <c r="J839" s="69"/>
      <c r="K839" t="s">
        <v>232</v>
      </c>
      <c r="L839">
        <v>23</v>
      </c>
      <c r="M839">
        <v>725</v>
      </c>
      <c r="N839" s="3">
        <v>815</v>
      </c>
      <c r="O839" s="3" t="str">
        <f t="shared" si="35"/>
        <v>2018</v>
      </c>
      <c r="P839" s="2">
        <v>694</v>
      </c>
    </row>
    <row r="840" spans="1:16" x14ac:dyDescent="0.35">
      <c r="A840" s="3">
        <v>2016</v>
      </c>
      <c r="B840" s="3">
        <v>11</v>
      </c>
      <c r="C840" s="3">
        <v>7</v>
      </c>
      <c r="D840" s="2">
        <v>207</v>
      </c>
      <c r="E840" s="3" t="s">
        <v>661</v>
      </c>
      <c r="F840" s="3">
        <v>4</v>
      </c>
      <c r="G840" s="3" t="s">
        <v>45</v>
      </c>
      <c r="H840" s="3" t="str">
        <f t="shared" si="36"/>
        <v>2009</v>
      </c>
      <c r="I840" s="3">
        <v>7</v>
      </c>
      <c r="J840" s="69"/>
      <c r="K840" s="3" t="s">
        <v>662</v>
      </c>
      <c r="L840" s="3" t="s">
        <v>488</v>
      </c>
      <c r="M840" s="3">
        <v>568.4</v>
      </c>
      <c r="N840" s="3">
        <v>820</v>
      </c>
      <c r="O840" s="3" t="str">
        <f t="shared" si="35"/>
        <v>2007</v>
      </c>
      <c r="P840" s="2">
        <v>207</v>
      </c>
    </row>
    <row r="841" spans="1:16" x14ac:dyDescent="0.35">
      <c r="A841" s="3">
        <v>2018</v>
      </c>
      <c r="B841" s="3">
        <v>8</v>
      </c>
      <c r="C841" s="3">
        <v>16</v>
      </c>
      <c r="D841" s="2">
        <v>336</v>
      </c>
      <c r="E841" s="3" t="s">
        <v>802</v>
      </c>
      <c r="F841" s="3">
        <v>3</v>
      </c>
      <c r="G841" s="3" t="s">
        <v>41</v>
      </c>
      <c r="H841" s="3" t="str">
        <f t="shared" si="36"/>
        <v>2013</v>
      </c>
      <c r="I841" s="3">
        <v>5</v>
      </c>
      <c r="J841" s="69"/>
      <c r="K841" s="3" t="s">
        <v>583</v>
      </c>
      <c r="L841" s="3" t="s">
        <v>318</v>
      </c>
      <c r="M841" s="3">
        <v>550.29999999999995</v>
      </c>
      <c r="N841" s="3">
        <v>823</v>
      </c>
      <c r="O841" s="3" t="str">
        <f t="shared" si="35"/>
        <v>2011</v>
      </c>
      <c r="P841" s="2">
        <v>336</v>
      </c>
    </row>
    <row r="842" spans="1:16" x14ac:dyDescent="0.35">
      <c r="A842" s="3">
        <v>2019</v>
      </c>
      <c r="B842" s="3">
        <v>2</v>
      </c>
      <c r="C842" s="3">
        <v>18</v>
      </c>
      <c r="D842" s="2">
        <v>175</v>
      </c>
      <c r="E842" s="3" t="s">
        <v>625</v>
      </c>
      <c r="F842" s="3">
        <v>1</v>
      </c>
      <c r="G842" s="3" t="s">
        <v>41</v>
      </c>
      <c r="H842" s="3" t="str">
        <f t="shared" si="36"/>
        <v>2013</v>
      </c>
      <c r="I842" s="3">
        <v>6</v>
      </c>
      <c r="J842" s="69"/>
      <c r="K842" s="3" t="s">
        <v>42</v>
      </c>
      <c r="L842" s="3" t="s">
        <v>318</v>
      </c>
      <c r="M842" s="3">
        <v>654.70000000000005</v>
      </c>
      <c r="N842" s="3">
        <v>830</v>
      </c>
      <c r="O842" s="3" t="str">
        <f t="shared" si="35"/>
        <v>2011</v>
      </c>
      <c r="P842" s="2">
        <v>175</v>
      </c>
    </row>
    <row r="843" spans="1:16" x14ac:dyDescent="0.35">
      <c r="A843" s="3">
        <v>2017</v>
      </c>
      <c r="B843" s="3">
        <v>11</v>
      </c>
      <c r="C843" s="3">
        <v>9</v>
      </c>
      <c r="D843" s="2">
        <v>78</v>
      </c>
      <c r="E843" s="14" t="s">
        <v>523</v>
      </c>
      <c r="F843" s="15">
        <v>4</v>
      </c>
      <c r="G843" s="3" t="s">
        <v>45</v>
      </c>
      <c r="H843" s="3" t="str">
        <f t="shared" si="36"/>
        <v>2011</v>
      </c>
      <c r="I843" s="3">
        <v>6</v>
      </c>
      <c r="J843" s="69"/>
      <c r="K843" s="3" t="s">
        <v>317</v>
      </c>
      <c r="L843" s="3" t="s">
        <v>317</v>
      </c>
      <c r="M843" s="3">
        <v>581.9</v>
      </c>
      <c r="N843" s="3">
        <v>848</v>
      </c>
      <c r="O843" s="3" t="str">
        <f t="shared" si="35"/>
        <v>2007</v>
      </c>
      <c r="P843" s="2">
        <v>78</v>
      </c>
    </row>
    <row r="844" spans="1:16" x14ac:dyDescent="0.35">
      <c r="A844" s="3">
        <v>2011</v>
      </c>
      <c r="B844" s="3">
        <v>11</v>
      </c>
      <c r="C844" s="3">
        <v>14</v>
      </c>
      <c r="D844" s="2">
        <v>613</v>
      </c>
      <c r="E844" s="3" t="s">
        <v>134</v>
      </c>
      <c r="F844" s="3">
        <v>4</v>
      </c>
      <c r="G844" s="3" t="s">
        <v>45</v>
      </c>
      <c r="H844" s="3" t="str">
        <f t="shared" si="36"/>
        <v>2009</v>
      </c>
      <c r="I844" s="3">
        <v>2</v>
      </c>
      <c r="J844" s="69"/>
      <c r="K844" t="s">
        <v>711</v>
      </c>
      <c r="L844" s="3" t="s">
        <v>512</v>
      </c>
      <c r="M844">
        <v>616.4</v>
      </c>
      <c r="N844" s="3">
        <v>852</v>
      </c>
      <c r="O844" s="3" t="str">
        <f t="shared" si="35"/>
        <v>2007</v>
      </c>
      <c r="P844" s="2">
        <v>613</v>
      </c>
    </row>
    <row r="845" spans="1:16" x14ac:dyDescent="0.35">
      <c r="A845" s="3">
        <v>2022</v>
      </c>
      <c r="B845" s="3">
        <v>1</v>
      </c>
      <c r="C845" s="3" t="s">
        <v>28</v>
      </c>
      <c r="D845" s="2">
        <v>23</v>
      </c>
      <c r="E845" s="3" t="s">
        <v>27</v>
      </c>
      <c r="F845" s="3">
        <v>1</v>
      </c>
      <c r="G845" s="3" t="s">
        <v>20</v>
      </c>
      <c r="H845" s="3" t="str">
        <f t="shared" si="36"/>
        <v>2020</v>
      </c>
      <c r="I845" s="3">
        <v>2</v>
      </c>
      <c r="J845" s="69"/>
      <c r="K845" s="3">
        <v>37</v>
      </c>
      <c r="L845" s="3">
        <v>37</v>
      </c>
      <c r="M845" s="3">
        <v>264.7</v>
      </c>
      <c r="N845" s="3">
        <v>853</v>
      </c>
      <c r="O845" s="3" t="str">
        <f t="shared" si="35"/>
        <v>2018</v>
      </c>
      <c r="P845" s="2">
        <v>23</v>
      </c>
    </row>
    <row r="846" spans="1:16" x14ac:dyDescent="0.35">
      <c r="A846" s="3">
        <v>2011</v>
      </c>
      <c r="B846" s="3">
        <v>11</v>
      </c>
      <c r="C846" s="3">
        <v>14</v>
      </c>
      <c r="D846" s="2">
        <v>615</v>
      </c>
      <c r="E846" s="3" t="s">
        <v>1055</v>
      </c>
      <c r="F846" s="3">
        <v>4</v>
      </c>
      <c r="G846" s="3" t="s">
        <v>45</v>
      </c>
      <c r="H846" s="3" t="str">
        <f t="shared" si="36"/>
        <v>2009</v>
      </c>
      <c r="I846" s="3">
        <v>2</v>
      </c>
      <c r="J846" s="69"/>
      <c r="K846" t="s">
        <v>711</v>
      </c>
      <c r="L846" s="3" t="s">
        <v>512</v>
      </c>
      <c r="M846">
        <v>564.20000000000005</v>
      </c>
      <c r="N846" s="3">
        <v>924</v>
      </c>
      <c r="O846" s="3" t="str">
        <f t="shared" si="35"/>
        <v>2007</v>
      </c>
      <c r="P846" s="2">
        <v>615</v>
      </c>
    </row>
  </sheetData>
  <autoFilter ref="AA1:AG33" xr:uid="{E7A19B09-208F-489E-9679-708E3C44386B}"/>
  <conditionalFormatting sqref="D1">
    <cfRule type="cellIs" dxfId="3" priority="4" operator="equal">
      <formula>559</formula>
    </cfRule>
  </conditionalFormatting>
  <conditionalFormatting sqref="D1:D1048576">
    <cfRule type="cellIs" dxfId="2" priority="3" operator="equal">
      <formula>"559, 692"</formula>
    </cfRule>
  </conditionalFormatting>
  <conditionalFormatting sqref="P1">
    <cfRule type="cellIs" dxfId="1" priority="2" operator="equal">
      <formula>559</formula>
    </cfRule>
  </conditionalFormatting>
  <conditionalFormatting sqref="P1:P1048576 R170:R171 Q246 R274:R275 Q279 Q297 Q399 Q694">
    <cfRule type="cellIs" dxfId="0" priority="1" operator="equal">
      <formula>"559, 692"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00AC-DD9C-4A12-B618-969A7FD3E0DA}">
  <dimension ref="A1:B473"/>
  <sheetViews>
    <sheetView workbookViewId="0">
      <selection activeCell="B218" sqref="B218"/>
    </sheetView>
  </sheetViews>
  <sheetFormatPr defaultRowHeight="15.5" x14ac:dyDescent="0.35"/>
  <sheetData>
    <row r="1" spans="1:2" x14ac:dyDescent="0.35">
      <c r="A1" t="s">
        <v>1248</v>
      </c>
      <c r="B1" t="s">
        <v>1246</v>
      </c>
    </row>
    <row r="2" spans="1:2" x14ac:dyDescent="0.35">
      <c r="A2" t="s">
        <v>1245</v>
      </c>
      <c r="B2">
        <v>2.6998029824123202E-3</v>
      </c>
    </row>
    <row r="3" spans="1:2" x14ac:dyDescent="0.35">
      <c r="A3" t="s">
        <v>1245</v>
      </c>
      <c r="B3">
        <v>7.1603570386807869E-3</v>
      </c>
    </row>
    <row r="4" spans="1:2" x14ac:dyDescent="0.35">
      <c r="A4" t="s">
        <v>1245</v>
      </c>
      <c r="B4">
        <v>7.2550859584929834E-3</v>
      </c>
    </row>
    <row r="5" spans="1:2" x14ac:dyDescent="0.35">
      <c r="A5" t="s">
        <v>1245</v>
      </c>
      <c r="B5">
        <v>8.4496698090975701E-3</v>
      </c>
    </row>
    <row r="6" spans="1:2" x14ac:dyDescent="0.35">
      <c r="A6" t="s">
        <v>1245</v>
      </c>
      <c r="B6">
        <v>1.0096235624475702E-2</v>
      </c>
    </row>
    <row r="7" spans="1:2" x14ac:dyDescent="0.35">
      <c r="A7" t="s">
        <v>1245</v>
      </c>
      <c r="B7">
        <v>1.0212187587686137E-2</v>
      </c>
    </row>
    <row r="8" spans="1:2" x14ac:dyDescent="0.35">
      <c r="A8" t="s">
        <v>1245</v>
      </c>
      <c r="B8">
        <v>1.0924372496414592E-2</v>
      </c>
    </row>
    <row r="9" spans="1:2" x14ac:dyDescent="0.35">
      <c r="A9" t="s">
        <v>1245</v>
      </c>
      <c r="B9">
        <v>1.1539606070594071E-2</v>
      </c>
    </row>
    <row r="10" spans="1:2" x14ac:dyDescent="0.35">
      <c r="A10" t="s">
        <v>1245</v>
      </c>
      <c r="B10">
        <v>1.204616784976709E-2</v>
      </c>
    </row>
    <row r="11" spans="1:2" x14ac:dyDescent="0.35">
      <c r="A11" t="s">
        <v>1245</v>
      </c>
      <c r="B11">
        <v>1.2174817742977547E-2</v>
      </c>
    </row>
    <row r="12" spans="1:2" x14ac:dyDescent="0.35">
      <c r="A12" t="s">
        <v>1245</v>
      </c>
      <c r="B12">
        <v>1.2565614729057845E-2</v>
      </c>
    </row>
    <row r="13" spans="1:2" x14ac:dyDescent="0.35">
      <c r="A13" t="s">
        <v>1245</v>
      </c>
      <c r="B13">
        <v>1.2697501263080021E-2</v>
      </c>
    </row>
    <row r="14" spans="1:2" x14ac:dyDescent="0.35">
      <c r="A14" t="s">
        <v>1245</v>
      </c>
      <c r="B14">
        <v>1.2830200775441412E-2</v>
      </c>
    </row>
    <row r="15" spans="1:2" x14ac:dyDescent="0.35">
      <c r="A15" t="s">
        <v>1245</v>
      </c>
      <c r="B15">
        <v>1.2963714786049959E-2</v>
      </c>
    </row>
    <row r="16" spans="1:2" x14ac:dyDescent="0.35">
      <c r="A16" t="s">
        <v>1245</v>
      </c>
      <c r="B16">
        <v>1.3233192363511715E-2</v>
      </c>
    </row>
    <row r="17" spans="1:2" x14ac:dyDescent="0.35">
      <c r="A17" t="s">
        <v>1245</v>
      </c>
      <c r="B17">
        <v>1.3781987973292741E-2</v>
      </c>
    </row>
    <row r="18" spans="1:2" x14ac:dyDescent="0.35">
      <c r="A18" t="s">
        <v>1245</v>
      </c>
      <c r="B18">
        <v>1.3921245727081344E-2</v>
      </c>
    </row>
    <row r="19" spans="1:2" x14ac:dyDescent="0.35">
      <c r="A19" t="s">
        <v>1245</v>
      </c>
      <c r="B19">
        <v>1.4343984110100733E-2</v>
      </c>
    </row>
    <row r="20" spans="1:2" x14ac:dyDescent="0.35">
      <c r="A20" t="s">
        <v>1245</v>
      </c>
      <c r="B20">
        <v>1.5211937162593683E-2</v>
      </c>
    </row>
    <row r="21" spans="1:2" x14ac:dyDescent="0.35">
      <c r="A21" t="s">
        <v>1245</v>
      </c>
      <c r="B21">
        <v>1.5211937162593683E-2</v>
      </c>
    </row>
    <row r="22" spans="1:2" x14ac:dyDescent="0.35">
      <c r="A22" t="s">
        <v>1245</v>
      </c>
      <c r="B22">
        <v>1.5807348922381104E-2</v>
      </c>
    </row>
    <row r="23" spans="1:2" x14ac:dyDescent="0.35">
      <c r="A23" t="s">
        <v>1245</v>
      </c>
      <c r="B23">
        <v>1.5807348922381104E-2</v>
      </c>
    </row>
    <row r="24" spans="1:2" x14ac:dyDescent="0.35">
      <c r="A24" t="s">
        <v>1245</v>
      </c>
      <c r="B24">
        <v>1.5807348922381104E-2</v>
      </c>
    </row>
    <row r="25" spans="1:2" x14ac:dyDescent="0.35">
      <c r="A25" t="s">
        <v>1245</v>
      </c>
      <c r="B25">
        <v>1.5958312269428079E-2</v>
      </c>
    </row>
    <row r="26" spans="1:2" x14ac:dyDescent="0.35">
      <c r="A26" t="s">
        <v>1245</v>
      </c>
      <c r="B26">
        <v>1.5958312269428079E-2</v>
      </c>
    </row>
    <row r="27" spans="1:2" x14ac:dyDescent="0.35">
      <c r="A27" t="s">
        <v>1245</v>
      </c>
      <c r="B27">
        <v>1.6416290423826092E-2</v>
      </c>
    </row>
    <row r="28" spans="1:2" x14ac:dyDescent="0.35">
      <c r="A28" t="s">
        <v>1245</v>
      </c>
      <c r="B28">
        <v>1.6570650642773931E-2</v>
      </c>
    </row>
    <row r="29" spans="1:2" x14ac:dyDescent="0.35">
      <c r="A29" t="s">
        <v>1245</v>
      </c>
      <c r="B29">
        <v>1.7514770843230179E-2</v>
      </c>
    </row>
    <row r="30" spans="1:2" x14ac:dyDescent="0.35">
      <c r="A30" t="s">
        <v>1245</v>
      </c>
      <c r="B30">
        <v>1.8325211357788865E-2</v>
      </c>
    </row>
    <row r="31" spans="1:2" x14ac:dyDescent="0.35">
      <c r="A31" t="s">
        <v>1245</v>
      </c>
      <c r="B31">
        <v>1.8989185910834948E-2</v>
      </c>
    </row>
    <row r="32" spans="1:2" x14ac:dyDescent="0.35">
      <c r="A32" t="s">
        <v>1245</v>
      </c>
      <c r="B32">
        <v>1.8989185910834948E-2</v>
      </c>
    </row>
    <row r="33" spans="1:2" x14ac:dyDescent="0.35">
      <c r="A33" t="s">
        <v>1245</v>
      </c>
      <c r="B33">
        <v>1.9157360919893847E-2</v>
      </c>
    </row>
    <row r="34" spans="1:2" x14ac:dyDescent="0.35">
      <c r="A34" t="s">
        <v>1245</v>
      </c>
      <c r="B34">
        <v>1.9326411252505518E-2</v>
      </c>
    </row>
    <row r="35" spans="1:2" x14ac:dyDescent="0.35">
      <c r="A35" t="s">
        <v>1245</v>
      </c>
      <c r="B35">
        <v>1.9496338291355848E-2</v>
      </c>
    </row>
    <row r="36" spans="1:2" x14ac:dyDescent="0.35">
      <c r="A36" t="s">
        <v>1245</v>
      </c>
      <c r="B36">
        <v>1.9496338291355848E-2</v>
      </c>
    </row>
    <row r="37" spans="1:2" x14ac:dyDescent="0.35">
      <c r="A37" t="s">
        <v>1245</v>
      </c>
      <c r="B37">
        <v>1.9667143416338254E-2</v>
      </c>
    </row>
    <row r="38" spans="1:2" x14ac:dyDescent="0.35">
      <c r="A38" t="s">
        <v>1245</v>
      </c>
      <c r="B38">
        <v>2.0184841065453485E-2</v>
      </c>
    </row>
    <row r="39" spans="1:2" x14ac:dyDescent="0.35">
      <c r="A39" t="s">
        <v>1245</v>
      </c>
      <c r="B39">
        <v>2.0184841065453485E-2</v>
      </c>
    </row>
    <row r="40" spans="1:2" x14ac:dyDescent="0.35">
      <c r="A40" t="s">
        <v>1245</v>
      </c>
      <c r="B40">
        <v>2.0887481034708534E-2</v>
      </c>
    </row>
    <row r="41" spans="1:2" x14ac:dyDescent="0.35">
      <c r="A41" t="s">
        <v>1245</v>
      </c>
      <c r="B41">
        <v>2.0887481034708534E-2</v>
      </c>
    </row>
    <row r="42" spans="1:2" x14ac:dyDescent="0.35">
      <c r="A42" t="s">
        <v>1245</v>
      </c>
      <c r="B42">
        <v>2.0887481034708534E-2</v>
      </c>
    </row>
    <row r="43" spans="1:2" x14ac:dyDescent="0.35">
      <c r="A43" t="s">
        <v>1245</v>
      </c>
      <c r="B43">
        <v>2.1244129737160864E-2</v>
      </c>
    </row>
    <row r="44" spans="1:2" x14ac:dyDescent="0.35">
      <c r="A44" t="s">
        <v>1245</v>
      </c>
      <c r="B44">
        <v>2.1244129737160864E-2</v>
      </c>
    </row>
    <row r="45" spans="1:2" x14ac:dyDescent="0.35">
      <c r="A45" t="s">
        <v>1245</v>
      </c>
      <c r="B45">
        <v>2.1244129737160864E-2</v>
      </c>
    </row>
    <row r="46" spans="1:2" x14ac:dyDescent="0.35">
      <c r="A46" t="s">
        <v>1245</v>
      </c>
      <c r="B46">
        <v>2.1423791014260674E-2</v>
      </c>
    </row>
    <row r="47" spans="1:2" x14ac:dyDescent="0.35">
      <c r="A47" t="s">
        <v>1245</v>
      </c>
      <c r="B47">
        <v>2.2151380435586822E-2</v>
      </c>
    </row>
    <row r="48" spans="1:2" x14ac:dyDescent="0.35">
      <c r="A48" t="s">
        <v>1245</v>
      </c>
      <c r="B48">
        <v>2.2151380435586822E-2</v>
      </c>
    </row>
    <row r="49" spans="1:2" x14ac:dyDescent="0.35">
      <c r="A49" t="s">
        <v>1245</v>
      </c>
      <c r="B49">
        <v>2.2151380435586822E-2</v>
      </c>
    </row>
    <row r="50" spans="1:2" x14ac:dyDescent="0.35">
      <c r="A50" t="s">
        <v>1245</v>
      </c>
      <c r="B50">
        <v>2.2335520587528308E-2</v>
      </c>
    </row>
    <row r="51" spans="1:2" x14ac:dyDescent="0.35">
      <c r="A51" t="s">
        <v>1245</v>
      </c>
      <c r="B51">
        <v>2.2520560536452048E-2</v>
      </c>
    </row>
    <row r="52" spans="1:2" x14ac:dyDescent="0.35">
      <c r="A52" t="s">
        <v>1245</v>
      </c>
      <c r="B52">
        <v>2.2893345161518041E-2</v>
      </c>
    </row>
    <row r="53" spans="1:2" x14ac:dyDescent="0.35">
      <c r="A53" t="s">
        <v>1245</v>
      </c>
      <c r="B53">
        <v>2.3841146291961674E-2</v>
      </c>
    </row>
    <row r="54" spans="1:2" x14ac:dyDescent="0.35">
      <c r="A54" t="s">
        <v>1245</v>
      </c>
      <c r="B54">
        <v>2.4615766506623522E-2</v>
      </c>
    </row>
    <row r="55" spans="1:2" x14ac:dyDescent="0.35">
      <c r="A55" t="s">
        <v>1245</v>
      </c>
      <c r="B55">
        <v>2.5008565270301715E-2</v>
      </c>
    </row>
    <row r="56" spans="1:2" x14ac:dyDescent="0.35">
      <c r="A56" t="s">
        <v>1245</v>
      </c>
      <c r="B56">
        <v>2.5405037060159195E-2</v>
      </c>
    </row>
    <row r="57" spans="1:2" x14ac:dyDescent="0.35">
      <c r="A57" t="s">
        <v>1245</v>
      </c>
      <c r="B57">
        <v>2.5604653589504502E-2</v>
      </c>
    </row>
    <row r="58" spans="1:2" x14ac:dyDescent="0.35">
      <c r="A58" t="s">
        <v>1245</v>
      </c>
      <c r="B58">
        <v>2.580519227021242E-2</v>
      </c>
    </row>
    <row r="59" spans="1:2" x14ac:dyDescent="0.35">
      <c r="A59" t="s">
        <v>1245</v>
      </c>
      <c r="B59">
        <v>2.6006654395678879E-2</v>
      </c>
    </row>
    <row r="60" spans="1:2" x14ac:dyDescent="0.35">
      <c r="A60" t="s">
        <v>1245</v>
      </c>
      <c r="B60">
        <v>2.6412354142881133E-2</v>
      </c>
    </row>
    <row r="61" spans="1:2" x14ac:dyDescent="0.35">
      <c r="A61" t="s">
        <v>1245</v>
      </c>
      <c r="B61">
        <v>2.6821763132080262E-2</v>
      </c>
    </row>
    <row r="62" spans="1:2" x14ac:dyDescent="0.35">
      <c r="A62" t="s">
        <v>1245</v>
      </c>
      <c r="B62">
        <v>2.6821763132080262E-2</v>
      </c>
    </row>
    <row r="63" spans="1:2" x14ac:dyDescent="0.35">
      <c r="A63" t="s">
        <v>1245</v>
      </c>
      <c r="B63">
        <v>2.7234891627669452E-2</v>
      </c>
    </row>
    <row r="64" spans="1:2" x14ac:dyDescent="0.35">
      <c r="A64" t="s">
        <v>1245</v>
      </c>
      <c r="B64">
        <v>2.7651749857824825E-2</v>
      </c>
    </row>
    <row r="65" spans="1:2" x14ac:dyDescent="0.35">
      <c r="A65" t="s">
        <v>1245</v>
      </c>
      <c r="B65">
        <v>2.7861580809853768E-2</v>
      </c>
    </row>
    <row r="66" spans="1:2" x14ac:dyDescent="0.35">
      <c r="A66" t="s">
        <v>1245</v>
      </c>
      <c r="B66">
        <v>2.8072348014858473E-2</v>
      </c>
    </row>
    <row r="67" spans="1:2" x14ac:dyDescent="0.35">
      <c r="A67" t="s">
        <v>1245</v>
      </c>
      <c r="B67">
        <v>2.8072348014858473E-2</v>
      </c>
    </row>
    <row r="68" spans="1:2" x14ac:dyDescent="0.35">
      <c r="A68" t="s">
        <v>1245</v>
      </c>
      <c r="B68">
        <v>2.8072348014858473E-2</v>
      </c>
    </row>
    <row r="69" spans="1:2" x14ac:dyDescent="0.35">
      <c r="A69" t="s">
        <v>1245</v>
      </c>
      <c r="B69">
        <v>2.8284052741331143E-2</v>
      </c>
    </row>
    <row r="70" spans="1:2" x14ac:dyDescent="0.35">
      <c r="A70" t="s">
        <v>1245</v>
      </c>
      <c r="B70">
        <v>2.8284052741331143E-2</v>
      </c>
    </row>
    <row r="71" spans="1:2" x14ac:dyDescent="0.35">
      <c r="A71" t="s">
        <v>1245</v>
      </c>
      <c r="B71">
        <v>2.8496696255565612E-2</v>
      </c>
    </row>
    <row r="72" spans="1:2" x14ac:dyDescent="0.35">
      <c r="A72" t="s">
        <v>1245</v>
      </c>
      <c r="B72">
        <v>2.871027982166794E-2</v>
      </c>
    </row>
    <row r="73" spans="1:2" x14ac:dyDescent="0.35">
      <c r="A73" t="s">
        <v>1245</v>
      </c>
      <c r="B73">
        <v>2.871027982166794E-2</v>
      </c>
    </row>
    <row r="74" spans="1:2" x14ac:dyDescent="0.35">
      <c r="A74" t="s">
        <v>1245</v>
      </c>
      <c r="B74">
        <v>2.9356683439643681E-2</v>
      </c>
    </row>
    <row r="75" spans="1:2" x14ac:dyDescent="0.35">
      <c r="A75" t="s">
        <v>1245</v>
      </c>
      <c r="B75">
        <v>2.9574039810885522E-2</v>
      </c>
    </row>
    <row r="76" spans="1:2" x14ac:dyDescent="0.35">
      <c r="A76" t="s">
        <v>1245</v>
      </c>
      <c r="B76">
        <v>3.0231791966943866E-2</v>
      </c>
    </row>
    <row r="77" spans="1:2" x14ac:dyDescent="0.35">
      <c r="A77" t="s">
        <v>1245</v>
      </c>
      <c r="B77">
        <v>3.0675041758494882E-2</v>
      </c>
    </row>
    <row r="78" spans="1:2" x14ac:dyDescent="0.35">
      <c r="A78" t="s">
        <v>1245</v>
      </c>
      <c r="B78">
        <v>3.0898094895167344E-2</v>
      </c>
    </row>
    <row r="79" spans="1:2" x14ac:dyDescent="0.35">
      <c r="A79" t="s">
        <v>1245</v>
      </c>
      <c r="B79">
        <v>3.0898094895167344E-2</v>
      </c>
    </row>
    <row r="80" spans="1:2" x14ac:dyDescent="0.35">
      <c r="A80" t="s">
        <v>1245</v>
      </c>
      <c r="B80">
        <v>3.1122101847414742E-2</v>
      </c>
    </row>
    <row r="81" spans="1:2" x14ac:dyDescent="0.35">
      <c r="A81" t="s">
        <v>1245</v>
      </c>
      <c r="B81">
        <v>3.1122101847414742E-2</v>
      </c>
    </row>
    <row r="82" spans="1:2" x14ac:dyDescent="0.35">
      <c r="A82" t="s">
        <v>1245</v>
      </c>
      <c r="B82">
        <v>3.1122101847414742E-2</v>
      </c>
    </row>
    <row r="83" spans="1:2" x14ac:dyDescent="0.35">
      <c r="A83" t="s">
        <v>1245</v>
      </c>
      <c r="B83">
        <v>3.1347063853883292E-2</v>
      </c>
    </row>
    <row r="84" spans="1:2" x14ac:dyDescent="0.35">
      <c r="A84" t="s">
        <v>1245</v>
      </c>
      <c r="B84">
        <v>3.1347063853883292E-2</v>
      </c>
    </row>
    <row r="85" spans="1:2" x14ac:dyDescent="0.35">
      <c r="A85" t="s">
        <v>1245</v>
      </c>
      <c r="B85">
        <v>3.1572982151161277E-2</v>
      </c>
    </row>
    <row r="86" spans="1:2" x14ac:dyDescent="0.35">
      <c r="A86" t="s">
        <v>1245</v>
      </c>
      <c r="B86">
        <v>3.1799857973788703E-2</v>
      </c>
    </row>
    <row r="87" spans="1:2" x14ac:dyDescent="0.35">
      <c r="A87" t="s">
        <v>1245</v>
      </c>
      <c r="B87">
        <v>3.1799857973788703E-2</v>
      </c>
    </row>
    <row r="88" spans="1:2" x14ac:dyDescent="0.35">
      <c r="A88" t="s">
        <v>1245</v>
      </c>
      <c r="B88">
        <v>3.2256487123066412E-2</v>
      </c>
    </row>
    <row r="89" spans="1:2" x14ac:dyDescent="0.35">
      <c r="A89" t="s">
        <v>1245</v>
      </c>
      <c r="B89">
        <v>3.2256487123066412E-2</v>
      </c>
    </row>
    <row r="90" spans="1:2" x14ac:dyDescent="0.35">
      <c r="A90" t="s">
        <v>1245</v>
      </c>
      <c r="B90">
        <v>3.2716961137424866E-2</v>
      </c>
    </row>
    <row r="91" spans="1:2" x14ac:dyDescent="0.35">
      <c r="A91" t="s">
        <v>1245</v>
      </c>
      <c r="B91">
        <v>3.2716961137424866E-2</v>
      </c>
    </row>
    <row r="92" spans="1:2" x14ac:dyDescent="0.35">
      <c r="A92" t="s">
        <v>1245</v>
      </c>
      <c r="B92">
        <v>3.2716961137424866E-2</v>
      </c>
    </row>
    <row r="93" spans="1:2" x14ac:dyDescent="0.35">
      <c r="A93" t="s">
        <v>1245</v>
      </c>
      <c r="B93">
        <v>3.2948643033861323E-2</v>
      </c>
    </row>
    <row r="94" spans="1:2" x14ac:dyDescent="0.35">
      <c r="A94" t="s">
        <v>1245</v>
      </c>
      <c r="B94">
        <v>3.3181289820393478E-2</v>
      </c>
    </row>
    <row r="95" spans="1:2" x14ac:dyDescent="0.35">
      <c r="A95" t="s">
        <v>1245</v>
      </c>
      <c r="B95">
        <v>3.3414902717482237E-2</v>
      </c>
    </row>
    <row r="96" spans="1:2" x14ac:dyDescent="0.35">
      <c r="A96" t="s">
        <v>1245</v>
      </c>
      <c r="B96">
        <v>3.364948294361346E-2</v>
      </c>
    </row>
    <row r="97" spans="1:2" x14ac:dyDescent="0.35">
      <c r="A97" t="s">
        <v>1245</v>
      </c>
      <c r="B97">
        <v>3.3885031715306831E-2</v>
      </c>
    </row>
    <row r="98" spans="1:2" x14ac:dyDescent="0.35">
      <c r="A98" t="s">
        <v>1245</v>
      </c>
      <c r="B98">
        <v>3.4359039751680261E-2</v>
      </c>
    </row>
    <row r="99" spans="1:2" x14ac:dyDescent="0.35">
      <c r="A99" t="s">
        <v>1245</v>
      </c>
      <c r="B99">
        <v>3.4359039751680261E-2</v>
      </c>
    </row>
    <row r="100" spans="1:2" x14ac:dyDescent="0.35">
      <c r="A100" t="s">
        <v>1245</v>
      </c>
      <c r="B100">
        <v>3.4359039751680261E-2</v>
      </c>
    </row>
    <row r="101" spans="1:2" x14ac:dyDescent="0.35">
      <c r="A101" t="s">
        <v>1245</v>
      </c>
      <c r="B101">
        <v>3.4597501439647439E-2</v>
      </c>
    </row>
    <row r="102" spans="1:2" x14ac:dyDescent="0.35">
      <c r="A102" t="s">
        <v>1245</v>
      </c>
      <c r="B102">
        <v>3.4597501439647439E-2</v>
      </c>
    </row>
    <row r="103" spans="1:2" x14ac:dyDescent="0.35">
      <c r="A103" t="s">
        <v>1245</v>
      </c>
      <c r="B103">
        <v>3.5077346198861881E-2</v>
      </c>
    </row>
    <row r="104" spans="1:2" x14ac:dyDescent="0.35">
      <c r="A104" t="s">
        <v>1245</v>
      </c>
      <c r="B104">
        <v>3.556109417168124E-2</v>
      </c>
    </row>
    <row r="105" spans="1:2" x14ac:dyDescent="0.35">
      <c r="A105" t="s">
        <v>1245</v>
      </c>
      <c r="B105">
        <v>3.6540338193573628E-2</v>
      </c>
    </row>
    <row r="106" spans="1:2" x14ac:dyDescent="0.35">
      <c r="A106" t="s">
        <v>1245</v>
      </c>
      <c r="B106">
        <v>3.6787603696659996E-2</v>
      </c>
    </row>
    <row r="107" spans="1:2" x14ac:dyDescent="0.35">
      <c r="A107" t="s">
        <v>1245</v>
      </c>
      <c r="B107">
        <v>3.7535310075477196E-2</v>
      </c>
    </row>
    <row r="108" spans="1:2" x14ac:dyDescent="0.35">
      <c r="A108" t="s">
        <v>1245</v>
      </c>
      <c r="B108">
        <v>3.7786519451766455E-2</v>
      </c>
    </row>
    <row r="109" spans="1:2" x14ac:dyDescent="0.35">
      <c r="A109" t="s">
        <v>1245</v>
      </c>
      <c r="B109">
        <v>3.8291906188453378E-2</v>
      </c>
    </row>
    <row r="110" spans="1:2" x14ac:dyDescent="0.35">
      <c r="A110" t="s">
        <v>1245</v>
      </c>
      <c r="B110">
        <v>3.854608591218487E-2</v>
      </c>
    </row>
    <row r="111" spans="1:2" x14ac:dyDescent="0.35">
      <c r="A111" t="s">
        <v>1245</v>
      </c>
      <c r="B111">
        <v>3.9831895189504439E-2</v>
      </c>
    </row>
    <row r="112" spans="1:2" x14ac:dyDescent="0.35">
      <c r="A112" t="s">
        <v>1245</v>
      </c>
      <c r="B112">
        <v>4.0353199106869811E-2</v>
      </c>
    </row>
    <row r="113" spans="1:2" x14ac:dyDescent="0.35">
      <c r="A113" t="s">
        <v>1245</v>
      </c>
      <c r="B113">
        <v>4.0615351500838746E-2</v>
      </c>
    </row>
    <row r="114" spans="1:2" x14ac:dyDescent="0.35">
      <c r="A114" t="s">
        <v>1245</v>
      </c>
      <c r="B114">
        <v>4.0878505738666519E-2</v>
      </c>
    </row>
    <row r="115" spans="1:2" x14ac:dyDescent="0.35">
      <c r="A115" t="s">
        <v>1245</v>
      </c>
      <c r="B115">
        <v>4.1407824396492009E-2</v>
      </c>
    </row>
    <row r="116" spans="1:2" x14ac:dyDescent="0.35">
      <c r="A116" t="s">
        <v>1245</v>
      </c>
      <c r="B116">
        <v>4.1673991137473568E-2</v>
      </c>
    </row>
    <row r="117" spans="1:2" x14ac:dyDescent="0.35">
      <c r="A117" t="s">
        <v>1245</v>
      </c>
      <c r="B117">
        <v>4.1673991137473568E-2</v>
      </c>
    </row>
    <row r="118" spans="1:2" x14ac:dyDescent="0.35">
      <c r="A118" t="s">
        <v>1245</v>
      </c>
      <c r="B118">
        <v>4.1673991137473568E-2</v>
      </c>
    </row>
    <row r="119" spans="1:2" x14ac:dyDescent="0.35">
      <c r="A119" t="s">
        <v>1245</v>
      </c>
      <c r="B119">
        <v>4.1941164364295971E-2</v>
      </c>
    </row>
    <row r="120" spans="1:2" x14ac:dyDescent="0.35">
      <c r="A120" t="s">
        <v>1245</v>
      </c>
      <c r="B120">
        <v>4.2478534898607506E-2</v>
      </c>
    </row>
    <row r="121" spans="1:2" x14ac:dyDescent="0.35">
      <c r="A121" t="s">
        <v>1245</v>
      </c>
      <c r="B121">
        <v>4.2478534898607506E-2</v>
      </c>
    </row>
    <row r="122" spans="1:2" x14ac:dyDescent="0.35">
      <c r="A122" t="s">
        <v>1245</v>
      </c>
      <c r="B122">
        <v>4.2478534898607506E-2</v>
      </c>
    </row>
    <row r="123" spans="1:2" x14ac:dyDescent="0.35">
      <c r="A123" t="s">
        <v>1245</v>
      </c>
      <c r="B123">
        <v>4.2478534898607506E-2</v>
      </c>
    </row>
    <row r="124" spans="1:2" x14ac:dyDescent="0.35">
      <c r="A124" t="s">
        <v>1245</v>
      </c>
      <c r="B124">
        <v>4.2748734513426159E-2</v>
      </c>
    </row>
    <row r="125" spans="1:2" x14ac:dyDescent="0.35">
      <c r="A125" t="s">
        <v>1245</v>
      </c>
      <c r="B125">
        <v>4.3292168194058255E-2</v>
      </c>
    </row>
    <row r="126" spans="1:2" x14ac:dyDescent="0.35">
      <c r="A126" t="s">
        <v>1245</v>
      </c>
      <c r="B126">
        <v>4.4391205485602173E-2</v>
      </c>
    </row>
    <row r="127" spans="1:2" x14ac:dyDescent="0.35">
      <c r="A127" t="s">
        <v>1245</v>
      </c>
      <c r="B127">
        <v>4.4391205485602173E-2</v>
      </c>
    </row>
    <row r="128" spans="1:2" x14ac:dyDescent="0.35">
      <c r="A128" t="s">
        <v>1245</v>
      </c>
      <c r="B128">
        <v>4.4946827394678542E-2</v>
      </c>
    </row>
    <row r="129" spans="1:2" x14ac:dyDescent="0.35">
      <c r="A129" t="s">
        <v>1245</v>
      </c>
      <c r="B129">
        <v>4.5226168154806699E-2</v>
      </c>
    </row>
    <row r="130" spans="1:2" x14ac:dyDescent="0.35">
      <c r="A130" t="s">
        <v>1245</v>
      </c>
      <c r="B130">
        <v>4.5506530300884765E-2</v>
      </c>
    </row>
    <row r="131" spans="1:2" x14ac:dyDescent="0.35">
      <c r="A131" t="s">
        <v>1245</v>
      </c>
      <c r="B131">
        <v>4.5506530300884765E-2</v>
      </c>
    </row>
    <row r="132" spans="1:2" x14ac:dyDescent="0.35">
      <c r="A132" t="s">
        <v>1245</v>
      </c>
      <c r="B132">
        <v>4.5787914967554001E-2</v>
      </c>
    </row>
    <row r="133" spans="1:2" x14ac:dyDescent="0.35">
      <c r="A133" t="s">
        <v>1245</v>
      </c>
      <c r="B133">
        <v>4.6070323287842545E-2</v>
      </c>
    </row>
    <row r="134" spans="1:2" x14ac:dyDescent="0.35">
      <c r="A134" t="s">
        <v>1245</v>
      </c>
      <c r="B134">
        <v>4.6923701476640066E-2</v>
      </c>
    </row>
    <row r="135" spans="1:2" x14ac:dyDescent="0.35">
      <c r="A135" t="s">
        <v>1245</v>
      </c>
      <c r="B135">
        <v>4.7210215709644308E-2</v>
      </c>
    </row>
    <row r="136" spans="1:2" x14ac:dyDescent="0.35">
      <c r="A136" t="s">
        <v>1245</v>
      </c>
      <c r="B136">
        <v>4.749775923743136E-2</v>
      </c>
    </row>
    <row r="137" spans="1:2" x14ac:dyDescent="0.35">
      <c r="A137" t="s">
        <v>1245</v>
      </c>
      <c r="B137">
        <v>4.8658248742520324E-2</v>
      </c>
    </row>
    <row r="138" spans="1:2" x14ac:dyDescent="0.35">
      <c r="A138" t="s">
        <v>1245</v>
      </c>
      <c r="B138">
        <v>4.9539478361260769E-2</v>
      </c>
    </row>
    <row r="139" spans="1:2" x14ac:dyDescent="0.35">
      <c r="A139" t="s">
        <v>1245</v>
      </c>
      <c r="B139">
        <v>4.9835296561544472E-2</v>
      </c>
    </row>
    <row r="140" spans="1:2" x14ac:dyDescent="0.35">
      <c r="A140" t="s">
        <v>1245</v>
      </c>
      <c r="B140">
        <v>5.0132154111941926E-2</v>
      </c>
    </row>
    <row r="141" spans="1:2" x14ac:dyDescent="0.35">
      <c r="A141" t="s">
        <v>1245</v>
      </c>
      <c r="B141">
        <v>5.0728991699844669E-2</v>
      </c>
    </row>
    <row r="142" spans="1:2" x14ac:dyDescent="0.35">
      <c r="A142" t="s">
        <v>1245</v>
      </c>
      <c r="B142">
        <v>5.1329999983374952E-2</v>
      </c>
    </row>
    <row r="143" spans="1:2" x14ac:dyDescent="0.35">
      <c r="A143" t="s">
        <v>1245</v>
      </c>
      <c r="B143">
        <v>5.193518779686257E-2</v>
      </c>
    </row>
    <row r="144" spans="1:2" x14ac:dyDescent="0.35">
      <c r="A144" t="s">
        <v>1245</v>
      </c>
      <c r="B144">
        <v>5.2239351781529789E-2</v>
      </c>
    </row>
    <row r="145" spans="1:2" x14ac:dyDescent="0.35">
      <c r="A145" t="s">
        <v>1245</v>
      </c>
      <c r="B145">
        <v>5.2544563950742362E-2</v>
      </c>
    </row>
    <row r="146" spans="1:2" x14ac:dyDescent="0.35">
      <c r="A146" t="s">
        <v>1245</v>
      </c>
      <c r="B146">
        <v>5.3158137231732655E-2</v>
      </c>
    </row>
    <row r="147" spans="1:2" x14ac:dyDescent="0.35">
      <c r="A147" t="s">
        <v>1245</v>
      </c>
      <c r="B147">
        <v>5.3158137231732655E-2</v>
      </c>
    </row>
    <row r="148" spans="1:2" x14ac:dyDescent="0.35">
      <c r="A148" t="s">
        <v>1245</v>
      </c>
      <c r="B148">
        <v>5.3466500534302366E-2</v>
      </c>
    </row>
    <row r="149" spans="1:2" x14ac:dyDescent="0.35">
      <c r="A149" t="s">
        <v>1245</v>
      </c>
      <c r="B149">
        <v>5.5654576540926301E-2</v>
      </c>
    </row>
    <row r="150" spans="1:2" x14ac:dyDescent="0.35">
      <c r="A150" t="s">
        <v>1245</v>
      </c>
      <c r="B150">
        <v>5.6608204360210565E-2</v>
      </c>
    </row>
    <row r="151" spans="1:2" x14ac:dyDescent="0.35">
      <c r="A151" t="s">
        <v>1245</v>
      </c>
      <c r="B151">
        <v>5.7571402942288054E-2</v>
      </c>
    </row>
    <row r="152" spans="1:2" x14ac:dyDescent="0.35">
      <c r="A152" t="s">
        <v>1245</v>
      </c>
      <c r="B152">
        <v>5.7894600997521958E-2</v>
      </c>
    </row>
    <row r="153" spans="1:2" x14ac:dyDescent="0.35">
      <c r="A153" t="s">
        <v>1245</v>
      </c>
      <c r="B153">
        <v>5.7894600997521958E-2</v>
      </c>
    </row>
    <row r="154" spans="1:2" x14ac:dyDescent="0.35">
      <c r="A154" t="s">
        <v>1245</v>
      </c>
      <c r="B154">
        <v>5.8218866773368738E-2</v>
      </c>
    </row>
    <row r="155" spans="1:2" x14ac:dyDescent="0.35">
      <c r="A155" t="s">
        <v>1245</v>
      </c>
      <c r="B155">
        <v>5.8544201341756981E-2</v>
      </c>
    </row>
    <row r="156" spans="1:2" x14ac:dyDescent="0.35">
      <c r="A156" t="s">
        <v>1245</v>
      </c>
      <c r="B156">
        <v>5.8544201341756981E-2</v>
      </c>
    </row>
    <row r="157" spans="1:2" x14ac:dyDescent="0.35">
      <c r="A157" t="s">
        <v>1245</v>
      </c>
      <c r="B157">
        <v>5.9526628500819259E-2</v>
      </c>
    </row>
    <row r="158" spans="1:2" x14ac:dyDescent="0.35">
      <c r="A158" t="s">
        <v>1245</v>
      </c>
      <c r="B158">
        <v>6.0186943493153379E-2</v>
      </c>
    </row>
    <row r="159" spans="1:2" x14ac:dyDescent="0.35">
      <c r="A159" t="s">
        <v>1245</v>
      </c>
      <c r="B159">
        <v>6.0851559265547618E-2</v>
      </c>
    </row>
    <row r="160" spans="1:2" x14ac:dyDescent="0.35">
      <c r="A160" t="s">
        <v>1245</v>
      </c>
      <c r="B160">
        <v>6.1520484311731349E-2</v>
      </c>
    </row>
    <row r="161" spans="1:2" x14ac:dyDescent="0.35">
      <c r="A161" t="s">
        <v>1245</v>
      </c>
      <c r="B161">
        <v>6.1856565460921824E-2</v>
      </c>
    </row>
    <row r="162" spans="1:2" x14ac:dyDescent="0.35">
      <c r="A162" t="s">
        <v>1245</v>
      </c>
      <c r="B162">
        <v>6.2871296093400517E-2</v>
      </c>
    </row>
    <row r="163" spans="1:2" x14ac:dyDescent="0.35">
      <c r="A163" t="s">
        <v>1245</v>
      </c>
      <c r="B163">
        <v>6.3211705547179919E-2</v>
      </c>
    </row>
    <row r="164" spans="1:2" x14ac:dyDescent="0.35">
      <c r="A164" t="s">
        <v>1245</v>
      </c>
      <c r="B164">
        <v>6.3211705547179919E-2</v>
      </c>
    </row>
    <row r="165" spans="1:2" x14ac:dyDescent="0.35">
      <c r="A165" t="s">
        <v>1245</v>
      </c>
      <c r="B165">
        <v>6.3211705547179919E-2</v>
      </c>
    </row>
    <row r="166" spans="1:2" x14ac:dyDescent="0.35">
      <c r="A166" t="s">
        <v>1245</v>
      </c>
      <c r="B166">
        <v>6.3895779631740451E-2</v>
      </c>
    </row>
    <row r="167" spans="1:2" x14ac:dyDescent="0.35">
      <c r="A167" t="s">
        <v>1245</v>
      </c>
      <c r="B167">
        <v>6.5276977876242731E-2</v>
      </c>
    </row>
    <row r="168" spans="1:2" x14ac:dyDescent="0.35">
      <c r="A168" t="s">
        <v>1245</v>
      </c>
      <c r="B168">
        <v>6.5625002306174435E-2</v>
      </c>
    </row>
    <row r="169" spans="1:2" x14ac:dyDescent="0.35">
      <c r="A169" t="s">
        <v>1245</v>
      </c>
      <c r="B169">
        <v>6.6675631969653301E-2</v>
      </c>
    </row>
    <row r="170" spans="1:2" x14ac:dyDescent="0.35">
      <c r="A170" t="s">
        <v>1245</v>
      </c>
      <c r="B170">
        <v>6.8091808523650779E-2</v>
      </c>
    </row>
    <row r="171" spans="1:2" x14ac:dyDescent="0.35">
      <c r="A171" t="s">
        <v>1245</v>
      </c>
      <c r="B171">
        <v>6.9886771132047706E-2</v>
      </c>
    </row>
    <row r="172" spans="1:2" x14ac:dyDescent="0.35">
      <c r="A172" t="s">
        <v>1245</v>
      </c>
      <c r="B172">
        <v>6.9886771132047706E-2</v>
      </c>
    </row>
    <row r="173" spans="1:2" x14ac:dyDescent="0.35">
      <c r="A173" t="s">
        <v>1245</v>
      </c>
      <c r="B173">
        <v>6.9886771132047706E-2</v>
      </c>
    </row>
    <row r="174" spans="1:2" x14ac:dyDescent="0.35">
      <c r="A174" t="s">
        <v>1245</v>
      </c>
      <c r="B174">
        <v>7.09769938477295E-2</v>
      </c>
    </row>
    <row r="175" spans="1:2" x14ac:dyDescent="0.35">
      <c r="A175" t="s">
        <v>1245</v>
      </c>
      <c r="B175">
        <v>7.3559657851727411E-2</v>
      </c>
    </row>
    <row r="176" spans="1:2" x14ac:dyDescent="0.35">
      <c r="A176" t="s">
        <v>1245</v>
      </c>
      <c r="B176">
        <v>7.3933060352237095E-2</v>
      </c>
    </row>
    <row r="177" spans="1:2" x14ac:dyDescent="0.35">
      <c r="A177" t="s">
        <v>1245</v>
      </c>
      <c r="B177">
        <v>7.3933060352237095E-2</v>
      </c>
    </row>
    <row r="178" spans="1:2" x14ac:dyDescent="0.35">
      <c r="A178" t="s">
        <v>1245</v>
      </c>
      <c r="B178">
        <v>7.430757852634548E-2</v>
      </c>
    </row>
    <row r="179" spans="1:2" x14ac:dyDescent="0.35">
      <c r="A179" t="s">
        <v>1245</v>
      </c>
      <c r="B179">
        <v>7.4683213387290476E-2</v>
      </c>
    </row>
    <row r="180" spans="1:2" x14ac:dyDescent="0.35">
      <c r="A180" t="s">
        <v>1245</v>
      </c>
      <c r="B180">
        <v>7.5059965947131699E-2</v>
      </c>
    </row>
    <row r="181" spans="1:2" x14ac:dyDescent="0.35">
      <c r="A181" t="s">
        <v>1245</v>
      </c>
      <c r="B181">
        <v>7.543783721675415E-2</v>
      </c>
    </row>
    <row r="182" spans="1:2" x14ac:dyDescent="0.35">
      <c r="A182" t="s">
        <v>1245</v>
      </c>
      <c r="B182">
        <v>7.5816828205872405E-2</v>
      </c>
    </row>
    <row r="183" spans="1:2" x14ac:dyDescent="0.35">
      <c r="A183" t="s">
        <v>1245</v>
      </c>
      <c r="B183">
        <v>7.6960529569863795E-2</v>
      </c>
    </row>
    <row r="184" spans="1:2" x14ac:dyDescent="0.35">
      <c r="A184" t="s">
        <v>1245</v>
      </c>
      <c r="B184">
        <v>7.734400951082615E-2</v>
      </c>
    </row>
    <row r="185" spans="1:2" x14ac:dyDescent="0.35">
      <c r="A185" t="s">
        <v>1245</v>
      </c>
      <c r="B185">
        <v>7.9278300513430877E-2</v>
      </c>
    </row>
    <row r="186" spans="1:2" x14ac:dyDescent="0.35">
      <c r="A186" t="s">
        <v>1245</v>
      </c>
      <c r="B186">
        <v>7.9278300513430877E-2</v>
      </c>
    </row>
    <row r="187" spans="1:2" x14ac:dyDescent="0.35">
      <c r="A187" t="s">
        <v>1245</v>
      </c>
      <c r="B187">
        <v>7.9668543976908354E-2</v>
      </c>
    </row>
    <row r="188" spans="1:2" x14ac:dyDescent="0.35">
      <c r="A188" t="s">
        <v>1245</v>
      </c>
      <c r="B188">
        <v>8.1240835286238725E-2</v>
      </c>
    </row>
    <row r="189" spans="1:2" x14ac:dyDescent="0.35">
      <c r="A189" t="s">
        <v>1245</v>
      </c>
      <c r="B189">
        <v>8.1636742448786201E-2</v>
      </c>
    </row>
    <row r="190" spans="1:2" x14ac:dyDescent="0.35">
      <c r="A190" t="s">
        <v>1245</v>
      </c>
      <c r="B190">
        <v>8.1636742448786201E-2</v>
      </c>
    </row>
    <row r="191" spans="1:2" x14ac:dyDescent="0.35">
      <c r="A191" t="s">
        <v>1245</v>
      </c>
      <c r="B191">
        <v>8.2431964920414283E-2</v>
      </c>
    </row>
    <row r="192" spans="1:2" x14ac:dyDescent="0.35">
      <c r="A192" t="s">
        <v>1245</v>
      </c>
      <c r="B192">
        <v>8.3231738184374682E-2</v>
      </c>
    </row>
    <row r="193" spans="1:2" x14ac:dyDescent="0.35">
      <c r="A193" t="s">
        <v>1245</v>
      </c>
      <c r="B193">
        <v>8.5658441651904366E-2</v>
      </c>
    </row>
    <row r="194" spans="1:2" x14ac:dyDescent="0.35">
      <c r="A194" t="s">
        <v>1245</v>
      </c>
      <c r="B194">
        <v>8.6887245360694684E-2</v>
      </c>
    </row>
    <row r="195" spans="1:2" x14ac:dyDescent="0.35">
      <c r="A195" t="s">
        <v>1245</v>
      </c>
      <c r="B195">
        <v>8.6887245360694684E-2</v>
      </c>
    </row>
    <row r="196" spans="1:2" x14ac:dyDescent="0.35">
      <c r="A196" t="s">
        <v>1245</v>
      </c>
      <c r="B196">
        <v>8.7712188743889419E-2</v>
      </c>
    </row>
    <row r="197" spans="1:2" x14ac:dyDescent="0.35">
      <c r="A197" t="s">
        <v>1245</v>
      </c>
      <c r="B197">
        <v>8.9375888812555801E-2</v>
      </c>
    </row>
    <row r="198" spans="1:2" x14ac:dyDescent="0.35">
      <c r="A198" t="s">
        <v>1245</v>
      </c>
      <c r="B198">
        <v>8.9794697275799251E-2</v>
      </c>
    </row>
    <row r="199" spans="1:2" x14ac:dyDescent="0.35">
      <c r="A199" t="s">
        <v>1245</v>
      </c>
      <c r="B199">
        <v>9.1481494011035461E-2</v>
      </c>
    </row>
    <row r="200" spans="1:2" x14ac:dyDescent="0.35">
      <c r="A200" t="s">
        <v>1245</v>
      </c>
      <c r="B200">
        <v>9.2331843646970072E-2</v>
      </c>
    </row>
    <row r="201" spans="1:2" x14ac:dyDescent="0.35">
      <c r="A201" t="s">
        <v>1245</v>
      </c>
      <c r="B201">
        <v>9.4478054124424032E-2</v>
      </c>
    </row>
    <row r="202" spans="1:2" x14ac:dyDescent="0.35">
      <c r="A202" t="s">
        <v>1245</v>
      </c>
      <c r="B202">
        <v>9.534469304410835E-2</v>
      </c>
    </row>
    <row r="203" spans="1:2" x14ac:dyDescent="0.35">
      <c r="A203" t="s">
        <v>1245</v>
      </c>
      <c r="B203">
        <v>9.534469304410835E-2</v>
      </c>
    </row>
    <row r="204" spans="1:2" x14ac:dyDescent="0.35">
      <c r="A204" t="s">
        <v>1245</v>
      </c>
      <c r="B204">
        <v>9.6653412573223546E-2</v>
      </c>
    </row>
    <row r="205" spans="1:2" x14ac:dyDescent="0.35">
      <c r="A205" t="s">
        <v>1245</v>
      </c>
      <c r="B205">
        <v>9.7091992542200217E-2</v>
      </c>
    </row>
    <row r="206" spans="1:2" x14ac:dyDescent="0.35">
      <c r="A206" t="s">
        <v>1245</v>
      </c>
      <c r="B206">
        <v>9.7531744162642681E-2</v>
      </c>
    </row>
    <row r="207" spans="1:2" x14ac:dyDescent="0.35">
      <c r="A207" t="s">
        <v>1245</v>
      </c>
      <c r="B207">
        <v>9.9302486176380558E-2</v>
      </c>
    </row>
    <row r="208" spans="1:2" x14ac:dyDescent="0.35">
      <c r="A208" t="s">
        <v>1245</v>
      </c>
      <c r="B208">
        <v>9.9748110308503432E-2</v>
      </c>
    </row>
    <row r="209" spans="1:2" x14ac:dyDescent="0.35">
      <c r="A209" t="s">
        <v>1245</v>
      </c>
      <c r="B209">
        <v>0.10154238975241078</v>
      </c>
    </row>
    <row r="210" spans="1:2" x14ac:dyDescent="0.35">
      <c r="A210" t="s">
        <v>1245</v>
      </c>
      <c r="B210">
        <v>0.10244661243977661</v>
      </c>
    </row>
    <row r="211" spans="1:2" x14ac:dyDescent="0.35">
      <c r="A211" t="s">
        <v>1245</v>
      </c>
      <c r="B211">
        <v>0.10335556715035027</v>
      </c>
    </row>
    <row r="212" spans="1:2" x14ac:dyDescent="0.35">
      <c r="A212" t="s">
        <v>1245</v>
      </c>
      <c r="B212">
        <v>0.10335556715035027</v>
      </c>
    </row>
    <row r="213" spans="1:2" x14ac:dyDescent="0.35">
      <c r="A213" t="s">
        <v>1245</v>
      </c>
      <c r="B213">
        <v>0.1075046232873057</v>
      </c>
    </row>
    <row r="214" spans="1:2" x14ac:dyDescent="0.35">
      <c r="A214" t="s">
        <v>1245</v>
      </c>
      <c r="B214">
        <v>0.12103395050025308</v>
      </c>
    </row>
    <row r="215" spans="1:2" x14ac:dyDescent="0.35">
      <c r="A215" t="s">
        <v>1245</v>
      </c>
      <c r="B215">
        <v>0.12253985067098808</v>
      </c>
    </row>
    <row r="216" spans="1:2" x14ac:dyDescent="0.35">
      <c r="A216" t="s">
        <v>1245</v>
      </c>
      <c r="B216">
        <v>0.12405674603400915</v>
      </c>
    </row>
    <row r="217" spans="1:2" x14ac:dyDescent="0.35">
      <c r="A217" t="s">
        <v>1245</v>
      </c>
      <c r="B217">
        <v>0.2390543471739312</v>
      </c>
    </row>
    <row r="218" spans="1:2" x14ac:dyDescent="0.35">
      <c r="A218" t="s">
        <v>1206</v>
      </c>
      <c r="B218">
        <v>0.12744655755085801</v>
      </c>
    </row>
    <row r="219" spans="1:2" x14ac:dyDescent="0.35">
      <c r="A219" t="s">
        <v>1206</v>
      </c>
      <c r="B219">
        <v>0.12136156968254884</v>
      </c>
    </row>
    <row r="220" spans="1:2" x14ac:dyDescent="0.35">
      <c r="A220" t="s">
        <v>1206</v>
      </c>
      <c r="B220">
        <v>0.10145720492297419</v>
      </c>
    </row>
    <row r="221" spans="1:2" x14ac:dyDescent="0.35">
      <c r="A221" t="s">
        <v>1206</v>
      </c>
      <c r="B221">
        <v>9.1953804927867491E-2</v>
      </c>
    </row>
    <row r="222" spans="1:2" x14ac:dyDescent="0.35">
      <c r="A222" t="s">
        <v>1206</v>
      </c>
      <c r="B222">
        <v>8.6742400840307377E-2</v>
      </c>
    </row>
    <row r="223" spans="1:2" x14ac:dyDescent="0.35">
      <c r="A223" t="s">
        <v>1206</v>
      </c>
      <c r="B223">
        <v>8.6519963553478824E-2</v>
      </c>
    </row>
    <row r="224" spans="1:2" x14ac:dyDescent="0.35">
      <c r="A224" t="s">
        <v>1206</v>
      </c>
      <c r="B224">
        <v>8.3007621554871097E-2</v>
      </c>
    </row>
    <row r="225" spans="1:2" x14ac:dyDescent="0.35">
      <c r="A225" t="s">
        <v>1206</v>
      </c>
      <c r="B225">
        <v>6.5982668994377172E-2</v>
      </c>
    </row>
    <row r="226" spans="1:2" x14ac:dyDescent="0.35">
      <c r="A226" t="s">
        <v>1206</v>
      </c>
      <c r="B226">
        <v>6.4669100093686288E-2</v>
      </c>
    </row>
    <row r="227" spans="1:2" x14ac:dyDescent="0.35">
      <c r="A227" t="s">
        <v>1206</v>
      </c>
      <c r="B227">
        <v>5.3221216570962279E-2</v>
      </c>
    </row>
    <row r="228" spans="1:2" x14ac:dyDescent="0.35">
      <c r="A228" t="s">
        <v>1206</v>
      </c>
      <c r="B228">
        <v>5.3055509327764733E-2</v>
      </c>
    </row>
    <row r="229" spans="1:2" x14ac:dyDescent="0.35">
      <c r="A229" t="s">
        <v>1206</v>
      </c>
      <c r="B229">
        <v>5.2231636825034823E-2</v>
      </c>
    </row>
    <row r="230" spans="1:2" x14ac:dyDescent="0.35">
      <c r="A230" t="s">
        <v>1206</v>
      </c>
      <c r="B230">
        <v>4.5012635454392255E-2</v>
      </c>
    </row>
    <row r="231" spans="1:2" x14ac:dyDescent="0.35">
      <c r="A231" t="s">
        <v>1206</v>
      </c>
      <c r="B231">
        <v>4.4713351432584258E-2</v>
      </c>
    </row>
    <row r="232" spans="1:2" x14ac:dyDescent="0.35">
      <c r="A232" t="s">
        <v>1206</v>
      </c>
      <c r="B232">
        <v>4.4713351432584258E-2</v>
      </c>
    </row>
    <row r="233" spans="1:2" x14ac:dyDescent="0.35">
      <c r="A233" t="s">
        <v>1206</v>
      </c>
      <c r="B233">
        <v>4.2506917089788751E-2</v>
      </c>
    </row>
    <row r="234" spans="1:2" x14ac:dyDescent="0.35">
      <c r="A234" t="s">
        <v>1206</v>
      </c>
      <c r="B234">
        <v>4.1215217084405384E-2</v>
      </c>
    </row>
    <row r="235" spans="1:2" x14ac:dyDescent="0.35">
      <c r="A235" t="s">
        <v>1206</v>
      </c>
      <c r="B235">
        <v>4.0507958084405417E-2</v>
      </c>
    </row>
    <row r="236" spans="1:2" x14ac:dyDescent="0.35">
      <c r="A236" t="s">
        <v>1206</v>
      </c>
      <c r="B236">
        <v>3.748311668998474E-2</v>
      </c>
    </row>
    <row r="237" spans="1:2" x14ac:dyDescent="0.35">
      <c r="A237" t="s">
        <v>1206</v>
      </c>
      <c r="B237">
        <v>3.7081556461633358E-2</v>
      </c>
    </row>
    <row r="238" spans="1:2" x14ac:dyDescent="0.35">
      <c r="A238" t="s">
        <v>1206</v>
      </c>
      <c r="B238">
        <v>3.4470718850122345E-2</v>
      </c>
    </row>
    <row r="239" spans="1:2" x14ac:dyDescent="0.35">
      <c r="A239" t="s">
        <v>1206</v>
      </c>
      <c r="B239">
        <v>3.408896364461024E-2</v>
      </c>
    </row>
    <row r="240" spans="1:2" x14ac:dyDescent="0.35">
      <c r="A240" t="s">
        <v>1206</v>
      </c>
      <c r="B240">
        <v>3.3835881688354358E-2</v>
      </c>
    </row>
    <row r="241" spans="1:2" x14ac:dyDescent="0.35">
      <c r="A241" t="s">
        <v>1206</v>
      </c>
      <c r="B241">
        <v>3.1973831037103953E-2</v>
      </c>
    </row>
    <row r="242" spans="1:2" x14ac:dyDescent="0.35">
      <c r="A242" t="s">
        <v>1206</v>
      </c>
      <c r="B242">
        <v>3.1851946703967259E-2</v>
      </c>
    </row>
    <row r="243" spans="1:2" x14ac:dyDescent="0.35">
      <c r="A243" t="s">
        <v>1206</v>
      </c>
      <c r="B243">
        <v>3.0767575174856863E-2</v>
      </c>
    </row>
    <row r="244" spans="1:2" x14ac:dyDescent="0.35">
      <c r="A244" t="s">
        <v>1206</v>
      </c>
      <c r="B244">
        <v>2.6002638363320209E-2</v>
      </c>
    </row>
    <row r="245" spans="1:2" x14ac:dyDescent="0.35">
      <c r="A245" t="s">
        <v>1206</v>
      </c>
      <c r="B245">
        <v>2.5149324016959421E-2</v>
      </c>
    </row>
    <row r="246" spans="1:2" x14ac:dyDescent="0.35">
      <c r="A246" t="s">
        <v>1206</v>
      </c>
      <c r="B246">
        <v>2.4416699052346238E-2</v>
      </c>
    </row>
    <row r="247" spans="1:2" x14ac:dyDescent="0.35">
      <c r="A247" t="s">
        <v>1206</v>
      </c>
      <c r="B247">
        <v>2.0384221463185217E-2</v>
      </c>
    </row>
    <row r="248" spans="1:2" x14ac:dyDescent="0.35">
      <c r="A248" t="s">
        <v>1206</v>
      </c>
      <c r="B248">
        <v>1.7792590069500035E-2</v>
      </c>
    </row>
    <row r="249" spans="1:2" x14ac:dyDescent="0.35">
      <c r="A249" t="s">
        <v>1206</v>
      </c>
      <c r="B249">
        <v>1.494284168968062E-2</v>
      </c>
    </row>
    <row r="250" spans="1:2" x14ac:dyDescent="0.35">
      <c r="A250" t="s">
        <v>1206</v>
      </c>
      <c r="B250">
        <v>1.1642893112683683E-2</v>
      </c>
    </row>
    <row r="251" spans="1:2" x14ac:dyDescent="0.35">
      <c r="A251" t="s">
        <v>1206</v>
      </c>
      <c r="B251">
        <v>8.3284643136190498E-3</v>
      </c>
    </row>
    <row r="252" spans="1:2" x14ac:dyDescent="0.35">
      <c r="A252" t="s">
        <v>1206</v>
      </c>
      <c r="B252">
        <v>7.6925430870005531E-3</v>
      </c>
    </row>
    <row r="253" spans="1:2" x14ac:dyDescent="0.35">
      <c r="A253" t="s">
        <v>1206</v>
      </c>
      <c r="B253">
        <v>7.3859288874568926E-3</v>
      </c>
    </row>
    <row r="254" spans="1:2" x14ac:dyDescent="0.35">
      <c r="A254" t="s">
        <v>1206</v>
      </c>
      <c r="B254">
        <v>2.4944142496929273E-3</v>
      </c>
    </row>
    <row r="255" spans="1:2" x14ac:dyDescent="0.35">
      <c r="A255" t="s">
        <v>1243</v>
      </c>
      <c r="B255">
        <v>1.2257364661323699E-2</v>
      </c>
    </row>
    <row r="256" spans="1:2" x14ac:dyDescent="0.35">
      <c r="A256" t="s">
        <v>1243</v>
      </c>
      <c r="B256">
        <v>1.8058879469417977E-2</v>
      </c>
    </row>
    <row r="257" spans="1:2" x14ac:dyDescent="0.35">
      <c r="A257" t="s">
        <v>1243</v>
      </c>
      <c r="B257">
        <v>2.0460244628193989E-2</v>
      </c>
    </row>
    <row r="258" spans="1:2" x14ac:dyDescent="0.35">
      <c r="A258" t="s">
        <v>1243</v>
      </c>
      <c r="B258">
        <v>2.6886857590821444E-2</v>
      </c>
    </row>
    <row r="259" spans="1:2" x14ac:dyDescent="0.35">
      <c r="A259" t="s">
        <v>1243</v>
      </c>
      <c r="B259">
        <v>2.9294087542344631E-2</v>
      </c>
    </row>
    <row r="260" spans="1:2" x14ac:dyDescent="0.35">
      <c r="A260" t="s">
        <v>1243</v>
      </c>
      <c r="B260">
        <v>4.2768291803849945E-2</v>
      </c>
    </row>
    <row r="261" spans="1:2" x14ac:dyDescent="0.35">
      <c r="A261" t="s">
        <v>1243</v>
      </c>
      <c r="B261">
        <v>4.3907721935765906E-2</v>
      </c>
    </row>
    <row r="262" spans="1:2" x14ac:dyDescent="0.35">
      <c r="A262" t="s">
        <v>1243</v>
      </c>
      <c r="B262">
        <v>4.4537636851119722E-2</v>
      </c>
    </row>
    <row r="263" spans="1:2" x14ac:dyDescent="0.35">
      <c r="A263" t="s">
        <v>1243</v>
      </c>
      <c r="B263">
        <v>6.0578028010594497E-2</v>
      </c>
    </row>
    <row r="264" spans="1:2" x14ac:dyDescent="0.35">
      <c r="A264" t="s">
        <v>1243</v>
      </c>
      <c r="B264">
        <v>6.389310197389142E-2</v>
      </c>
    </row>
    <row r="265" spans="1:2" x14ac:dyDescent="0.35">
      <c r="A265" t="s">
        <v>1243</v>
      </c>
      <c r="B265">
        <v>6.4634916856766311E-2</v>
      </c>
    </row>
    <row r="266" spans="1:2" x14ac:dyDescent="0.35">
      <c r="A266" t="s">
        <v>1243</v>
      </c>
      <c r="B266">
        <v>6.4971372626914978E-2</v>
      </c>
    </row>
    <row r="267" spans="1:2" x14ac:dyDescent="0.35">
      <c r="A267" t="s">
        <v>1243</v>
      </c>
      <c r="B267">
        <v>7.0027717966774594E-2</v>
      </c>
    </row>
    <row r="268" spans="1:2" x14ac:dyDescent="0.35">
      <c r="A268" t="s">
        <v>1243</v>
      </c>
      <c r="B268">
        <v>7.2713127061113894E-2</v>
      </c>
    </row>
    <row r="269" spans="1:2" x14ac:dyDescent="0.35">
      <c r="A269" t="s">
        <v>1243</v>
      </c>
      <c r="B269">
        <v>7.6727873179354852E-2</v>
      </c>
    </row>
    <row r="270" spans="1:2" x14ac:dyDescent="0.35">
      <c r="A270" t="s">
        <v>1243</v>
      </c>
      <c r="B270">
        <v>7.7334877631544313E-2</v>
      </c>
    </row>
    <row r="271" spans="1:2" x14ac:dyDescent="0.35">
      <c r="A271" t="s">
        <v>1243</v>
      </c>
      <c r="B271">
        <v>7.8098105095320253E-2</v>
      </c>
    </row>
    <row r="272" spans="1:2" x14ac:dyDescent="0.35">
      <c r="A272" t="s">
        <v>1243</v>
      </c>
      <c r="B272">
        <v>8.1201012243555235E-2</v>
      </c>
    </row>
    <row r="273" spans="1:2" x14ac:dyDescent="0.35">
      <c r="A273" t="s">
        <v>1243</v>
      </c>
      <c r="B273">
        <v>8.1673389179176825E-2</v>
      </c>
    </row>
    <row r="274" spans="1:2" x14ac:dyDescent="0.35">
      <c r="A274" t="s">
        <v>1243</v>
      </c>
      <c r="B274">
        <v>8.4052971500891707E-2</v>
      </c>
    </row>
    <row r="275" spans="1:2" x14ac:dyDescent="0.35">
      <c r="A275" t="s">
        <v>1243</v>
      </c>
      <c r="B275">
        <v>8.7650142730341551E-2</v>
      </c>
    </row>
    <row r="276" spans="1:2" x14ac:dyDescent="0.35">
      <c r="A276" t="s">
        <v>1243</v>
      </c>
      <c r="B276">
        <v>0.1044951334814337</v>
      </c>
    </row>
    <row r="277" spans="1:2" x14ac:dyDescent="0.35">
      <c r="A277" t="s">
        <v>1243</v>
      </c>
      <c r="B277">
        <v>0.13645075597217077</v>
      </c>
    </row>
    <row r="278" spans="1:2" x14ac:dyDescent="0.35">
      <c r="A278" t="s">
        <v>1243</v>
      </c>
      <c r="B278">
        <v>0.14784275391607271</v>
      </c>
    </row>
    <row r="279" spans="1:2" x14ac:dyDescent="0.35">
      <c r="A279" t="s">
        <v>1243</v>
      </c>
      <c r="B279">
        <v>0.15043087455260273</v>
      </c>
    </row>
    <row r="280" spans="1:2" x14ac:dyDescent="0.35">
      <c r="A280" t="s">
        <v>1243</v>
      </c>
      <c r="B280">
        <v>0.15739787129845734</v>
      </c>
    </row>
    <row r="281" spans="1:2" x14ac:dyDescent="0.35">
      <c r="A281" t="s">
        <v>1243</v>
      </c>
      <c r="B281">
        <v>0.18413955451659744</v>
      </c>
    </row>
    <row r="282" spans="1:2" x14ac:dyDescent="0.35">
      <c r="A282" t="s">
        <v>1243</v>
      </c>
      <c r="B282">
        <v>0.18822881624992022</v>
      </c>
    </row>
    <row r="283" spans="1:2" x14ac:dyDescent="0.35">
      <c r="A283" t="s">
        <v>1243</v>
      </c>
      <c r="B283">
        <v>0.19971270408681041</v>
      </c>
    </row>
    <row r="284" spans="1:2" x14ac:dyDescent="0.35">
      <c r="A284" t="s">
        <v>1249</v>
      </c>
      <c r="B284">
        <v>0.24272171216771588</v>
      </c>
    </row>
    <row r="285" spans="1:2" x14ac:dyDescent="0.35">
      <c r="A285" t="s">
        <v>1249</v>
      </c>
      <c r="B285">
        <v>0.17997649712249422</v>
      </c>
    </row>
    <row r="286" spans="1:2" x14ac:dyDescent="0.35">
      <c r="A286" t="s">
        <v>1249</v>
      </c>
      <c r="B286">
        <v>0.16005444922000459</v>
      </c>
    </row>
    <row r="287" spans="1:2" x14ac:dyDescent="0.35">
      <c r="A287" t="s">
        <v>1249</v>
      </c>
      <c r="B287">
        <v>0.14398047797763022</v>
      </c>
    </row>
    <row r="288" spans="1:2" x14ac:dyDescent="0.35">
      <c r="A288" t="s">
        <v>1249</v>
      </c>
      <c r="B288">
        <v>8.049996191295733E-2</v>
      </c>
    </row>
    <row r="289" spans="1:2" x14ac:dyDescent="0.35">
      <c r="A289" t="s">
        <v>1249</v>
      </c>
      <c r="B289">
        <v>6.8326481359385502E-2</v>
      </c>
    </row>
    <row r="290" spans="1:2" x14ac:dyDescent="0.35">
      <c r="A290" t="s">
        <v>1249</v>
      </c>
      <c r="B290">
        <v>6.412802218834586E-2</v>
      </c>
    </row>
    <row r="291" spans="1:2" x14ac:dyDescent="0.35">
      <c r="A291" t="s">
        <v>1249</v>
      </c>
      <c r="B291">
        <v>6.3670164091871428E-2</v>
      </c>
    </row>
    <row r="292" spans="1:2" x14ac:dyDescent="0.35">
      <c r="A292" t="s">
        <v>1249</v>
      </c>
      <c r="B292">
        <v>6.2701760012049759E-2</v>
      </c>
    </row>
    <row r="293" spans="1:2" x14ac:dyDescent="0.35">
      <c r="A293" t="s">
        <v>1249</v>
      </c>
      <c r="B293">
        <v>6.0247949134733289E-2</v>
      </c>
    </row>
    <row r="294" spans="1:2" x14ac:dyDescent="0.35">
      <c r="A294" t="s">
        <v>1249</v>
      </c>
      <c r="B294">
        <v>5.955669029185845E-2</v>
      </c>
    </row>
    <row r="295" spans="1:2" x14ac:dyDescent="0.35">
      <c r="A295" t="s">
        <v>1249</v>
      </c>
      <c r="B295">
        <v>5.8869791694073366E-2</v>
      </c>
    </row>
    <row r="296" spans="1:2" x14ac:dyDescent="0.35">
      <c r="A296" t="s">
        <v>1249</v>
      </c>
      <c r="B296">
        <v>5.3044689952901472E-2</v>
      </c>
    </row>
    <row r="297" spans="1:2" x14ac:dyDescent="0.35">
      <c r="A297" t="s">
        <v>1249</v>
      </c>
      <c r="B297">
        <v>5.2560807523740136E-2</v>
      </c>
    </row>
    <row r="298" spans="1:2" x14ac:dyDescent="0.35">
      <c r="A298" t="s">
        <v>1249</v>
      </c>
      <c r="B298">
        <v>5.1759722577797866E-2</v>
      </c>
    </row>
    <row r="299" spans="1:2" x14ac:dyDescent="0.35">
      <c r="A299" t="s">
        <v>1249</v>
      </c>
      <c r="B299">
        <v>4.9552424234845072E-2</v>
      </c>
    </row>
    <row r="300" spans="1:2" x14ac:dyDescent="0.35">
      <c r="A300" t="s">
        <v>1249</v>
      </c>
      <c r="B300">
        <v>4.8601911273007947E-2</v>
      </c>
    </row>
    <row r="301" spans="1:2" x14ac:dyDescent="0.35">
      <c r="A301" t="s">
        <v>1249</v>
      </c>
      <c r="B301">
        <v>4.8314695969329455E-2</v>
      </c>
    </row>
    <row r="302" spans="1:2" x14ac:dyDescent="0.35">
      <c r="A302" t="s">
        <v>1249</v>
      </c>
      <c r="B302">
        <v>4.7854959195194037E-2</v>
      </c>
    </row>
    <row r="303" spans="1:2" x14ac:dyDescent="0.35">
      <c r="A303" t="s">
        <v>1249</v>
      </c>
      <c r="B303">
        <v>4.7245714189943569E-2</v>
      </c>
    </row>
    <row r="304" spans="1:2" x14ac:dyDescent="0.35">
      <c r="A304" t="s">
        <v>1249</v>
      </c>
      <c r="B304">
        <v>4.6040018719163543E-2</v>
      </c>
    </row>
    <row r="305" spans="1:2" x14ac:dyDescent="0.35">
      <c r="A305" t="s">
        <v>1249</v>
      </c>
      <c r="B305">
        <v>4.5146921984677388E-2</v>
      </c>
    </row>
    <row r="306" spans="1:2" x14ac:dyDescent="0.35">
      <c r="A306" t="s">
        <v>1249</v>
      </c>
      <c r="B306">
        <v>4.4263384188302834E-2</v>
      </c>
    </row>
    <row r="307" spans="1:2" x14ac:dyDescent="0.35">
      <c r="A307" t="s">
        <v>1249</v>
      </c>
      <c r="B307">
        <v>4.2096243559342675E-2</v>
      </c>
    </row>
    <row r="308" spans="1:2" x14ac:dyDescent="0.35">
      <c r="A308" t="s">
        <v>1244</v>
      </c>
      <c r="B308">
        <v>7.1538743352876244</v>
      </c>
    </row>
    <row r="309" spans="1:2" x14ac:dyDescent="0.35">
      <c r="A309" t="s">
        <v>1244</v>
      </c>
      <c r="B309">
        <v>6.1354814626418213</v>
      </c>
    </row>
    <row r="310" spans="1:2" x14ac:dyDescent="0.35">
      <c r="A310" t="s">
        <v>1244</v>
      </c>
      <c r="B310">
        <v>5.6102225815397135</v>
      </c>
    </row>
    <row r="311" spans="1:2" x14ac:dyDescent="0.35">
      <c r="A311" t="s">
        <v>1244</v>
      </c>
      <c r="B311">
        <v>5.2325841928501369</v>
      </c>
    </row>
    <row r="312" spans="1:2" x14ac:dyDescent="0.35">
      <c r="A312" t="s">
        <v>1244</v>
      </c>
      <c r="B312">
        <v>4.4905741961989047</v>
      </c>
    </row>
    <row r="313" spans="1:2" x14ac:dyDescent="0.35">
      <c r="A313" t="s">
        <v>1244</v>
      </c>
      <c r="B313">
        <v>3.9034649276377307</v>
      </c>
    </row>
    <row r="314" spans="1:2" x14ac:dyDescent="0.35">
      <c r="A314" t="s">
        <v>1244</v>
      </c>
      <c r="B314">
        <v>3.5070428169400278</v>
      </c>
    </row>
    <row r="315" spans="1:2" x14ac:dyDescent="0.35">
      <c r="A315" t="s">
        <v>1244</v>
      </c>
      <c r="B315">
        <v>3.3338593521218116</v>
      </c>
    </row>
    <row r="316" spans="1:2" x14ac:dyDescent="0.35">
      <c r="A316" t="s">
        <v>1244</v>
      </c>
      <c r="B316">
        <v>3.3338593521218116</v>
      </c>
    </row>
    <row r="317" spans="1:2" x14ac:dyDescent="0.35">
      <c r="A317" t="s">
        <v>1244</v>
      </c>
      <c r="B317">
        <v>2.9936626957213655</v>
      </c>
    </row>
    <row r="318" spans="1:2" x14ac:dyDescent="0.35">
      <c r="A318" t="s">
        <v>1244</v>
      </c>
      <c r="B318">
        <v>2.8269115009611654</v>
      </c>
    </row>
    <row r="319" spans="1:2" x14ac:dyDescent="0.35">
      <c r="A319" t="s">
        <v>1244</v>
      </c>
      <c r="B319">
        <v>2.5813705350201146</v>
      </c>
    </row>
    <row r="320" spans="1:2" x14ac:dyDescent="0.35">
      <c r="A320" t="s">
        <v>1244</v>
      </c>
      <c r="B320">
        <v>2.3418043410235097</v>
      </c>
    </row>
    <row r="321" spans="1:2" x14ac:dyDescent="0.35">
      <c r="A321" t="s">
        <v>1244</v>
      </c>
      <c r="B321">
        <v>2.302497424375066</v>
      </c>
    </row>
    <row r="322" spans="1:2" x14ac:dyDescent="0.35">
      <c r="A322" t="s">
        <v>1244</v>
      </c>
      <c r="B322">
        <v>2.1321845068244381</v>
      </c>
    </row>
    <row r="323" spans="1:2" x14ac:dyDescent="0.35">
      <c r="A323" t="s">
        <v>1244</v>
      </c>
      <c r="B323">
        <v>2.0706391988264037</v>
      </c>
    </row>
    <row r="324" spans="1:2" x14ac:dyDescent="0.35">
      <c r="A324" t="s">
        <v>1244</v>
      </c>
      <c r="B324">
        <v>1.9574072536302018</v>
      </c>
    </row>
    <row r="325" spans="1:2" x14ac:dyDescent="0.35">
      <c r="A325" t="s">
        <v>1244</v>
      </c>
      <c r="B325">
        <v>1.8094232956530085</v>
      </c>
    </row>
    <row r="326" spans="1:2" x14ac:dyDescent="0.35">
      <c r="A326" t="s">
        <v>1244</v>
      </c>
      <c r="B326">
        <v>1.7367750740439887</v>
      </c>
    </row>
    <row r="327" spans="1:2" x14ac:dyDescent="0.35">
      <c r="A327" t="s">
        <v>1244</v>
      </c>
      <c r="B327">
        <v>1.7367750740439887</v>
      </c>
    </row>
    <row r="328" spans="1:2" x14ac:dyDescent="0.35">
      <c r="A328" t="s">
        <v>1244</v>
      </c>
      <c r="B328">
        <v>1.7367750740439887</v>
      </c>
    </row>
    <row r="329" spans="1:2" x14ac:dyDescent="0.35">
      <c r="A329" t="s">
        <v>1244</v>
      </c>
      <c r="B329">
        <v>1.4900590503689759</v>
      </c>
    </row>
    <row r="330" spans="1:2" x14ac:dyDescent="0.35">
      <c r="A330" t="s">
        <v>1244</v>
      </c>
      <c r="B330">
        <v>1.401487436395797</v>
      </c>
    </row>
    <row r="331" spans="1:2" x14ac:dyDescent="0.35">
      <c r="A331" t="s">
        <v>1244</v>
      </c>
      <c r="B331">
        <v>1.2871462670072948</v>
      </c>
    </row>
    <row r="332" spans="1:2" x14ac:dyDescent="0.35">
      <c r="A332" t="s">
        <v>1244</v>
      </c>
      <c r="B332">
        <v>1.2633153522510698</v>
      </c>
    </row>
    <row r="333" spans="1:2" x14ac:dyDescent="0.35">
      <c r="A333" t="s">
        <v>1244</v>
      </c>
      <c r="B333">
        <v>1.2238363126695417</v>
      </c>
    </row>
    <row r="334" spans="1:2" x14ac:dyDescent="0.35">
      <c r="A334" t="s">
        <v>1244</v>
      </c>
      <c r="B334">
        <v>1.1287576902131979</v>
      </c>
    </row>
    <row r="335" spans="1:2" x14ac:dyDescent="0.35">
      <c r="A335" t="s">
        <v>1244</v>
      </c>
      <c r="B335">
        <v>1.1123533287723812</v>
      </c>
    </row>
    <row r="336" spans="1:2" x14ac:dyDescent="0.35">
      <c r="A336" t="s">
        <v>1244</v>
      </c>
      <c r="B336">
        <v>1.0777054515528546</v>
      </c>
    </row>
    <row r="337" spans="1:2" x14ac:dyDescent="0.35">
      <c r="A337" t="s">
        <v>1244</v>
      </c>
      <c r="B337">
        <v>1.0063496692595473</v>
      </c>
    </row>
    <row r="338" spans="1:2" x14ac:dyDescent="0.35">
      <c r="A338" t="s">
        <v>1244</v>
      </c>
      <c r="B338">
        <v>0.99064420465072811</v>
      </c>
    </row>
    <row r="339" spans="1:2" x14ac:dyDescent="0.35">
      <c r="A339" t="s">
        <v>1244</v>
      </c>
      <c r="B339">
        <v>0.91799238247787507</v>
      </c>
    </row>
    <row r="340" spans="1:2" x14ac:dyDescent="0.35">
      <c r="A340" t="s">
        <v>1244</v>
      </c>
      <c r="B340">
        <v>0.91046090070693697</v>
      </c>
    </row>
    <row r="341" spans="1:2" x14ac:dyDescent="0.35">
      <c r="A341" t="s">
        <v>1244</v>
      </c>
      <c r="B341">
        <v>0.90432996738237426</v>
      </c>
    </row>
    <row r="342" spans="1:2" x14ac:dyDescent="0.35">
      <c r="A342" t="s">
        <v>1244</v>
      </c>
      <c r="B342">
        <v>0.89748202895019036</v>
      </c>
    </row>
    <row r="343" spans="1:2" x14ac:dyDescent="0.35">
      <c r="A343" t="s">
        <v>1244</v>
      </c>
      <c r="B343">
        <v>0.88922479243528774</v>
      </c>
    </row>
    <row r="344" spans="1:2" x14ac:dyDescent="0.35">
      <c r="A344" t="s">
        <v>1244</v>
      </c>
      <c r="B344">
        <v>0.84166949047504303</v>
      </c>
    </row>
    <row r="345" spans="1:2" x14ac:dyDescent="0.35">
      <c r="A345" t="s">
        <v>1244</v>
      </c>
      <c r="B345">
        <v>0.80505276119920577</v>
      </c>
    </row>
    <row r="346" spans="1:2" x14ac:dyDescent="0.35">
      <c r="A346" t="s">
        <v>1244</v>
      </c>
      <c r="B346">
        <v>0.80192276304364585</v>
      </c>
    </row>
    <row r="347" spans="1:2" x14ac:dyDescent="0.35">
      <c r="A347" t="s">
        <v>1244</v>
      </c>
      <c r="B347">
        <v>0.79281632365233368</v>
      </c>
    </row>
    <row r="348" spans="1:2" x14ac:dyDescent="0.35">
      <c r="A348" t="s">
        <v>1244</v>
      </c>
      <c r="B348">
        <v>0.78555645151857734</v>
      </c>
    </row>
    <row r="349" spans="1:2" x14ac:dyDescent="0.35">
      <c r="A349" t="s">
        <v>1244</v>
      </c>
      <c r="B349">
        <v>0.78316820169137547</v>
      </c>
    </row>
    <row r="350" spans="1:2" x14ac:dyDescent="0.35">
      <c r="A350" t="s">
        <v>1244</v>
      </c>
      <c r="B350">
        <v>0.69800591132128098</v>
      </c>
    </row>
    <row r="351" spans="1:2" x14ac:dyDescent="0.35">
      <c r="A351" t="s">
        <v>1244</v>
      </c>
      <c r="B351">
        <v>0.67220835803765633</v>
      </c>
    </row>
    <row r="352" spans="1:2" x14ac:dyDescent="0.35">
      <c r="A352" t="s">
        <v>1244</v>
      </c>
      <c r="B352">
        <v>0.65303887399623672</v>
      </c>
    </row>
    <row r="353" spans="1:2" x14ac:dyDescent="0.35">
      <c r="A353" t="s">
        <v>1244</v>
      </c>
      <c r="B353">
        <v>0.64680838640271765</v>
      </c>
    </row>
    <row r="354" spans="1:2" x14ac:dyDescent="0.35">
      <c r="A354" t="s">
        <v>1244</v>
      </c>
      <c r="B354">
        <v>0.64244658821123701</v>
      </c>
    </row>
    <row r="355" spans="1:2" x14ac:dyDescent="0.35">
      <c r="A355" t="s">
        <v>1244</v>
      </c>
      <c r="B355">
        <v>0.62181206676199907</v>
      </c>
    </row>
    <row r="356" spans="1:2" x14ac:dyDescent="0.35">
      <c r="A356" t="s">
        <v>1244</v>
      </c>
      <c r="B356">
        <v>0.6036412678681754</v>
      </c>
    </row>
    <row r="357" spans="1:2" x14ac:dyDescent="0.35">
      <c r="A357" t="s">
        <v>1244</v>
      </c>
      <c r="B357">
        <v>0.56946402829581089</v>
      </c>
    </row>
    <row r="358" spans="1:2" x14ac:dyDescent="0.35">
      <c r="A358" t="s">
        <v>1244</v>
      </c>
      <c r="B358">
        <v>0.54765891614667461</v>
      </c>
    </row>
    <row r="359" spans="1:2" x14ac:dyDescent="0.35">
      <c r="A359" t="s">
        <v>1244</v>
      </c>
      <c r="B359">
        <v>0.54765891614667461</v>
      </c>
    </row>
    <row r="360" spans="1:2" x14ac:dyDescent="0.35">
      <c r="A360" t="s">
        <v>1244</v>
      </c>
      <c r="B360">
        <v>0.53640317332526832</v>
      </c>
    </row>
    <row r="361" spans="1:2" x14ac:dyDescent="0.35">
      <c r="A361" t="s">
        <v>1244</v>
      </c>
      <c r="B361">
        <v>0.52598671030165756</v>
      </c>
    </row>
    <row r="362" spans="1:2" x14ac:dyDescent="0.35">
      <c r="A362" t="s">
        <v>1244</v>
      </c>
      <c r="B362">
        <v>0.50310164582573424</v>
      </c>
    </row>
    <row r="363" spans="1:2" x14ac:dyDescent="0.35">
      <c r="A363" t="s">
        <v>1244</v>
      </c>
      <c r="B363">
        <v>0.49715635569596406</v>
      </c>
    </row>
    <row r="364" spans="1:2" x14ac:dyDescent="0.35">
      <c r="A364" t="s">
        <v>1244</v>
      </c>
      <c r="B364">
        <v>0.48065775949281486</v>
      </c>
    </row>
    <row r="365" spans="1:2" x14ac:dyDescent="0.35">
      <c r="A365" t="s">
        <v>1244</v>
      </c>
      <c r="B365">
        <v>0.48065775949281486</v>
      </c>
    </row>
    <row r="366" spans="1:2" x14ac:dyDescent="0.35">
      <c r="A366" t="s">
        <v>1244</v>
      </c>
      <c r="B366">
        <v>0.47571457216781837</v>
      </c>
    </row>
    <row r="367" spans="1:2" x14ac:dyDescent="0.35">
      <c r="A367" t="s">
        <v>1244</v>
      </c>
      <c r="B367">
        <v>0.44640033210138447</v>
      </c>
    </row>
    <row r="368" spans="1:2" x14ac:dyDescent="0.35">
      <c r="A368" t="s">
        <v>1244</v>
      </c>
      <c r="B368">
        <v>0.44068773818341361</v>
      </c>
    </row>
    <row r="369" spans="1:2" x14ac:dyDescent="0.35">
      <c r="A369" t="s">
        <v>1244</v>
      </c>
      <c r="B369">
        <v>0.43711911763893313</v>
      </c>
    </row>
    <row r="370" spans="1:2" x14ac:dyDescent="0.35">
      <c r="A370" t="s">
        <v>1244</v>
      </c>
      <c r="B370">
        <v>0.41603720939648459</v>
      </c>
    </row>
    <row r="371" spans="1:2" x14ac:dyDescent="0.35">
      <c r="A371" t="s">
        <v>1244</v>
      </c>
      <c r="B371">
        <v>0.41603720939648459</v>
      </c>
    </row>
    <row r="372" spans="1:2" x14ac:dyDescent="0.35">
      <c r="A372" t="s">
        <v>1244</v>
      </c>
      <c r="B372">
        <v>0.41540629169344195</v>
      </c>
    </row>
    <row r="373" spans="1:2" x14ac:dyDescent="0.35">
      <c r="A373" t="s">
        <v>1244</v>
      </c>
      <c r="B373">
        <v>0.41230242489874014</v>
      </c>
    </row>
    <row r="374" spans="1:2" x14ac:dyDescent="0.35">
      <c r="A374" t="s">
        <v>1244</v>
      </c>
      <c r="B374">
        <v>0.38659471152816938</v>
      </c>
    </row>
    <row r="375" spans="1:2" x14ac:dyDescent="0.35">
      <c r="A375" t="s">
        <v>1244</v>
      </c>
      <c r="B375">
        <v>0.37528039157533871</v>
      </c>
    </row>
    <row r="376" spans="1:2" x14ac:dyDescent="0.35">
      <c r="A376" t="s">
        <v>1244</v>
      </c>
      <c r="B376">
        <v>0.36756483325128331</v>
      </c>
    </row>
    <row r="377" spans="1:2" x14ac:dyDescent="0.35">
      <c r="A377" t="s">
        <v>1244</v>
      </c>
      <c r="B377">
        <v>0.36573448076639725</v>
      </c>
    </row>
    <row r="378" spans="1:2" x14ac:dyDescent="0.35">
      <c r="A378" t="s">
        <v>1244</v>
      </c>
      <c r="B378">
        <v>0.34496235260916708</v>
      </c>
    </row>
    <row r="379" spans="1:2" x14ac:dyDescent="0.35">
      <c r="A379" t="s">
        <v>1244</v>
      </c>
      <c r="B379">
        <v>0.34154548639795718</v>
      </c>
    </row>
    <row r="380" spans="1:2" x14ac:dyDescent="0.35">
      <c r="A380" t="s">
        <v>1244</v>
      </c>
      <c r="B380">
        <v>0.33644236150811579</v>
      </c>
    </row>
    <row r="381" spans="1:2" x14ac:dyDescent="0.35">
      <c r="A381" t="s">
        <v>1244</v>
      </c>
      <c r="B381">
        <v>0.33471251060992463</v>
      </c>
    </row>
    <row r="382" spans="1:2" x14ac:dyDescent="0.35">
      <c r="A382" t="s">
        <v>1244</v>
      </c>
      <c r="B382">
        <v>0.32481082514250198</v>
      </c>
    </row>
    <row r="383" spans="1:2" x14ac:dyDescent="0.35">
      <c r="A383" t="s">
        <v>1244</v>
      </c>
      <c r="B383">
        <v>0.31775882974124348</v>
      </c>
    </row>
    <row r="384" spans="1:2" x14ac:dyDescent="0.35">
      <c r="A384" t="s">
        <v>1244</v>
      </c>
      <c r="B384">
        <v>0.31775882974124348</v>
      </c>
    </row>
    <row r="385" spans="1:2" x14ac:dyDescent="0.35">
      <c r="A385" t="s">
        <v>1244</v>
      </c>
      <c r="B385">
        <v>0.31522432920825522</v>
      </c>
    </row>
    <row r="386" spans="1:2" x14ac:dyDescent="0.35">
      <c r="A386" t="s">
        <v>1244</v>
      </c>
      <c r="B386">
        <v>0.30234525253571376</v>
      </c>
    </row>
    <row r="387" spans="1:2" x14ac:dyDescent="0.35">
      <c r="A387" t="s">
        <v>1244</v>
      </c>
      <c r="B387">
        <v>0.29957402238801695</v>
      </c>
    </row>
    <row r="388" spans="1:2" x14ac:dyDescent="0.35">
      <c r="A388" t="s">
        <v>1244</v>
      </c>
      <c r="B388">
        <v>0.29957402238801695</v>
      </c>
    </row>
    <row r="389" spans="1:2" x14ac:dyDescent="0.35">
      <c r="A389" t="s">
        <v>1244</v>
      </c>
      <c r="B389">
        <v>0.2936157267299585</v>
      </c>
    </row>
    <row r="390" spans="1:2" x14ac:dyDescent="0.35">
      <c r="A390" t="s">
        <v>1244</v>
      </c>
      <c r="B390">
        <v>0.2920484229177277</v>
      </c>
    </row>
    <row r="391" spans="1:2" x14ac:dyDescent="0.35">
      <c r="A391" t="s">
        <v>1244</v>
      </c>
      <c r="B391">
        <v>0.28429842103879682</v>
      </c>
    </row>
    <row r="392" spans="1:2" x14ac:dyDescent="0.35">
      <c r="A392" t="s">
        <v>1244</v>
      </c>
      <c r="B392">
        <v>0.27219548975661767</v>
      </c>
    </row>
    <row r="393" spans="1:2" x14ac:dyDescent="0.35">
      <c r="A393" t="s">
        <v>1244</v>
      </c>
      <c r="B393">
        <v>0.26636614639061945</v>
      </c>
    </row>
    <row r="394" spans="1:2" x14ac:dyDescent="0.35">
      <c r="A394" t="s">
        <v>1244</v>
      </c>
      <c r="B394">
        <v>0.2647253319156182</v>
      </c>
    </row>
    <row r="395" spans="1:2" x14ac:dyDescent="0.35">
      <c r="A395" t="s">
        <v>1244</v>
      </c>
      <c r="B395">
        <v>0.26067213502769443</v>
      </c>
    </row>
    <row r="396" spans="1:2" x14ac:dyDescent="0.35">
      <c r="A396" t="s">
        <v>1244</v>
      </c>
      <c r="B396">
        <v>0.25966906688068297</v>
      </c>
    </row>
    <row r="397" spans="1:2" x14ac:dyDescent="0.35">
      <c r="A397" t="s">
        <v>1244</v>
      </c>
      <c r="B397">
        <v>0.24766583339438039</v>
      </c>
    </row>
    <row r="398" spans="1:2" x14ac:dyDescent="0.35">
      <c r="A398" t="s">
        <v>1244</v>
      </c>
      <c r="B398">
        <v>0.24680555918346186</v>
      </c>
    </row>
    <row r="399" spans="1:2" x14ac:dyDescent="0.35">
      <c r="A399" t="s">
        <v>1244</v>
      </c>
      <c r="B399">
        <v>0.24419231233698496</v>
      </c>
    </row>
    <row r="400" spans="1:2" x14ac:dyDescent="0.35">
      <c r="A400" t="s">
        <v>1244</v>
      </c>
      <c r="B400">
        <v>0.23194471110871523</v>
      </c>
    </row>
    <row r="401" spans="1:2" x14ac:dyDescent="0.35">
      <c r="A401" t="s">
        <v>1244</v>
      </c>
      <c r="B401">
        <v>0.22732760535956376</v>
      </c>
    </row>
    <row r="402" spans="1:2" x14ac:dyDescent="0.35">
      <c r="A402" t="s">
        <v>1244</v>
      </c>
      <c r="B402">
        <v>0.22152172017247199</v>
      </c>
    </row>
    <row r="403" spans="1:2" x14ac:dyDescent="0.35">
      <c r="A403" t="s">
        <v>1244</v>
      </c>
      <c r="B403">
        <v>0.22145860858770106</v>
      </c>
    </row>
    <row r="404" spans="1:2" x14ac:dyDescent="0.35">
      <c r="A404" t="s">
        <v>1244</v>
      </c>
      <c r="B404">
        <v>0.21191069225544007</v>
      </c>
    </row>
    <row r="405" spans="1:2" x14ac:dyDescent="0.35">
      <c r="A405" t="s">
        <v>1244</v>
      </c>
      <c r="B405">
        <v>0.20693652461391726</v>
      </c>
    </row>
    <row r="406" spans="1:2" x14ac:dyDescent="0.35">
      <c r="A406" t="s">
        <v>1244</v>
      </c>
      <c r="B406">
        <v>0.18059773137488319</v>
      </c>
    </row>
    <row r="407" spans="1:2" x14ac:dyDescent="0.35">
      <c r="A407" t="s">
        <v>1244</v>
      </c>
      <c r="B407">
        <v>0.18059773137488319</v>
      </c>
    </row>
    <row r="408" spans="1:2" x14ac:dyDescent="0.35">
      <c r="A408" t="s">
        <v>1244</v>
      </c>
      <c r="B408">
        <v>0.17775682413856392</v>
      </c>
    </row>
    <row r="409" spans="1:2" x14ac:dyDescent="0.35">
      <c r="A409" t="s">
        <v>1244</v>
      </c>
      <c r="B409">
        <v>0.17325567678227721</v>
      </c>
    </row>
    <row r="410" spans="1:2" x14ac:dyDescent="0.35">
      <c r="A410" t="s">
        <v>1244</v>
      </c>
      <c r="B410">
        <v>0.17276913866445542</v>
      </c>
    </row>
    <row r="411" spans="1:2" x14ac:dyDescent="0.35">
      <c r="A411" t="s">
        <v>1244</v>
      </c>
      <c r="B411">
        <v>0.15956764913090582</v>
      </c>
    </row>
    <row r="412" spans="1:2" x14ac:dyDescent="0.35">
      <c r="A412" t="s">
        <v>1244</v>
      </c>
      <c r="B412">
        <v>0.15690691625996689</v>
      </c>
    </row>
    <row r="413" spans="1:2" x14ac:dyDescent="0.35">
      <c r="A413" t="s">
        <v>1244</v>
      </c>
      <c r="B413">
        <v>0.15639802870308459</v>
      </c>
    </row>
    <row r="414" spans="1:2" x14ac:dyDescent="0.35">
      <c r="A414" t="s">
        <v>1244</v>
      </c>
      <c r="B414">
        <v>0.14597261009324239</v>
      </c>
    </row>
    <row r="415" spans="1:2" x14ac:dyDescent="0.35">
      <c r="A415" t="s">
        <v>1244</v>
      </c>
      <c r="B415">
        <v>0.14548848207121687</v>
      </c>
    </row>
    <row r="416" spans="1:2" x14ac:dyDescent="0.35">
      <c r="A416" t="s">
        <v>1244</v>
      </c>
      <c r="B416">
        <v>0.14118107929746043</v>
      </c>
    </row>
    <row r="417" spans="1:2" x14ac:dyDescent="0.35">
      <c r="A417" t="s">
        <v>1244</v>
      </c>
      <c r="B417">
        <v>0.13742688248495488</v>
      </c>
    </row>
    <row r="418" spans="1:2" x14ac:dyDescent="0.35">
      <c r="A418" t="s">
        <v>1244</v>
      </c>
      <c r="B418">
        <v>0.13483857912263572</v>
      </c>
    </row>
    <row r="419" spans="1:2" x14ac:dyDescent="0.35">
      <c r="A419" t="s">
        <v>1244</v>
      </c>
      <c r="B419">
        <v>0.12237174047542598</v>
      </c>
    </row>
    <row r="420" spans="1:2" x14ac:dyDescent="0.35">
      <c r="A420" t="s">
        <v>1244</v>
      </c>
      <c r="B420">
        <v>0.11800148146247888</v>
      </c>
    </row>
    <row r="421" spans="1:2" x14ac:dyDescent="0.35">
      <c r="A421" t="s">
        <v>1244</v>
      </c>
      <c r="B421">
        <v>0.10974891940432377</v>
      </c>
    </row>
    <row r="422" spans="1:2" x14ac:dyDescent="0.35">
      <c r="A422" t="s">
        <v>1244</v>
      </c>
      <c r="B422">
        <v>0.10824924205698076</v>
      </c>
    </row>
    <row r="423" spans="1:2" x14ac:dyDescent="0.35">
      <c r="A423" t="s">
        <v>1244</v>
      </c>
      <c r="B423">
        <v>0.10587954236642461</v>
      </c>
    </row>
    <row r="424" spans="1:2" x14ac:dyDescent="0.35">
      <c r="A424" t="s">
        <v>1244</v>
      </c>
      <c r="B424">
        <v>0.10512632213358863</v>
      </c>
    </row>
    <row r="425" spans="1:2" x14ac:dyDescent="0.35">
      <c r="A425" t="s">
        <v>1244</v>
      </c>
      <c r="B425">
        <v>0.10397144036178715</v>
      </c>
    </row>
    <row r="426" spans="1:2" x14ac:dyDescent="0.35">
      <c r="A426" t="s">
        <v>1244</v>
      </c>
      <c r="B426">
        <v>9.9228851847346727E-2</v>
      </c>
    </row>
    <row r="427" spans="1:2" x14ac:dyDescent="0.35">
      <c r="A427" t="s">
        <v>1244</v>
      </c>
      <c r="B427">
        <v>9.1137316747780681E-2</v>
      </c>
    </row>
    <row r="428" spans="1:2" x14ac:dyDescent="0.35">
      <c r="A428" t="s">
        <v>1244</v>
      </c>
      <c r="B428">
        <v>8.8387395278476347E-2</v>
      </c>
    </row>
    <row r="429" spans="1:2" x14ac:dyDescent="0.35">
      <c r="A429" t="s">
        <v>1244</v>
      </c>
      <c r="B429">
        <v>8.3177948528744397E-2</v>
      </c>
    </row>
    <row r="430" spans="1:2" x14ac:dyDescent="0.35">
      <c r="A430" t="s">
        <v>1244</v>
      </c>
      <c r="B430">
        <v>8.2669885593160117E-2</v>
      </c>
    </row>
    <row r="431" spans="1:2" x14ac:dyDescent="0.35">
      <c r="A431" t="s">
        <v>1244</v>
      </c>
      <c r="B431">
        <v>8.0313379349984407E-2</v>
      </c>
    </row>
    <row r="432" spans="1:2" x14ac:dyDescent="0.35">
      <c r="A432" t="s">
        <v>1244</v>
      </c>
      <c r="B432">
        <v>7.9066222678860557E-2</v>
      </c>
    </row>
    <row r="433" spans="1:2" x14ac:dyDescent="0.35">
      <c r="A433" t="s">
        <v>1244</v>
      </c>
      <c r="B433">
        <v>7.0707706104556053E-2</v>
      </c>
    </row>
    <row r="434" spans="1:2" x14ac:dyDescent="0.35">
      <c r="A434" t="s">
        <v>1244</v>
      </c>
      <c r="B434">
        <v>6.9223239508322779E-2</v>
      </c>
    </row>
    <row r="435" spans="1:2" x14ac:dyDescent="0.35">
      <c r="A435" t="s">
        <v>1244</v>
      </c>
      <c r="B435">
        <v>6.8080402646714874E-2</v>
      </c>
    </row>
    <row r="436" spans="1:2" x14ac:dyDescent="0.35">
      <c r="A436" t="s">
        <v>1244</v>
      </c>
      <c r="B436">
        <v>6.3702844131119707E-2</v>
      </c>
    </row>
    <row r="437" spans="1:2" x14ac:dyDescent="0.35">
      <c r="A437" t="s">
        <v>1244</v>
      </c>
      <c r="B437">
        <v>5.7682502697217773E-2</v>
      </c>
    </row>
    <row r="438" spans="1:2" x14ac:dyDescent="0.35">
      <c r="A438" t="s">
        <v>1244</v>
      </c>
      <c r="B438">
        <v>5.6238150154114881E-2</v>
      </c>
    </row>
    <row r="439" spans="1:2" x14ac:dyDescent="0.35">
      <c r="A439" t="s">
        <v>1244</v>
      </c>
      <c r="B439">
        <v>5.3927345130897239E-2</v>
      </c>
    </row>
    <row r="440" spans="1:2" x14ac:dyDescent="0.35">
      <c r="A440" t="s">
        <v>1244</v>
      </c>
      <c r="B440">
        <v>5.3236889606506195E-2</v>
      </c>
    </row>
    <row r="441" spans="1:2" x14ac:dyDescent="0.35">
      <c r="A441" t="s">
        <v>1244</v>
      </c>
      <c r="B441">
        <v>4.5815362744078256E-2</v>
      </c>
    </row>
    <row r="442" spans="1:2" x14ac:dyDescent="0.35">
      <c r="A442" t="s">
        <v>1244</v>
      </c>
      <c r="B442">
        <v>4.5815362744078256E-2</v>
      </c>
    </row>
    <row r="443" spans="1:2" x14ac:dyDescent="0.35">
      <c r="A443" t="s">
        <v>1244</v>
      </c>
      <c r="B443">
        <v>4.1034837823789354E-2</v>
      </c>
    </row>
    <row r="444" spans="1:2" x14ac:dyDescent="0.35">
      <c r="A444" t="s">
        <v>1244</v>
      </c>
      <c r="B444">
        <v>3.0342689895171773E-2</v>
      </c>
    </row>
    <row r="445" spans="1:2" x14ac:dyDescent="0.35">
      <c r="A445" t="s">
        <v>1244</v>
      </c>
      <c r="B445">
        <v>2.3097929669633383E-2</v>
      </c>
    </row>
    <row r="446" spans="1:2" x14ac:dyDescent="0.35">
      <c r="A446" t="s">
        <v>1244</v>
      </c>
      <c r="B446">
        <v>2.0366011832166263E-2</v>
      </c>
    </row>
    <row r="447" spans="1:2" x14ac:dyDescent="0.35">
      <c r="A447" t="s">
        <v>1244</v>
      </c>
      <c r="B447">
        <v>1.9386814793263249E-2</v>
      </c>
    </row>
    <row r="448" spans="1:2" x14ac:dyDescent="0.35">
      <c r="A448" t="s">
        <v>1244</v>
      </c>
      <c r="B448">
        <v>1.356762910424554E-2</v>
      </c>
    </row>
    <row r="449" spans="1:2" x14ac:dyDescent="0.35">
      <c r="A449" t="s">
        <v>1244</v>
      </c>
      <c r="B449">
        <v>1.3335101476551729E-2</v>
      </c>
    </row>
    <row r="450" spans="1:2" x14ac:dyDescent="0.35">
      <c r="A450" t="s">
        <v>1244</v>
      </c>
      <c r="B450">
        <v>1.1812466589830399E-2</v>
      </c>
    </row>
    <row r="451" spans="1:2" x14ac:dyDescent="0.35">
      <c r="A451" t="s">
        <v>1244</v>
      </c>
      <c r="B451">
        <v>1.0420053168344256E-2</v>
      </c>
    </row>
    <row r="452" spans="1:2" x14ac:dyDescent="0.35">
      <c r="A452" t="s">
        <v>1244</v>
      </c>
      <c r="B452">
        <v>8.4480491889381715E-3</v>
      </c>
    </row>
    <row r="453" spans="1:2" x14ac:dyDescent="0.35">
      <c r="A453" t="s">
        <v>1244</v>
      </c>
      <c r="B453">
        <v>6.4076408923018869E-3</v>
      </c>
    </row>
    <row r="454" spans="1:2" x14ac:dyDescent="0.35">
      <c r="A454" t="s">
        <v>1244</v>
      </c>
      <c r="B454">
        <v>5.4525726125832855E-3</v>
      </c>
    </row>
    <row r="455" spans="1:2" x14ac:dyDescent="0.35">
      <c r="A455" t="s">
        <v>1244</v>
      </c>
      <c r="B455">
        <v>5.1643833247117261E-3</v>
      </c>
    </row>
    <row r="456" spans="1:2" x14ac:dyDescent="0.35">
      <c r="A456" t="s">
        <v>1244</v>
      </c>
      <c r="B456">
        <v>3.0776656992904492E-3</v>
      </c>
    </row>
    <row r="457" spans="1:2" x14ac:dyDescent="0.35">
      <c r="A457" t="s">
        <v>1249</v>
      </c>
      <c r="B457">
        <v>4.0684474109555335E-2</v>
      </c>
    </row>
    <row r="458" spans="1:2" x14ac:dyDescent="0.35">
      <c r="A458" t="s">
        <v>1249</v>
      </c>
      <c r="B458">
        <v>4.0127133575523118E-2</v>
      </c>
    </row>
    <row r="459" spans="1:2" x14ac:dyDescent="0.35">
      <c r="A459" t="s">
        <v>1249</v>
      </c>
      <c r="B459">
        <v>3.807448332952601E-2</v>
      </c>
    </row>
    <row r="460" spans="1:2" x14ac:dyDescent="0.35">
      <c r="A460" t="s">
        <v>1249</v>
      </c>
      <c r="B460">
        <v>3.7805245382968644E-2</v>
      </c>
    </row>
    <row r="461" spans="1:2" x14ac:dyDescent="0.35">
      <c r="A461" t="s">
        <v>1249</v>
      </c>
      <c r="B461">
        <v>3.6442841275584392E-2</v>
      </c>
    </row>
    <row r="462" spans="1:2" x14ac:dyDescent="0.35">
      <c r="A462" t="s">
        <v>1249</v>
      </c>
      <c r="B462">
        <v>3.4018323472353625E-2</v>
      </c>
    </row>
    <row r="463" spans="1:2" x14ac:dyDescent="0.35">
      <c r="A463" t="s">
        <v>1249</v>
      </c>
      <c r="B463">
        <v>2.6316911952658999E-2</v>
      </c>
    </row>
    <row r="464" spans="1:2" x14ac:dyDescent="0.35">
      <c r="A464" t="s">
        <v>1249</v>
      </c>
      <c r="B464">
        <v>2.2714963879026252E-2</v>
      </c>
    </row>
    <row r="465" spans="1:2" x14ac:dyDescent="0.35">
      <c r="A465" t="s">
        <v>1243</v>
      </c>
      <c r="B465">
        <v>0.20402755047005544</v>
      </c>
    </row>
    <row r="466" spans="1:2" x14ac:dyDescent="0.35">
      <c r="A466" t="s">
        <v>1243</v>
      </c>
      <c r="B466">
        <v>0.21403600171766957</v>
      </c>
    </row>
    <row r="467" spans="1:2" x14ac:dyDescent="0.35">
      <c r="A467" t="s">
        <v>1243</v>
      </c>
      <c r="B467">
        <v>0.26759805781175511</v>
      </c>
    </row>
    <row r="468" spans="1:2" x14ac:dyDescent="0.35">
      <c r="A468" t="s">
        <v>1243</v>
      </c>
      <c r="B468">
        <v>0.27003333665680268</v>
      </c>
    </row>
    <row r="469" spans="1:2" x14ac:dyDescent="0.35">
      <c r="A469" t="s">
        <v>1243</v>
      </c>
      <c r="B469">
        <v>0.27459494329126022</v>
      </c>
    </row>
    <row r="470" spans="1:2" x14ac:dyDescent="0.35">
      <c r="A470" t="s">
        <v>1243</v>
      </c>
      <c r="B470">
        <v>0.31990393803620448</v>
      </c>
    </row>
    <row r="471" spans="1:2" x14ac:dyDescent="0.35">
      <c r="A471" t="s">
        <v>1243</v>
      </c>
      <c r="B471">
        <v>0.42171081919058051</v>
      </c>
    </row>
    <row r="472" spans="1:2" x14ac:dyDescent="0.35">
      <c r="A472" t="s">
        <v>1243</v>
      </c>
      <c r="B472">
        <v>0.73049923167627584</v>
      </c>
    </row>
    <row r="473" spans="1:2" x14ac:dyDescent="0.35">
      <c r="A473" t="s">
        <v>1243</v>
      </c>
      <c r="B473">
        <v>1.7982505560096524</v>
      </c>
    </row>
  </sheetData>
  <autoFilter ref="A1:B473" xr:uid="{5D8800AC-DD9C-4A12-B618-969A7FD3E0D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7E5E-1918-490E-B452-172AE4276597}">
  <dimension ref="A1:B457"/>
  <sheetViews>
    <sheetView topLeftCell="A437" workbookViewId="0">
      <selection sqref="A1:B457"/>
    </sheetView>
  </sheetViews>
  <sheetFormatPr defaultRowHeight="15.5" x14ac:dyDescent="0.35"/>
  <sheetData>
    <row r="1" spans="1:2" x14ac:dyDescent="0.35">
      <c r="A1" t="s">
        <v>1248</v>
      </c>
      <c r="B1" t="s">
        <v>1246</v>
      </c>
    </row>
    <row r="2" spans="1:2" x14ac:dyDescent="0.35">
      <c r="A2" t="s">
        <v>1244</v>
      </c>
      <c r="B2">
        <v>3.0776656992904492E-3</v>
      </c>
    </row>
    <row r="3" spans="1:2" x14ac:dyDescent="0.35">
      <c r="A3" t="s">
        <v>1244</v>
      </c>
      <c r="B3">
        <v>5.1643833247117261E-3</v>
      </c>
    </row>
    <row r="4" spans="1:2" x14ac:dyDescent="0.35">
      <c r="A4" t="s">
        <v>1244</v>
      </c>
      <c r="B4">
        <v>5.4525726125832855E-3</v>
      </c>
    </row>
    <row r="5" spans="1:2" x14ac:dyDescent="0.35">
      <c r="A5" t="s">
        <v>1244</v>
      </c>
      <c r="B5">
        <v>6.4076408923018869E-3</v>
      </c>
    </row>
    <row r="6" spans="1:2" x14ac:dyDescent="0.35">
      <c r="A6" t="s">
        <v>1244</v>
      </c>
      <c r="B6">
        <v>8.4480491889381715E-3</v>
      </c>
    </row>
    <row r="7" spans="1:2" x14ac:dyDescent="0.35">
      <c r="A7" t="s">
        <v>1244</v>
      </c>
      <c r="B7">
        <v>1.0420053168344256E-2</v>
      </c>
    </row>
    <row r="8" spans="1:2" x14ac:dyDescent="0.35">
      <c r="A8" t="s">
        <v>1244</v>
      </c>
      <c r="B8">
        <v>1.1812466589830399E-2</v>
      </c>
    </row>
    <row r="9" spans="1:2" x14ac:dyDescent="0.35">
      <c r="A9" t="s">
        <v>1244</v>
      </c>
      <c r="B9">
        <v>1.3335101476551729E-2</v>
      </c>
    </row>
    <row r="10" spans="1:2" x14ac:dyDescent="0.35">
      <c r="A10" t="s">
        <v>1244</v>
      </c>
      <c r="B10">
        <v>1.356762910424554E-2</v>
      </c>
    </row>
    <row r="11" spans="1:2" x14ac:dyDescent="0.35">
      <c r="A11" t="s">
        <v>1244</v>
      </c>
      <c r="B11">
        <v>1.9386814793263249E-2</v>
      </c>
    </row>
    <row r="12" spans="1:2" x14ac:dyDescent="0.35">
      <c r="A12" t="s">
        <v>1244</v>
      </c>
      <c r="B12">
        <v>2.0366011832166263E-2</v>
      </c>
    </row>
    <row r="13" spans="1:2" x14ac:dyDescent="0.35">
      <c r="A13" t="s">
        <v>1244</v>
      </c>
      <c r="B13">
        <v>2.3097929669633383E-2</v>
      </c>
    </row>
    <row r="14" spans="1:2" x14ac:dyDescent="0.35">
      <c r="A14" t="s">
        <v>1244</v>
      </c>
      <c r="B14">
        <v>4.1034837823789354E-2</v>
      </c>
    </row>
    <row r="15" spans="1:2" x14ac:dyDescent="0.35">
      <c r="A15" t="s">
        <v>1244</v>
      </c>
      <c r="B15">
        <v>4.5815362744078256E-2</v>
      </c>
    </row>
    <row r="16" spans="1:2" x14ac:dyDescent="0.35">
      <c r="A16" t="s">
        <v>1244</v>
      </c>
      <c r="B16">
        <v>5.3236889606506195E-2</v>
      </c>
    </row>
    <row r="17" spans="1:2" x14ac:dyDescent="0.35">
      <c r="A17" t="s">
        <v>1244</v>
      </c>
      <c r="B17">
        <v>5.3927345130897239E-2</v>
      </c>
    </row>
    <row r="18" spans="1:2" x14ac:dyDescent="0.35">
      <c r="A18" t="s">
        <v>1244</v>
      </c>
      <c r="B18">
        <v>5.6238150154114881E-2</v>
      </c>
    </row>
    <row r="19" spans="1:2" x14ac:dyDescent="0.35">
      <c r="A19" t="s">
        <v>1244</v>
      </c>
      <c r="B19">
        <v>5.7682502697217773E-2</v>
      </c>
    </row>
    <row r="20" spans="1:2" x14ac:dyDescent="0.35">
      <c r="A20" t="s">
        <v>1244</v>
      </c>
      <c r="B20">
        <v>6.3702844131119707E-2</v>
      </c>
    </row>
    <row r="21" spans="1:2" x14ac:dyDescent="0.35">
      <c r="A21" t="s">
        <v>1244</v>
      </c>
      <c r="B21">
        <v>6.8080402646714874E-2</v>
      </c>
    </row>
    <row r="22" spans="1:2" x14ac:dyDescent="0.35">
      <c r="A22" t="s">
        <v>1244</v>
      </c>
      <c r="B22">
        <v>6.9223239508322779E-2</v>
      </c>
    </row>
    <row r="23" spans="1:2" x14ac:dyDescent="0.35">
      <c r="A23" t="s">
        <v>1244</v>
      </c>
      <c r="B23">
        <v>7.0707706104556053E-2</v>
      </c>
    </row>
    <row r="24" spans="1:2" x14ac:dyDescent="0.35">
      <c r="A24" t="s">
        <v>1244</v>
      </c>
      <c r="B24">
        <v>7.9066222678860557E-2</v>
      </c>
    </row>
    <row r="25" spans="1:2" x14ac:dyDescent="0.35">
      <c r="A25" t="s">
        <v>1244</v>
      </c>
      <c r="B25">
        <v>8.0313379349984407E-2</v>
      </c>
    </row>
    <row r="26" spans="1:2" x14ac:dyDescent="0.35">
      <c r="A26" t="s">
        <v>1244</v>
      </c>
      <c r="B26">
        <v>8.2669885593160117E-2</v>
      </c>
    </row>
    <row r="27" spans="1:2" x14ac:dyDescent="0.35">
      <c r="A27" t="s">
        <v>1244</v>
      </c>
      <c r="B27">
        <v>8.3177948528744397E-2</v>
      </c>
    </row>
    <row r="28" spans="1:2" x14ac:dyDescent="0.35">
      <c r="A28" t="s">
        <v>1244</v>
      </c>
      <c r="B28">
        <v>8.8387395278476347E-2</v>
      </c>
    </row>
    <row r="29" spans="1:2" x14ac:dyDescent="0.35">
      <c r="A29" t="s">
        <v>1244</v>
      </c>
      <c r="B29">
        <v>9.1137316747780681E-2</v>
      </c>
    </row>
    <row r="30" spans="1:2" x14ac:dyDescent="0.35">
      <c r="A30" t="s">
        <v>1244</v>
      </c>
      <c r="B30">
        <v>9.9228851847346727E-2</v>
      </c>
    </row>
    <row r="31" spans="1:2" x14ac:dyDescent="0.35">
      <c r="A31" t="s">
        <v>1244</v>
      </c>
      <c r="B31">
        <v>0.10397144036178715</v>
      </c>
    </row>
    <row r="32" spans="1:2" x14ac:dyDescent="0.35">
      <c r="A32" t="s">
        <v>1244</v>
      </c>
      <c r="B32">
        <v>0.10512632213358863</v>
      </c>
    </row>
    <row r="33" spans="1:2" x14ac:dyDescent="0.35">
      <c r="A33" t="s">
        <v>1244</v>
      </c>
      <c r="B33">
        <v>0.10587954236642461</v>
      </c>
    </row>
    <row r="34" spans="1:2" x14ac:dyDescent="0.35">
      <c r="A34" t="s">
        <v>1244</v>
      </c>
      <c r="B34">
        <v>0.10824924205698076</v>
      </c>
    </row>
    <row r="35" spans="1:2" x14ac:dyDescent="0.35">
      <c r="A35" t="s">
        <v>1244</v>
      </c>
      <c r="B35">
        <v>0.10974891940432377</v>
      </c>
    </row>
    <row r="36" spans="1:2" x14ac:dyDescent="0.35">
      <c r="A36" t="s">
        <v>1244</v>
      </c>
      <c r="B36">
        <v>0.11800148146247888</v>
      </c>
    </row>
    <row r="37" spans="1:2" x14ac:dyDescent="0.35">
      <c r="A37" t="s">
        <v>1244</v>
      </c>
      <c r="B37">
        <v>0.12237174047542598</v>
      </c>
    </row>
    <row r="38" spans="1:2" x14ac:dyDescent="0.35">
      <c r="A38" t="s">
        <v>1244</v>
      </c>
      <c r="B38">
        <v>0.13483857912263572</v>
      </c>
    </row>
    <row r="39" spans="1:2" x14ac:dyDescent="0.35">
      <c r="A39" t="s">
        <v>1244</v>
      </c>
      <c r="B39">
        <v>0.13742688248495488</v>
      </c>
    </row>
    <row r="40" spans="1:2" x14ac:dyDescent="0.35">
      <c r="A40" t="s">
        <v>1244</v>
      </c>
      <c r="B40">
        <v>0.14118107929746043</v>
      </c>
    </row>
    <row r="41" spans="1:2" x14ac:dyDescent="0.35">
      <c r="A41" t="s">
        <v>1244</v>
      </c>
      <c r="B41">
        <v>0.14548848207121687</v>
      </c>
    </row>
    <row r="42" spans="1:2" x14ac:dyDescent="0.35">
      <c r="A42" t="s">
        <v>1244</v>
      </c>
      <c r="B42">
        <v>0.14597261009324239</v>
      </c>
    </row>
    <row r="43" spans="1:2" x14ac:dyDescent="0.35">
      <c r="A43" t="s">
        <v>1244</v>
      </c>
      <c r="B43">
        <v>0.15639802870308459</v>
      </c>
    </row>
    <row r="44" spans="1:2" x14ac:dyDescent="0.35">
      <c r="A44" t="s">
        <v>1244</v>
      </c>
      <c r="B44">
        <v>0.15690691625996689</v>
      </c>
    </row>
    <row r="45" spans="1:2" x14ac:dyDescent="0.35">
      <c r="A45" t="s">
        <v>1244</v>
      </c>
      <c r="B45">
        <v>0.15956764913090582</v>
      </c>
    </row>
    <row r="46" spans="1:2" x14ac:dyDescent="0.35">
      <c r="A46" t="s">
        <v>1244</v>
      </c>
      <c r="B46">
        <v>0.17276913866445542</v>
      </c>
    </row>
    <row r="47" spans="1:2" x14ac:dyDescent="0.35">
      <c r="A47" t="s">
        <v>1244</v>
      </c>
      <c r="B47">
        <v>0.17325567678227721</v>
      </c>
    </row>
    <row r="48" spans="1:2" x14ac:dyDescent="0.35">
      <c r="A48" t="s">
        <v>1244</v>
      </c>
      <c r="B48">
        <v>0.17775682413856392</v>
      </c>
    </row>
    <row r="49" spans="1:2" x14ac:dyDescent="0.35">
      <c r="A49" t="s">
        <v>1244</v>
      </c>
      <c r="B49">
        <v>0.18059773137488319</v>
      </c>
    </row>
    <row r="50" spans="1:2" x14ac:dyDescent="0.35">
      <c r="A50" t="s">
        <v>1244</v>
      </c>
      <c r="B50">
        <v>0.18059773137488319</v>
      </c>
    </row>
    <row r="51" spans="1:2" x14ac:dyDescent="0.35">
      <c r="A51" t="s">
        <v>1244</v>
      </c>
      <c r="B51">
        <v>0.20693652461391726</v>
      </c>
    </row>
    <row r="52" spans="1:2" x14ac:dyDescent="0.35">
      <c r="A52" t="s">
        <v>1244</v>
      </c>
      <c r="B52">
        <v>0.21191069225544007</v>
      </c>
    </row>
    <row r="53" spans="1:2" x14ac:dyDescent="0.35">
      <c r="A53" t="s">
        <v>1244</v>
      </c>
      <c r="B53">
        <v>0.22145860858770106</v>
      </c>
    </row>
    <row r="54" spans="1:2" x14ac:dyDescent="0.35">
      <c r="A54" t="s">
        <v>1244</v>
      </c>
      <c r="B54">
        <v>0.22152172017247199</v>
      </c>
    </row>
    <row r="55" spans="1:2" x14ac:dyDescent="0.35">
      <c r="A55" t="s">
        <v>1244</v>
      </c>
      <c r="B55">
        <v>0.22732760535956376</v>
      </c>
    </row>
    <row r="56" spans="1:2" x14ac:dyDescent="0.35">
      <c r="A56" t="s">
        <v>1244</v>
      </c>
      <c r="B56">
        <v>0.23194471110871523</v>
      </c>
    </row>
    <row r="57" spans="1:2" x14ac:dyDescent="0.35">
      <c r="A57" t="s">
        <v>1244</v>
      </c>
      <c r="B57">
        <v>0.24419231233698496</v>
      </c>
    </row>
    <row r="58" spans="1:2" x14ac:dyDescent="0.35">
      <c r="A58" t="s">
        <v>1244</v>
      </c>
      <c r="B58">
        <v>0.24680555918346186</v>
      </c>
    </row>
    <row r="59" spans="1:2" x14ac:dyDescent="0.35">
      <c r="A59" t="s">
        <v>1244</v>
      </c>
      <c r="B59">
        <v>0.24766583339438039</v>
      </c>
    </row>
    <row r="60" spans="1:2" x14ac:dyDescent="0.35">
      <c r="A60" t="s">
        <v>1244</v>
      </c>
      <c r="B60">
        <v>0.25966906688068297</v>
      </c>
    </row>
    <row r="61" spans="1:2" x14ac:dyDescent="0.35">
      <c r="A61" t="s">
        <v>1244</v>
      </c>
      <c r="B61">
        <v>0.26067213502769443</v>
      </c>
    </row>
    <row r="62" spans="1:2" x14ac:dyDescent="0.35">
      <c r="A62" t="s">
        <v>1244</v>
      </c>
      <c r="B62">
        <v>0.2647253319156182</v>
      </c>
    </row>
    <row r="63" spans="1:2" x14ac:dyDescent="0.35">
      <c r="A63" t="s">
        <v>1244</v>
      </c>
      <c r="B63">
        <v>0.26636614639061945</v>
      </c>
    </row>
    <row r="64" spans="1:2" x14ac:dyDescent="0.35">
      <c r="A64" t="s">
        <v>1244</v>
      </c>
      <c r="B64">
        <v>0.27219548975661767</v>
      </c>
    </row>
    <row r="65" spans="1:2" x14ac:dyDescent="0.35">
      <c r="A65" t="s">
        <v>1244</v>
      </c>
      <c r="B65">
        <v>0.28429842103879682</v>
      </c>
    </row>
    <row r="66" spans="1:2" x14ac:dyDescent="0.35">
      <c r="A66" t="s">
        <v>1244</v>
      </c>
      <c r="B66">
        <v>0.2920484229177277</v>
      </c>
    </row>
    <row r="67" spans="1:2" x14ac:dyDescent="0.35">
      <c r="A67" t="s">
        <v>1244</v>
      </c>
      <c r="B67">
        <v>0.2936157267299585</v>
      </c>
    </row>
    <row r="68" spans="1:2" x14ac:dyDescent="0.35">
      <c r="A68" t="s">
        <v>1244</v>
      </c>
      <c r="B68">
        <v>0.29957402238801695</v>
      </c>
    </row>
    <row r="69" spans="1:2" x14ac:dyDescent="0.35">
      <c r="A69" t="s">
        <v>1244</v>
      </c>
      <c r="B69">
        <v>0.29957402238801695</v>
      </c>
    </row>
    <row r="70" spans="1:2" x14ac:dyDescent="0.35">
      <c r="A70" t="s">
        <v>1244</v>
      </c>
      <c r="B70">
        <v>0.30234525253571376</v>
      </c>
    </row>
    <row r="71" spans="1:2" x14ac:dyDescent="0.35">
      <c r="A71" t="s">
        <v>1244</v>
      </c>
      <c r="B71">
        <v>0.31522432920825522</v>
      </c>
    </row>
    <row r="72" spans="1:2" x14ac:dyDescent="0.35">
      <c r="A72" t="s">
        <v>1244</v>
      </c>
      <c r="B72">
        <v>0.31775882974124348</v>
      </c>
    </row>
    <row r="73" spans="1:2" x14ac:dyDescent="0.35">
      <c r="A73" t="s">
        <v>1244</v>
      </c>
      <c r="B73">
        <v>0.31775882974124348</v>
      </c>
    </row>
    <row r="74" spans="1:2" x14ac:dyDescent="0.35">
      <c r="A74" t="s">
        <v>1244</v>
      </c>
      <c r="B74">
        <v>0.32481082514250198</v>
      </c>
    </row>
    <row r="75" spans="1:2" x14ac:dyDescent="0.35">
      <c r="A75" t="s">
        <v>1244</v>
      </c>
      <c r="B75">
        <v>0.33471251060992463</v>
      </c>
    </row>
    <row r="76" spans="1:2" x14ac:dyDescent="0.35">
      <c r="A76" t="s">
        <v>1244</v>
      </c>
      <c r="B76">
        <v>0.33644236150811579</v>
      </c>
    </row>
    <row r="77" spans="1:2" x14ac:dyDescent="0.35">
      <c r="A77" t="s">
        <v>1244</v>
      </c>
      <c r="B77">
        <v>0.34154548639795718</v>
      </c>
    </row>
    <row r="78" spans="1:2" x14ac:dyDescent="0.35">
      <c r="A78" t="s">
        <v>1244</v>
      </c>
      <c r="B78">
        <v>0.34496235260916708</v>
      </c>
    </row>
    <row r="79" spans="1:2" x14ac:dyDescent="0.35">
      <c r="A79" t="s">
        <v>1244</v>
      </c>
      <c r="B79">
        <v>0.36573448076639725</v>
      </c>
    </row>
    <row r="80" spans="1:2" x14ac:dyDescent="0.35">
      <c r="A80" t="s">
        <v>1244</v>
      </c>
      <c r="B80">
        <v>0.36756483325128331</v>
      </c>
    </row>
    <row r="81" spans="1:2" x14ac:dyDescent="0.35">
      <c r="A81" t="s">
        <v>1244</v>
      </c>
      <c r="B81">
        <v>0.37528039157533871</v>
      </c>
    </row>
    <row r="82" spans="1:2" x14ac:dyDescent="0.35">
      <c r="A82" t="s">
        <v>1244</v>
      </c>
      <c r="B82">
        <v>0.38659471152816938</v>
      </c>
    </row>
    <row r="83" spans="1:2" x14ac:dyDescent="0.35">
      <c r="A83" t="s">
        <v>1244</v>
      </c>
      <c r="B83">
        <v>0.41230242489874014</v>
      </c>
    </row>
    <row r="84" spans="1:2" x14ac:dyDescent="0.35">
      <c r="A84" t="s">
        <v>1244</v>
      </c>
      <c r="B84">
        <v>0.41540629169344195</v>
      </c>
    </row>
    <row r="85" spans="1:2" x14ac:dyDescent="0.35">
      <c r="A85" t="s">
        <v>1244</v>
      </c>
      <c r="B85">
        <v>0.41603720939648459</v>
      </c>
    </row>
    <row r="86" spans="1:2" x14ac:dyDescent="0.35">
      <c r="A86" t="s">
        <v>1244</v>
      </c>
      <c r="B86">
        <v>0.41603720939648459</v>
      </c>
    </row>
    <row r="87" spans="1:2" x14ac:dyDescent="0.35">
      <c r="A87" t="s">
        <v>1244</v>
      </c>
      <c r="B87">
        <v>0.43711911763893313</v>
      </c>
    </row>
    <row r="88" spans="1:2" x14ac:dyDescent="0.35">
      <c r="A88" t="s">
        <v>1244</v>
      </c>
      <c r="B88">
        <v>0.44068773818341361</v>
      </c>
    </row>
    <row r="89" spans="1:2" x14ac:dyDescent="0.35">
      <c r="A89" t="s">
        <v>1244</v>
      </c>
      <c r="B89">
        <v>0.44640033210138447</v>
      </c>
    </row>
    <row r="90" spans="1:2" x14ac:dyDescent="0.35">
      <c r="A90" t="s">
        <v>1244</v>
      </c>
      <c r="B90">
        <v>0.47571457216781837</v>
      </c>
    </row>
    <row r="91" spans="1:2" x14ac:dyDescent="0.35">
      <c r="A91" t="s">
        <v>1244</v>
      </c>
      <c r="B91">
        <v>0.48065775949281486</v>
      </c>
    </row>
    <row r="92" spans="1:2" x14ac:dyDescent="0.35">
      <c r="A92" t="s">
        <v>1244</v>
      </c>
      <c r="B92">
        <v>0.48065775949281486</v>
      </c>
    </row>
    <row r="93" spans="1:2" x14ac:dyDescent="0.35">
      <c r="A93" t="s">
        <v>1244</v>
      </c>
      <c r="B93">
        <v>0.49715635569596406</v>
      </c>
    </row>
    <row r="94" spans="1:2" x14ac:dyDescent="0.35">
      <c r="A94" t="s">
        <v>1244</v>
      </c>
      <c r="B94">
        <v>0.50310164582573424</v>
      </c>
    </row>
    <row r="95" spans="1:2" x14ac:dyDescent="0.35">
      <c r="A95" t="s">
        <v>1244</v>
      </c>
      <c r="B95">
        <v>0.52598671030165756</v>
      </c>
    </row>
    <row r="96" spans="1:2" x14ac:dyDescent="0.35">
      <c r="A96" t="s">
        <v>1244</v>
      </c>
      <c r="B96">
        <v>0.53640317332526832</v>
      </c>
    </row>
    <row r="97" spans="1:2" x14ac:dyDescent="0.35">
      <c r="A97" t="s">
        <v>1244</v>
      </c>
      <c r="B97">
        <v>0.54765891614667461</v>
      </c>
    </row>
    <row r="98" spans="1:2" x14ac:dyDescent="0.35">
      <c r="A98" t="s">
        <v>1244</v>
      </c>
      <c r="B98">
        <v>0.54765891614667461</v>
      </c>
    </row>
    <row r="99" spans="1:2" x14ac:dyDescent="0.35">
      <c r="A99" t="s">
        <v>1244</v>
      </c>
      <c r="B99">
        <v>0.56946402829581089</v>
      </c>
    </row>
    <row r="100" spans="1:2" x14ac:dyDescent="0.35">
      <c r="A100" t="s">
        <v>1244</v>
      </c>
      <c r="B100">
        <v>0.6036412678681754</v>
      </c>
    </row>
    <row r="101" spans="1:2" x14ac:dyDescent="0.35">
      <c r="A101" t="s">
        <v>1244</v>
      </c>
      <c r="B101">
        <v>0.62181206676199907</v>
      </c>
    </row>
    <row r="102" spans="1:2" x14ac:dyDescent="0.35">
      <c r="A102" t="s">
        <v>1244</v>
      </c>
      <c r="B102">
        <v>0.64244658821123701</v>
      </c>
    </row>
    <row r="103" spans="1:2" x14ac:dyDescent="0.35">
      <c r="A103" t="s">
        <v>1244</v>
      </c>
      <c r="B103">
        <v>0.64680838640271765</v>
      </c>
    </row>
    <row r="104" spans="1:2" x14ac:dyDescent="0.35">
      <c r="A104" t="s">
        <v>1244</v>
      </c>
      <c r="B104">
        <v>0.65303887399623672</v>
      </c>
    </row>
    <row r="105" spans="1:2" x14ac:dyDescent="0.35">
      <c r="A105" t="s">
        <v>1244</v>
      </c>
      <c r="B105">
        <v>0.67220835803765633</v>
      </c>
    </row>
    <row r="106" spans="1:2" x14ac:dyDescent="0.35">
      <c r="A106" t="s">
        <v>1244</v>
      </c>
      <c r="B106">
        <v>0.69800591132128098</v>
      </c>
    </row>
    <row r="107" spans="1:2" x14ac:dyDescent="0.35">
      <c r="A107" t="s">
        <v>1244</v>
      </c>
      <c r="B107">
        <v>0.78316820169137547</v>
      </c>
    </row>
    <row r="108" spans="1:2" x14ac:dyDescent="0.35">
      <c r="A108" t="s">
        <v>1244</v>
      </c>
      <c r="B108">
        <v>0.78555645151857734</v>
      </c>
    </row>
    <row r="109" spans="1:2" x14ac:dyDescent="0.35">
      <c r="A109" t="s">
        <v>1244</v>
      </c>
      <c r="B109">
        <v>0.79281632365233368</v>
      </c>
    </row>
    <row r="110" spans="1:2" x14ac:dyDescent="0.35">
      <c r="A110" t="s">
        <v>1244</v>
      </c>
      <c r="B110">
        <v>0.80192276304364585</v>
      </c>
    </row>
    <row r="111" spans="1:2" x14ac:dyDescent="0.35">
      <c r="A111" t="s">
        <v>1244</v>
      </c>
      <c r="B111">
        <v>0.80505276119920577</v>
      </c>
    </row>
    <row r="112" spans="1:2" x14ac:dyDescent="0.35">
      <c r="A112" t="s">
        <v>1244</v>
      </c>
      <c r="B112">
        <v>0.84166949047504303</v>
      </c>
    </row>
    <row r="113" spans="1:2" x14ac:dyDescent="0.35">
      <c r="A113" t="s">
        <v>1244</v>
      </c>
      <c r="B113">
        <v>0.88922479243528774</v>
      </c>
    </row>
    <row r="114" spans="1:2" x14ac:dyDescent="0.35">
      <c r="A114" t="s">
        <v>1244</v>
      </c>
      <c r="B114">
        <v>0.89748202895019036</v>
      </c>
    </row>
    <row r="115" spans="1:2" x14ac:dyDescent="0.35">
      <c r="A115" t="s">
        <v>1244</v>
      </c>
      <c r="B115">
        <v>0.90432996738237426</v>
      </c>
    </row>
    <row r="116" spans="1:2" x14ac:dyDescent="0.35">
      <c r="A116" t="s">
        <v>1244</v>
      </c>
      <c r="B116">
        <v>0.91046090070693697</v>
      </c>
    </row>
    <row r="117" spans="1:2" x14ac:dyDescent="0.35">
      <c r="A117" t="s">
        <v>1244</v>
      </c>
      <c r="B117">
        <v>0.91799238247787507</v>
      </c>
    </row>
    <row r="118" spans="1:2" x14ac:dyDescent="0.35">
      <c r="A118" t="s">
        <v>1244</v>
      </c>
      <c r="B118">
        <v>0.99064420465072811</v>
      </c>
    </row>
    <row r="119" spans="1:2" x14ac:dyDescent="0.35">
      <c r="A119" t="s">
        <v>1244</v>
      </c>
      <c r="B119">
        <v>1.0063496692595473</v>
      </c>
    </row>
    <row r="120" spans="1:2" x14ac:dyDescent="0.35">
      <c r="A120" t="s">
        <v>1244</v>
      </c>
      <c r="B120">
        <v>1.0777054515528546</v>
      </c>
    </row>
    <row r="121" spans="1:2" x14ac:dyDescent="0.35">
      <c r="A121" t="s">
        <v>1244</v>
      </c>
      <c r="B121">
        <v>1.1123533287723812</v>
      </c>
    </row>
    <row r="122" spans="1:2" x14ac:dyDescent="0.35">
      <c r="A122" t="s">
        <v>1244</v>
      </c>
      <c r="B122">
        <v>1.1287576902131979</v>
      </c>
    </row>
    <row r="123" spans="1:2" x14ac:dyDescent="0.35">
      <c r="A123" t="s">
        <v>1244</v>
      </c>
      <c r="B123">
        <v>1.2238363126695417</v>
      </c>
    </row>
    <row r="124" spans="1:2" x14ac:dyDescent="0.35">
      <c r="A124" t="s">
        <v>1244</v>
      </c>
      <c r="B124">
        <v>1.2633153522510698</v>
      </c>
    </row>
    <row r="125" spans="1:2" x14ac:dyDescent="0.35">
      <c r="A125" t="s">
        <v>1244</v>
      </c>
      <c r="B125">
        <v>1.2871462670072948</v>
      </c>
    </row>
    <row r="126" spans="1:2" x14ac:dyDescent="0.35">
      <c r="A126" t="s">
        <v>1244</v>
      </c>
      <c r="B126">
        <v>1.401487436395797</v>
      </c>
    </row>
    <row r="127" spans="1:2" x14ac:dyDescent="0.35">
      <c r="A127" t="s">
        <v>1244</v>
      </c>
      <c r="B127">
        <v>1.4900590503689759</v>
      </c>
    </row>
    <row r="128" spans="1:2" x14ac:dyDescent="0.35">
      <c r="A128" t="s">
        <v>1244</v>
      </c>
      <c r="B128">
        <v>1.7367750740439887</v>
      </c>
    </row>
    <row r="129" spans="1:2" x14ac:dyDescent="0.35">
      <c r="A129" t="s">
        <v>1244</v>
      </c>
      <c r="B129">
        <v>1.7367750740439887</v>
      </c>
    </row>
    <row r="130" spans="1:2" x14ac:dyDescent="0.35">
      <c r="A130" t="s">
        <v>1244</v>
      </c>
      <c r="B130">
        <v>1.7367750740439887</v>
      </c>
    </row>
    <row r="131" spans="1:2" x14ac:dyDescent="0.35">
      <c r="A131" t="s">
        <v>1244</v>
      </c>
      <c r="B131">
        <v>1.8094232956530085</v>
      </c>
    </row>
    <row r="132" spans="1:2" x14ac:dyDescent="0.35">
      <c r="A132" t="s">
        <v>1244</v>
      </c>
      <c r="B132">
        <v>1.9574072536302018</v>
      </c>
    </row>
    <row r="133" spans="1:2" x14ac:dyDescent="0.35">
      <c r="A133" t="s">
        <v>1244</v>
      </c>
      <c r="B133">
        <v>2.0706391988264037</v>
      </c>
    </row>
    <row r="134" spans="1:2" x14ac:dyDescent="0.35">
      <c r="A134" t="s">
        <v>1244</v>
      </c>
      <c r="B134">
        <v>2.1321845068244381</v>
      </c>
    </row>
    <row r="135" spans="1:2" x14ac:dyDescent="0.35">
      <c r="A135" t="s">
        <v>1244</v>
      </c>
      <c r="B135">
        <v>2.302497424375066</v>
      </c>
    </row>
    <row r="136" spans="1:2" x14ac:dyDescent="0.35">
      <c r="A136" t="s">
        <v>1244</v>
      </c>
      <c r="B136">
        <v>2.3418043410235097</v>
      </c>
    </row>
    <row r="137" spans="1:2" x14ac:dyDescent="0.35">
      <c r="A137" t="s">
        <v>1244</v>
      </c>
      <c r="B137">
        <v>2.5813705350201146</v>
      </c>
    </row>
    <row r="138" spans="1:2" x14ac:dyDescent="0.35">
      <c r="A138" t="s">
        <v>1244</v>
      </c>
      <c r="B138">
        <v>2.8269115009611654</v>
      </c>
    </row>
    <row r="139" spans="1:2" x14ac:dyDescent="0.35">
      <c r="A139" t="s">
        <v>1244</v>
      </c>
      <c r="B139">
        <v>2.9936626957213655</v>
      </c>
    </row>
    <row r="140" spans="1:2" x14ac:dyDescent="0.35">
      <c r="A140" t="s">
        <v>1244</v>
      </c>
      <c r="B140">
        <v>3.3338593521218116</v>
      </c>
    </row>
    <row r="141" spans="1:2" x14ac:dyDescent="0.35">
      <c r="A141" t="s">
        <v>1244</v>
      </c>
      <c r="B141">
        <v>3.3338593521218116</v>
      </c>
    </row>
    <row r="142" spans="1:2" x14ac:dyDescent="0.35">
      <c r="A142" t="s">
        <v>1244</v>
      </c>
      <c r="B142">
        <v>3.5070428169400278</v>
      </c>
    </row>
    <row r="143" spans="1:2" x14ac:dyDescent="0.35">
      <c r="A143" t="s">
        <v>1244</v>
      </c>
      <c r="B143">
        <v>3.9034649276377307</v>
      </c>
    </row>
    <row r="144" spans="1:2" x14ac:dyDescent="0.35">
      <c r="A144" t="s">
        <v>1244</v>
      </c>
      <c r="B144">
        <v>4.4905741961989047</v>
      </c>
    </row>
    <row r="145" spans="1:2" x14ac:dyDescent="0.35">
      <c r="A145" t="s">
        <v>1244</v>
      </c>
      <c r="B145">
        <v>5.2325841928501369</v>
      </c>
    </row>
    <row r="146" spans="1:2" x14ac:dyDescent="0.35">
      <c r="A146" t="s">
        <v>1244</v>
      </c>
      <c r="B146">
        <v>5.6102225815397135</v>
      </c>
    </row>
    <row r="147" spans="1:2" x14ac:dyDescent="0.35">
      <c r="A147" t="s">
        <v>1244</v>
      </c>
      <c r="B147">
        <v>6.1354814626418213</v>
      </c>
    </row>
    <row r="148" spans="1:2" x14ac:dyDescent="0.35">
      <c r="A148" t="s">
        <v>1244</v>
      </c>
      <c r="B148">
        <v>7.1538743352876244</v>
      </c>
    </row>
    <row r="149" spans="1:2" x14ac:dyDescent="0.35">
      <c r="A149" t="s">
        <v>1245</v>
      </c>
      <c r="B149">
        <v>2.6998029824123202E-3</v>
      </c>
    </row>
    <row r="150" spans="1:2" x14ac:dyDescent="0.35">
      <c r="A150" t="s">
        <v>1245</v>
      </c>
      <c r="B150">
        <v>7.1603570386807869E-3</v>
      </c>
    </row>
    <row r="151" spans="1:2" x14ac:dyDescent="0.35">
      <c r="A151" t="s">
        <v>1245</v>
      </c>
      <c r="B151">
        <v>7.2550859584929834E-3</v>
      </c>
    </row>
    <row r="152" spans="1:2" x14ac:dyDescent="0.35">
      <c r="A152" t="s">
        <v>1245</v>
      </c>
      <c r="B152">
        <v>8.4496698090975701E-3</v>
      </c>
    </row>
    <row r="153" spans="1:2" x14ac:dyDescent="0.35">
      <c r="A153" t="s">
        <v>1245</v>
      </c>
      <c r="B153">
        <v>1.0096235624475702E-2</v>
      </c>
    </row>
    <row r="154" spans="1:2" x14ac:dyDescent="0.35">
      <c r="A154" t="s">
        <v>1245</v>
      </c>
      <c r="B154">
        <v>1.0212187587686137E-2</v>
      </c>
    </row>
    <row r="155" spans="1:2" x14ac:dyDescent="0.35">
      <c r="A155" t="s">
        <v>1245</v>
      </c>
      <c r="B155">
        <v>1.0924372496414592E-2</v>
      </c>
    </row>
    <row r="156" spans="1:2" x14ac:dyDescent="0.35">
      <c r="A156" t="s">
        <v>1245</v>
      </c>
      <c r="B156">
        <v>1.1539606070594071E-2</v>
      </c>
    </row>
    <row r="157" spans="1:2" x14ac:dyDescent="0.35">
      <c r="A157" t="s">
        <v>1245</v>
      </c>
      <c r="B157">
        <v>1.204616784976709E-2</v>
      </c>
    </row>
    <row r="158" spans="1:2" x14ac:dyDescent="0.35">
      <c r="A158" t="s">
        <v>1245</v>
      </c>
      <c r="B158">
        <v>1.2174817742977547E-2</v>
      </c>
    </row>
    <row r="159" spans="1:2" x14ac:dyDescent="0.35">
      <c r="A159" t="s">
        <v>1245</v>
      </c>
      <c r="B159">
        <v>1.2565614729057845E-2</v>
      </c>
    </row>
    <row r="160" spans="1:2" x14ac:dyDescent="0.35">
      <c r="A160" t="s">
        <v>1245</v>
      </c>
      <c r="B160">
        <v>1.2697501263080021E-2</v>
      </c>
    </row>
    <row r="161" spans="1:2" x14ac:dyDescent="0.35">
      <c r="A161" t="s">
        <v>1245</v>
      </c>
      <c r="B161">
        <v>1.2963714786049959E-2</v>
      </c>
    </row>
    <row r="162" spans="1:2" x14ac:dyDescent="0.35">
      <c r="A162" t="s">
        <v>1245</v>
      </c>
      <c r="B162">
        <v>1.3233192363511715E-2</v>
      </c>
    </row>
    <row r="163" spans="1:2" x14ac:dyDescent="0.35">
      <c r="A163" t="s">
        <v>1245</v>
      </c>
      <c r="B163">
        <v>1.3781987973292741E-2</v>
      </c>
    </row>
    <row r="164" spans="1:2" x14ac:dyDescent="0.35">
      <c r="A164" t="s">
        <v>1245</v>
      </c>
      <c r="B164">
        <v>1.3921245727081344E-2</v>
      </c>
    </row>
    <row r="165" spans="1:2" x14ac:dyDescent="0.35">
      <c r="A165" t="s">
        <v>1245</v>
      </c>
      <c r="B165">
        <v>1.5211937162593683E-2</v>
      </c>
    </row>
    <row r="166" spans="1:2" x14ac:dyDescent="0.35">
      <c r="A166" t="s">
        <v>1245</v>
      </c>
      <c r="B166">
        <v>1.5211937162593683E-2</v>
      </c>
    </row>
    <row r="167" spans="1:2" x14ac:dyDescent="0.35">
      <c r="A167" t="s">
        <v>1245</v>
      </c>
      <c r="B167">
        <v>1.5807348922381104E-2</v>
      </c>
    </row>
    <row r="168" spans="1:2" x14ac:dyDescent="0.35">
      <c r="A168" t="s">
        <v>1245</v>
      </c>
      <c r="B168">
        <v>1.5807348922381104E-2</v>
      </c>
    </row>
    <row r="169" spans="1:2" x14ac:dyDescent="0.35">
      <c r="A169" t="s">
        <v>1245</v>
      </c>
      <c r="B169">
        <v>1.5807348922381104E-2</v>
      </c>
    </row>
    <row r="170" spans="1:2" x14ac:dyDescent="0.35">
      <c r="A170" t="s">
        <v>1245</v>
      </c>
      <c r="B170">
        <v>1.5958312269428079E-2</v>
      </c>
    </row>
    <row r="171" spans="1:2" x14ac:dyDescent="0.35">
      <c r="A171" t="s">
        <v>1245</v>
      </c>
      <c r="B171">
        <v>1.5958312269428079E-2</v>
      </c>
    </row>
    <row r="172" spans="1:2" x14ac:dyDescent="0.35">
      <c r="A172" t="s">
        <v>1245</v>
      </c>
      <c r="B172">
        <v>1.6416290423826092E-2</v>
      </c>
    </row>
    <row r="173" spans="1:2" x14ac:dyDescent="0.35">
      <c r="A173" t="s">
        <v>1245</v>
      </c>
      <c r="B173">
        <v>1.7514770843230179E-2</v>
      </c>
    </row>
    <row r="174" spans="1:2" x14ac:dyDescent="0.35">
      <c r="A174" t="s">
        <v>1245</v>
      </c>
      <c r="B174">
        <v>1.8325211357788865E-2</v>
      </c>
    </row>
    <row r="175" spans="1:2" x14ac:dyDescent="0.35">
      <c r="A175" t="s">
        <v>1245</v>
      </c>
      <c r="B175">
        <v>1.8989185910834948E-2</v>
      </c>
    </row>
    <row r="176" spans="1:2" x14ac:dyDescent="0.35">
      <c r="A176" t="s">
        <v>1245</v>
      </c>
      <c r="B176">
        <v>1.8989185910834948E-2</v>
      </c>
    </row>
    <row r="177" spans="1:2" x14ac:dyDescent="0.35">
      <c r="A177" t="s">
        <v>1245</v>
      </c>
      <c r="B177">
        <v>1.9157360919893847E-2</v>
      </c>
    </row>
    <row r="178" spans="1:2" x14ac:dyDescent="0.35">
      <c r="A178" t="s">
        <v>1245</v>
      </c>
      <c r="B178">
        <v>1.9326411252505518E-2</v>
      </c>
    </row>
    <row r="179" spans="1:2" x14ac:dyDescent="0.35">
      <c r="A179" t="s">
        <v>1245</v>
      </c>
      <c r="B179">
        <v>1.9496338291355848E-2</v>
      </c>
    </row>
    <row r="180" spans="1:2" x14ac:dyDescent="0.35">
      <c r="A180" t="s">
        <v>1245</v>
      </c>
      <c r="B180">
        <v>1.9496338291355848E-2</v>
      </c>
    </row>
    <row r="181" spans="1:2" x14ac:dyDescent="0.35">
      <c r="A181" t="s">
        <v>1245</v>
      </c>
      <c r="B181">
        <v>1.9667143416338254E-2</v>
      </c>
    </row>
    <row r="182" spans="1:2" x14ac:dyDescent="0.35">
      <c r="A182" t="s">
        <v>1245</v>
      </c>
      <c r="B182">
        <v>2.0184841065453485E-2</v>
      </c>
    </row>
    <row r="183" spans="1:2" x14ac:dyDescent="0.35">
      <c r="A183" t="s">
        <v>1245</v>
      </c>
      <c r="B183">
        <v>2.0184841065453485E-2</v>
      </c>
    </row>
    <row r="184" spans="1:2" x14ac:dyDescent="0.35">
      <c r="A184" t="s">
        <v>1245</v>
      </c>
      <c r="B184">
        <v>2.0887481034708534E-2</v>
      </c>
    </row>
    <row r="185" spans="1:2" x14ac:dyDescent="0.35">
      <c r="A185" t="s">
        <v>1245</v>
      </c>
      <c r="B185">
        <v>2.0887481034708534E-2</v>
      </c>
    </row>
    <row r="186" spans="1:2" x14ac:dyDescent="0.35">
      <c r="A186" t="s">
        <v>1245</v>
      </c>
      <c r="B186">
        <v>2.0887481034708534E-2</v>
      </c>
    </row>
    <row r="187" spans="1:2" x14ac:dyDescent="0.35">
      <c r="A187" t="s">
        <v>1245</v>
      </c>
      <c r="B187">
        <v>2.1244129737160864E-2</v>
      </c>
    </row>
    <row r="188" spans="1:2" x14ac:dyDescent="0.35">
      <c r="A188" t="s">
        <v>1245</v>
      </c>
      <c r="B188">
        <v>2.1244129737160864E-2</v>
      </c>
    </row>
    <row r="189" spans="1:2" x14ac:dyDescent="0.35">
      <c r="A189" t="s">
        <v>1245</v>
      </c>
      <c r="B189">
        <v>2.1244129737160864E-2</v>
      </c>
    </row>
    <row r="190" spans="1:2" x14ac:dyDescent="0.35">
      <c r="A190" t="s">
        <v>1245</v>
      </c>
      <c r="B190">
        <v>2.1423791014260674E-2</v>
      </c>
    </row>
    <row r="191" spans="1:2" x14ac:dyDescent="0.35">
      <c r="A191" t="s">
        <v>1245</v>
      </c>
      <c r="B191">
        <v>2.2151380435586822E-2</v>
      </c>
    </row>
    <row r="192" spans="1:2" x14ac:dyDescent="0.35">
      <c r="A192" t="s">
        <v>1245</v>
      </c>
      <c r="B192">
        <v>2.2151380435586822E-2</v>
      </c>
    </row>
    <row r="193" spans="1:2" x14ac:dyDescent="0.35">
      <c r="A193" t="s">
        <v>1245</v>
      </c>
      <c r="B193">
        <v>2.2151380435586822E-2</v>
      </c>
    </row>
    <row r="194" spans="1:2" x14ac:dyDescent="0.35">
      <c r="A194" t="s">
        <v>1245</v>
      </c>
      <c r="B194">
        <v>2.2335520587528308E-2</v>
      </c>
    </row>
    <row r="195" spans="1:2" x14ac:dyDescent="0.35">
      <c r="A195" t="s">
        <v>1245</v>
      </c>
      <c r="B195">
        <v>2.2520560536452048E-2</v>
      </c>
    </row>
    <row r="196" spans="1:2" x14ac:dyDescent="0.35">
      <c r="A196" t="s">
        <v>1245</v>
      </c>
      <c r="B196">
        <v>2.2893345161518041E-2</v>
      </c>
    </row>
    <row r="197" spans="1:2" x14ac:dyDescent="0.35">
      <c r="A197" t="s">
        <v>1245</v>
      </c>
      <c r="B197">
        <v>2.3841146291961674E-2</v>
      </c>
    </row>
    <row r="198" spans="1:2" x14ac:dyDescent="0.35">
      <c r="A198" t="s">
        <v>1245</v>
      </c>
      <c r="B198">
        <v>2.4615766506623522E-2</v>
      </c>
    </row>
    <row r="199" spans="1:2" x14ac:dyDescent="0.35">
      <c r="A199" t="s">
        <v>1245</v>
      </c>
      <c r="B199">
        <v>2.5008565270301715E-2</v>
      </c>
    </row>
    <row r="200" spans="1:2" x14ac:dyDescent="0.35">
      <c r="A200" t="s">
        <v>1245</v>
      </c>
      <c r="B200">
        <v>2.5405037060159195E-2</v>
      </c>
    </row>
    <row r="201" spans="1:2" x14ac:dyDescent="0.35">
      <c r="A201" t="s">
        <v>1245</v>
      </c>
      <c r="B201">
        <v>2.5604653589504502E-2</v>
      </c>
    </row>
    <row r="202" spans="1:2" x14ac:dyDescent="0.35">
      <c r="A202" t="s">
        <v>1245</v>
      </c>
      <c r="B202">
        <v>2.580519227021242E-2</v>
      </c>
    </row>
    <row r="203" spans="1:2" x14ac:dyDescent="0.35">
      <c r="A203" t="s">
        <v>1245</v>
      </c>
      <c r="B203">
        <v>2.6006654395678879E-2</v>
      </c>
    </row>
    <row r="204" spans="1:2" x14ac:dyDescent="0.35">
      <c r="A204" t="s">
        <v>1245</v>
      </c>
      <c r="B204">
        <v>2.6412354142881133E-2</v>
      </c>
    </row>
    <row r="205" spans="1:2" x14ac:dyDescent="0.35">
      <c r="A205" t="s">
        <v>1245</v>
      </c>
      <c r="B205">
        <v>2.6821763132080262E-2</v>
      </c>
    </row>
    <row r="206" spans="1:2" x14ac:dyDescent="0.35">
      <c r="A206" t="s">
        <v>1245</v>
      </c>
      <c r="B206">
        <v>2.6821763132080262E-2</v>
      </c>
    </row>
    <row r="207" spans="1:2" x14ac:dyDescent="0.35">
      <c r="A207" t="s">
        <v>1245</v>
      </c>
      <c r="B207">
        <v>2.7234891627669452E-2</v>
      </c>
    </row>
    <row r="208" spans="1:2" x14ac:dyDescent="0.35">
      <c r="A208" t="s">
        <v>1245</v>
      </c>
      <c r="B208">
        <v>2.7651749857824825E-2</v>
      </c>
    </row>
    <row r="209" spans="1:2" x14ac:dyDescent="0.35">
      <c r="A209" t="s">
        <v>1245</v>
      </c>
      <c r="B209">
        <v>2.7861580809853768E-2</v>
      </c>
    </row>
    <row r="210" spans="1:2" x14ac:dyDescent="0.35">
      <c r="A210" t="s">
        <v>1245</v>
      </c>
      <c r="B210">
        <v>2.8072348014858473E-2</v>
      </c>
    </row>
    <row r="211" spans="1:2" x14ac:dyDescent="0.35">
      <c r="A211" t="s">
        <v>1245</v>
      </c>
      <c r="B211">
        <v>2.8072348014858473E-2</v>
      </c>
    </row>
    <row r="212" spans="1:2" x14ac:dyDescent="0.35">
      <c r="A212" t="s">
        <v>1245</v>
      </c>
      <c r="B212">
        <v>2.8072348014858473E-2</v>
      </c>
    </row>
    <row r="213" spans="1:2" x14ac:dyDescent="0.35">
      <c r="A213" t="s">
        <v>1245</v>
      </c>
      <c r="B213">
        <v>2.8284052741331143E-2</v>
      </c>
    </row>
    <row r="214" spans="1:2" x14ac:dyDescent="0.35">
      <c r="A214" t="s">
        <v>1245</v>
      </c>
      <c r="B214">
        <v>2.8284052741331143E-2</v>
      </c>
    </row>
    <row r="215" spans="1:2" x14ac:dyDescent="0.35">
      <c r="A215" t="s">
        <v>1245</v>
      </c>
      <c r="B215">
        <v>2.8496696255565612E-2</v>
      </c>
    </row>
    <row r="216" spans="1:2" x14ac:dyDescent="0.35">
      <c r="A216" t="s">
        <v>1245</v>
      </c>
      <c r="B216">
        <v>2.871027982166794E-2</v>
      </c>
    </row>
    <row r="217" spans="1:2" x14ac:dyDescent="0.35">
      <c r="A217" t="s">
        <v>1245</v>
      </c>
      <c r="B217">
        <v>2.871027982166794E-2</v>
      </c>
    </row>
    <row r="218" spans="1:2" x14ac:dyDescent="0.35">
      <c r="A218" t="s">
        <v>1245</v>
      </c>
      <c r="B218">
        <v>2.9356683439643681E-2</v>
      </c>
    </row>
    <row r="219" spans="1:2" x14ac:dyDescent="0.35">
      <c r="A219" t="s">
        <v>1245</v>
      </c>
      <c r="B219">
        <v>2.9574039810885522E-2</v>
      </c>
    </row>
    <row r="220" spans="1:2" x14ac:dyDescent="0.35">
      <c r="A220" t="s">
        <v>1245</v>
      </c>
      <c r="B220">
        <v>3.0231791966943866E-2</v>
      </c>
    </row>
    <row r="221" spans="1:2" x14ac:dyDescent="0.35">
      <c r="A221" t="s">
        <v>1245</v>
      </c>
      <c r="B221">
        <v>3.0675041758494882E-2</v>
      </c>
    </row>
    <row r="222" spans="1:2" x14ac:dyDescent="0.35">
      <c r="A222" t="s">
        <v>1245</v>
      </c>
      <c r="B222">
        <v>3.0898094895167344E-2</v>
      </c>
    </row>
    <row r="223" spans="1:2" x14ac:dyDescent="0.35">
      <c r="A223" t="s">
        <v>1245</v>
      </c>
      <c r="B223">
        <v>3.0898094895167344E-2</v>
      </c>
    </row>
    <row r="224" spans="1:2" x14ac:dyDescent="0.35">
      <c r="A224" t="s">
        <v>1245</v>
      </c>
      <c r="B224">
        <v>3.1122101847414742E-2</v>
      </c>
    </row>
    <row r="225" spans="1:2" x14ac:dyDescent="0.35">
      <c r="A225" t="s">
        <v>1245</v>
      </c>
      <c r="B225">
        <v>3.1122101847414742E-2</v>
      </c>
    </row>
    <row r="226" spans="1:2" x14ac:dyDescent="0.35">
      <c r="A226" t="s">
        <v>1245</v>
      </c>
      <c r="B226">
        <v>3.1122101847414742E-2</v>
      </c>
    </row>
    <row r="227" spans="1:2" x14ac:dyDescent="0.35">
      <c r="A227" t="s">
        <v>1245</v>
      </c>
      <c r="B227">
        <v>3.1347063853883292E-2</v>
      </c>
    </row>
    <row r="228" spans="1:2" x14ac:dyDescent="0.35">
      <c r="A228" t="s">
        <v>1245</v>
      </c>
      <c r="B228">
        <v>3.1347063853883292E-2</v>
      </c>
    </row>
    <row r="229" spans="1:2" x14ac:dyDescent="0.35">
      <c r="A229" t="s">
        <v>1245</v>
      </c>
      <c r="B229">
        <v>3.1572982151161277E-2</v>
      </c>
    </row>
    <row r="230" spans="1:2" x14ac:dyDescent="0.35">
      <c r="A230" t="s">
        <v>1245</v>
      </c>
      <c r="B230">
        <v>3.1799857973788703E-2</v>
      </c>
    </row>
    <row r="231" spans="1:2" x14ac:dyDescent="0.35">
      <c r="A231" t="s">
        <v>1245</v>
      </c>
      <c r="B231">
        <v>3.1799857973788703E-2</v>
      </c>
    </row>
    <row r="232" spans="1:2" x14ac:dyDescent="0.35">
      <c r="A232" t="s">
        <v>1245</v>
      </c>
      <c r="B232">
        <v>3.2256487123066412E-2</v>
      </c>
    </row>
    <row r="233" spans="1:2" x14ac:dyDescent="0.35">
      <c r="A233" t="s">
        <v>1245</v>
      </c>
      <c r="B233">
        <v>3.2256487123066412E-2</v>
      </c>
    </row>
    <row r="234" spans="1:2" x14ac:dyDescent="0.35">
      <c r="A234" t="s">
        <v>1245</v>
      </c>
      <c r="B234">
        <v>3.2716961137424866E-2</v>
      </c>
    </row>
    <row r="235" spans="1:2" x14ac:dyDescent="0.35">
      <c r="A235" t="s">
        <v>1245</v>
      </c>
      <c r="B235">
        <v>3.2716961137424866E-2</v>
      </c>
    </row>
    <row r="236" spans="1:2" x14ac:dyDescent="0.35">
      <c r="A236" t="s">
        <v>1245</v>
      </c>
      <c r="B236">
        <v>3.2716961137424866E-2</v>
      </c>
    </row>
    <row r="237" spans="1:2" x14ac:dyDescent="0.35">
      <c r="A237" t="s">
        <v>1245</v>
      </c>
      <c r="B237">
        <v>3.2948643033861323E-2</v>
      </c>
    </row>
    <row r="238" spans="1:2" x14ac:dyDescent="0.35">
      <c r="A238" t="s">
        <v>1245</v>
      </c>
      <c r="B238">
        <v>3.3181289820393478E-2</v>
      </c>
    </row>
    <row r="239" spans="1:2" x14ac:dyDescent="0.35">
      <c r="A239" t="s">
        <v>1245</v>
      </c>
      <c r="B239">
        <v>3.3414902717482237E-2</v>
      </c>
    </row>
    <row r="240" spans="1:2" x14ac:dyDescent="0.35">
      <c r="A240" t="s">
        <v>1245</v>
      </c>
      <c r="B240">
        <v>3.364948294361346E-2</v>
      </c>
    </row>
    <row r="241" spans="1:2" x14ac:dyDescent="0.35">
      <c r="A241" t="s">
        <v>1245</v>
      </c>
      <c r="B241">
        <v>3.3885031715306831E-2</v>
      </c>
    </row>
    <row r="242" spans="1:2" x14ac:dyDescent="0.35">
      <c r="A242" t="s">
        <v>1245</v>
      </c>
      <c r="B242">
        <v>3.4359039751680261E-2</v>
      </c>
    </row>
    <row r="243" spans="1:2" x14ac:dyDescent="0.35">
      <c r="A243" t="s">
        <v>1245</v>
      </c>
      <c r="B243">
        <v>3.4359039751680261E-2</v>
      </c>
    </row>
    <row r="244" spans="1:2" x14ac:dyDescent="0.35">
      <c r="A244" t="s">
        <v>1245</v>
      </c>
      <c r="B244">
        <v>3.4359039751680261E-2</v>
      </c>
    </row>
    <row r="245" spans="1:2" x14ac:dyDescent="0.35">
      <c r="A245" t="s">
        <v>1245</v>
      </c>
      <c r="B245">
        <v>3.4597501439647439E-2</v>
      </c>
    </row>
    <row r="246" spans="1:2" x14ac:dyDescent="0.35">
      <c r="A246" t="s">
        <v>1245</v>
      </c>
      <c r="B246">
        <v>3.4597501439647439E-2</v>
      </c>
    </row>
    <row r="247" spans="1:2" x14ac:dyDescent="0.35">
      <c r="A247" t="s">
        <v>1245</v>
      </c>
      <c r="B247">
        <v>3.5077346198861881E-2</v>
      </c>
    </row>
    <row r="248" spans="1:2" x14ac:dyDescent="0.35">
      <c r="A248" t="s">
        <v>1245</v>
      </c>
      <c r="B248">
        <v>3.556109417168124E-2</v>
      </c>
    </row>
    <row r="249" spans="1:2" x14ac:dyDescent="0.35">
      <c r="A249" t="s">
        <v>1245</v>
      </c>
      <c r="B249">
        <v>3.6540338193573628E-2</v>
      </c>
    </row>
    <row r="250" spans="1:2" x14ac:dyDescent="0.35">
      <c r="A250" t="s">
        <v>1245</v>
      </c>
      <c r="B250">
        <v>3.6787603696659996E-2</v>
      </c>
    </row>
    <row r="251" spans="1:2" x14ac:dyDescent="0.35">
      <c r="A251" t="s">
        <v>1245</v>
      </c>
      <c r="B251">
        <v>3.7535310075477196E-2</v>
      </c>
    </row>
    <row r="252" spans="1:2" x14ac:dyDescent="0.35">
      <c r="A252" t="s">
        <v>1245</v>
      </c>
      <c r="B252">
        <v>3.7786519451766455E-2</v>
      </c>
    </row>
    <row r="253" spans="1:2" x14ac:dyDescent="0.35">
      <c r="A253" t="s">
        <v>1245</v>
      </c>
      <c r="B253">
        <v>3.8291906188453378E-2</v>
      </c>
    </row>
    <row r="254" spans="1:2" x14ac:dyDescent="0.35">
      <c r="A254" t="s">
        <v>1245</v>
      </c>
      <c r="B254">
        <v>3.854608591218487E-2</v>
      </c>
    </row>
    <row r="255" spans="1:2" x14ac:dyDescent="0.35">
      <c r="A255" t="s">
        <v>1245</v>
      </c>
      <c r="B255">
        <v>3.9831895189504439E-2</v>
      </c>
    </row>
    <row r="256" spans="1:2" x14ac:dyDescent="0.35">
      <c r="A256" t="s">
        <v>1245</v>
      </c>
      <c r="B256">
        <v>4.0353199106869811E-2</v>
      </c>
    </row>
    <row r="257" spans="1:2" x14ac:dyDescent="0.35">
      <c r="A257" t="s">
        <v>1245</v>
      </c>
      <c r="B257">
        <v>4.0615351500838746E-2</v>
      </c>
    </row>
    <row r="258" spans="1:2" x14ac:dyDescent="0.35">
      <c r="A258" t="s">
        <v>1245</v>
      </c>
      <c r="B258">
        <v>4.0878505738666519E-2</v>
      </c>
    </row>
    <row r="259" spans="1:2" x14ac:dyDescent="0.35">
      <c r="A259" t="s">
        <v>1245</v>
      </c>
      <c r="B259">
        <v>4.1407824396492009E-2</v>
      </c>
    </row>
    <row r="260" spans="1:2" x14ac:dyDescent="0.35">
      <c r="A260" t="s">
        <v>1245</v>
      </c>
      <c r="B260">
        <v>4.1673991137473568E-2</v>
      </c>
    </row>
    <row r="261" spans="1:2" x14ac:dyDescent="0.35">
      <c r="A261" t="s">
        <v>1245</v>
      </c>
      <c r="B261">
        <v>4.1673991137473568E-2</v>
      </c>
    </row>
    <row r="262" spans="1:2" x14ac:dyDescent="0.35">
      <c r="A262" t="s">
        <v>1245</v>
      </c>
      <c r="B262">
        <v>4.1673991137473568E-2</v>
      </c>
    </row>
    <row r="263" spans="1:2" x14ac:dyDescent="0.35">
      <c r="A263" t="s">
        <v>1245</v>
      </c>
      <c r="B263">
        <v>4.1941164364295971E-2</v>
      </c>
    </row>
    <row r="264" spans="1:2" x14ac:dyDescent="0.35">
      <c r="A264" t="s">
        <v>1245</v>
      </c>
      <c r="B264">
        <v>4.2478534898607506E-2</v>
      </c>
    </row>
    <row r="265" spans="1:2" x14ac:dyDescent="0.35">
      <c r="A265" t="s">
        <v>1245</v>
      </c>
      <c r="B265">
        <v>4.2478534898607506E-2</v>
      </c>
    </row>
    <row r="266" spans="1:2" x14ac:dyDescent="0.35">
      <c r="A266" t="s">
        <v>1245</v>
      </c>
      <c r="B266">
        <v>4.2478534898607506E-2</v>
      </c>
    </row>
    <row r="267" spans="1:2" x14ac:dyDescent="0.35">
      <c r="A267" t="s">
        <v>1245</v>
      </c>
      <c r="B267">
        <v>4.2478534898607506E-2</v>
      </c>
    </row>
    <row r="268" spans="1:2" x14ac:dyDescent="0.35">
      <c r="A268" t="s">
        <v>1245</v>
      </c>
      <c r="B268">
        <v>4.2748734513426159E-2</v>
      </c>
    </row>
    <row r="269" spans="1:2" x14ac:dyDescent="0.35">
      <c r="A269" t="s">
        <v>1245</v>
      </c>
      <c r="B269">
        <v>4.3292168194058255E-2</v>
      </c>
    </row>
    <row r="270" spans="1:2" x14ac:dyDescent="0.35">
      <c r="A270" t="s">
        <v>1245</v>
      </c>
      <c r="B270">
        <v>4.4391205485602173E-2</v>
      </c>
    </row>
    <row r="271" spans="1:2" x14ac:dyDescent="0.35">
      <c r="A271" t="s">
        <v>1245</v>
      </c>
      <c r="B271">
        <v>4.4946827394678542E-2</v>
      </c>
    </row>
    <row r="272" spans="1:2" x14ac:dyDescent="0.35">
      <c r="A272" t="s">
        <v>1245</v>
      </c>
      <c r="B272">
        <v>4.5226168154806699E-2</v>
      </c>
    </row>
    <row r="273" spans="1:2" x14ac:dyDescent="0.35">
      <c r="A273" t="s">
        <v>1245</v>
      </c>
      <c r="B273">
        <v>4.5506530300884765E-2</v>
      </c>
    </row>
    <row r="274" spans="1:2" x14ac:dyDescent="0.35">
      <c r="A274" t="s">
        <v>1245</v>
      </c>
      <c r="B274">
        <v>4.5506530300884765E-2</v>
      </c>
    </row>
    <row r="275" spans="1:2" x14ac:dyDescent="0.35">
      <c r="A275" t="s">
        <v>1245</v>
      </c>
      <c r="B275">
        <v>4.5787914967554001E-2</v>
      </c>
    </row>
    <row r="276" spans="1:2" x14ac:dyDescent="0.35">
      <c r="A276" t="s">
        <v>1245</v>
      </c>
      <c r="B276">
        <v>4.6070323287842545E-2</v>
      </c>
    </row>
    <row r="277" spans="1:2" x14ac:dyDescent="0.35">
      <c r="A277" t="s">
        <v>1245</v>
      </c>
      <c r="B277">
        <v>4.6923701476640066E-2</v>
      </c>
    </row>
    <row r="278" spans="1:2" x14ac:dyDescent="0.35">
      <c r="A278" t="s">
        <v>1245</v>
      </c>
      <c r="B278">
        <v>4.7210215709644308E-2</v>
      </c>
    </row>
    <row r="279" spans="1:2" x14ac:dyDescent="0.35">
      <c r="A279" t="s">
        <v>1245</v>
      </c>
      <c r="B279">
        <v>4.749775923743136E-2</v>
      </c>
    </row>
    <row r="280" spans="1:2" x14ac:dyDescent="0.35">
      <c r="A280" t="s">
        <v>1245</v>
      </c>
      <c r="B280">
        <v>4.9539478361260769E-2</v>
      </c>
    </row>
    <row r="281" spans="1:2" x14ac:dyDescent="0.35">
      <c r="A281" t="s">
        <v>1245</v>
      </c>
      <c r="B281">
        <v>4.9835296561544472E-2</v>
      </c>
    </row>
    <row r="282" spans="1:2" x14ac:dyDescent="0.35">
      <c r="A282" t="s">
        <v>1245</v>
      </c>
      <c r="B282">
        <v>5.0132154111941926E-2</v>
      </c>
    </row>
    <row r="283" spans="1:2" x14ac:dyDescent="0.35">
      <c r="A283" t="s">
        <v>1245</v>
      </c>
      <c r="B283">
        <v>5.0728991699844669E-2</v>
      </c>
    </row>
    <row r="284" spans="1:2" x14ac:dyDescent="0.35">
      <c r="A284" t="s">
        <v>1245</v>
      </c>
      <c r="B284">
        <v>5.1329999983374952E-2</v>
      </c>
    </row>
    <row r="285" spans="1:2" x14ac:dyDescent="0.35">
      <c r="A285" t="s">
        <v>1245</v>
      </c>
      <c r="B285">
        <v>5.193518779686257E-2</v>
      </c>
    </row>
    <row r="286" spans="1:2" x14ac:dyDescent="0.35">
      <c r="A286" t="s">
        <v>1245</v>
      </c>
      <c r="B286">
        <v>5.2239351781529789E-2</v>
      </c>
    </row>
    <row r="287" spans="1:2" x14ac:dyDescent="0.35">
      <c r="A287" t="s">
        <v>1245</v>
      </c>
      <c r="B287">
        <v>5.2544563950742362E-2</v>
      </c>
    </row>
    <row r="288" spans="1:2" x14ac:dyDescent="0.35">
      <c r="A288" t="s">
        <v>1245</v>
      </c>
      <c r="B288">
        <v>5.3158137231732655E-2</v>
      </c>
    </row>
    <row r="289" spans="1:2" x14ac:dyDescent="0.35">
      <c r="A289" t="s">
        <v>1245</v>
      </c>
      <c r="B289">
        <v>5.3158137231732655E-2</v>
      </c>
    </row>
    <row r="290" spans="1:2" x14ac:dyDescent="0.35">
      <c r="A290" t="s">
        <v>1245</v>
      </c>
      <c r="B290">
        <v>5.3466500534302366E-2</v>
      </c>
    </row>
    <row r="291" spans="1:2" x14ac:dyDescent="0.35">
      <c r="A291" t="s">
        <v>1245</v>
      </c>
      <c r="B291">
        <v>5.5654576540926301E-2</v>
      </c>
    </row>
    <row r="292" spans="1:2" x14ac:dyDescent="0.35">
      <c r="A292" t="s">
        <v>1245</v>
      </c>
      <c r="B292">
        <v>5.6608204360210565E-2</v>
      </c>
    </row>
    <row r="293" spans="1:2" x14ac:dyDescent="0.35">
      <c r="A293" t="s">
        <v>1245</v>
      </c>
      <c r="B293">
        <v>5.7571402942288054E-2</v>
      </c>
    </row>
    <row r="294" spans="1:2" x14ac:dyDescent="0.35">
      <c r="A294" t="s">
        <v>1245</v>
      </c>
      <c r="B294">
        <v>5.7894600997521958E-2</v>
      </c>
    </row>
    <row r="295" spans="1:2" x14ac:dyDescent="0.35">
      <c r="A295" t="s">
        <v>1245</v>
      </c>
      <c r="B295">
        <v>5.7894600997521958E-2</v>
      </c>
    </row>
    <row r="296" spans="1:2" x14ac:dyDescent="0.35">
      <c r="A296" t="s">
        <v>1245</v>
      </c>
      <c r="B296">
        <v>5.8218866773368738E-2</v>
      </c>
    </row>
    <row r="297" spans="1:2" x14ac:dyDescent="0.35">
      <c r="A297" t="s">
        <v>1245</v>
      </c>
      <c r="B297">
        <v>5.8544201341756981E-2</v>
      </c>
    </row>
    <row r="298" spans="1:2" x14ac:dyDescent="0.35">
      <c r="A298" t="s">
        <v>1245</v>
      </c>
      <c r="B298">
        <v>5.8544201341756981E-2</v>
      </c>
    </row>
    <row r="299" spans="1:2" x14ac:dyDescent="0.35">
      <c r="A299" t="s">
        <v>1245</v>
      </c>
      <c r="B299">
        <v>5.9526628500819259E-2</v>
      </c>
    </row>
    <row r="300" spans="1:2" x14ac:dyDescent="0.35">
      <c r="A300" t="s">
        <v>1245</v>
      </c>
      <c r="B300">
        <v>6.0186943493153379E-2</v>
      </c>
    </row>
    <row r="301" spans="1:2" x14ac:dyDescent="0.35">
      <c r="A301" t="s">
        <v>1245</v>
      </c>
      <c r="B301">
        <v>6.0851559265547618E-2</v>
      </c>
    </row>
    <row r="302" spans="1:2" x14ac:dyDescent="0.35">
      <c r="A302" t="s">
        <v>1245</v>
      </c>
      <c r="B302">
        <v>6.1520484311731349E-2</v>
      </c>
    </row>
    <row r="303" spans="1:2" x14ac:dyDescent="0.35">
      <c r="A303" t="s">
        <v>1245</v>
      </c>
      <c r="B303">
        <v>6.1856565460921824E-2</v>
      </c>
    </row>
    <row r="304" spans="1:2" x14ac:dyDescent="0.35">
      <c r="A304" t="s">
        <v>1245</v>
      </c>
      <c r="B304">
        <v>6.2871296093400517E-2</v>
      </c>
    </row>
    <row r="305" spans="1:2" x14ac:dyDescent="0.35">
      <c r="A305" t="s">
        <v>1245</v>
      </c>
      <c r="B305">
        <v>6.3211705547179919E-2</v>
      </c>
    </row>
    <row r="306" spans="1:2" x14ac:dyDescent="0.35">
      <c r="A306" t="s">
        <v>1245</v>
      </c>
      <c r="B306">
        <v>6.3211705547179919E-2</v>
      </c>
    </row>
    <row r="307" spans="1:2" x14ac:dyDescent="0.35">
      <c r="A307" t="s">
        <v>1245</v>
      </c>
      <c r="B307">
        <v>6.3211705547179919E-2</v>
      </c>
    </row>
    <row r="308" spans="1:2" x14ac:dyDescent="0.35">
      <c r="A308" t="s">
        <v>1245</v>
      </c>
      <c r="B308">
        <v>6.3895779631740451E-2</v>
      </c>
    </row>
    <row r="309" spans="1:2" x14ac:dyDescent="0.35">
      <c r="A309" t="s">
        <v>1245</v>
      </c>
      <c r="B309">
        <v>6.5276977876242731E-2</v>
      </c>
    </row>
    <row r="310" spans="1:2" x14ac:dyDescent="0.35">
      <c r="A310" t="s">
        <v>1245</v>
      </c>
      <c r="B310">
        <v>6.5625002306174435E-2</v>
      </c>
    </row>
    <row r="311" spans="1:2" x14ac:dyDescent="0.35">
      <c r="A311" t="s">
        <v>1245</v>
      </c>
      <c r="B311">
        <v>6.8091808523650779E-2</v>
      </c>
    </row>
    <row r="312" spans="1:2" x14ac:dyDescent="0.35">
      <c r="A312" t="s">
        <v>1245</v>
      </c>
      <c r="B312">
        <v>6.9886771132047706E-2</v>
      </c>
    </row>
    <row r="313" spans="1:2" x14ac:dyDescent="0.35">
      <c r="A313" t="s">
        <v>1245</v>
      </c>
      <c r="B313">
        <v>6.9886771132047706E-2</v>
      </c>
    </row>
    <row r="314" spans="1:2" x14ac:dyDescent="0.35">
      <c r="A314" t="s">
        <v>1245</v>
      </c>
      <c r="B314">
        <v>6.9886771132047706E-2</v>
      </c>
    </row>
    <row r="315" spans="1:2" x14ac:dyDescent="0.35">
      <c r="A315" t="s">
        <v>1245</v>
      </c>
      <c r="B315">
        <v>7.09769938477295E-2</v>
      </c>
    </row>
    <row r="316" spans="1:2" x14ac:dyDescent="0.35">
      <c r="A316" t="s">
        <v>1245</v>
      </c>
      <c r="B316">
        <v>7.3559657851727411E-2</v>
      </c>
    </row>
    <row r="317" spans="1:2" x14ac:dyDescent="0.35">
      <c r="A317" t="s">
        <v>1245</v>
      </c>
      <c r="B317">
        <v>7.3933060352237095E-2</v>
      </c>
    </row>
    <row r="318" spans="1:2" x14ac:dyDescent="0.35">
      <c r="A318" t="s">
        <v>1245</v>
      </c>
      <c r="B318">
        <v>7.3933060352237095E-2</v>
      </c>
    </row>
    <row r="319" spans="1:2" x14ac:dyDescent="0.35">
      <c r="A319" t="s">
        <v>1245</v>
      </c>
      <c r="B319">
        <v>7.430757852634548E-2</v>
      </c>
    </row>
    <row r="320" spans="1:2" x14ac:dyDescent="0.35">
      <c r="A320" t="s">
        <v>1245</v>
      </c>
      <c r="B320">
        <v>7.4683213387290476E-2</v>
      </c>
    </row>
    <row r="321" spans="1:2" x14ac:dyDescent="0.35">
      <c r="A321" t="s">
        <v>1245</v>
      </c>
      <c r="B321">
        <v>7.5059965947131699E-2</v>
      </c>
    </row>
    <row r="322" spans="1:2" x14ac:dyDescent="0.35">
      <c r="A322" t="s">
        <v>1245</v>
      </c>
      <c r="B322">
        <v>7.543783721675415E-2</v>
      </c>
    </row>
    <row r="323" spans="1:2" x14ac:dyDescent="0.35">
      <c r="A323" t="s">
        <v>1245</v>
      </c>
      <c r="B323">
        <v>7.5816828205872405E-2</v>
      </c>
    </row>
    <row r="324" spans="1:2" x14ac:dyDescent="0.35">
      <c r="A324" t="s">
        <v>1245</v>
      </c>
      <c r="B324">
        <v>7.6960529569863795E-2</v>
      </c>
    </row>
    <row r="325" spans="1:2" x14ac:dyDescent="0.35">
      <c r="A325" t="s">
        <v>1245</v>
      </c>
      <c r="B325">
        <v>7.734400951082615E-2</v>
      </c>
    </row>
    <row r="326" spans="1:2" x14ac:dyDescent="0.35">
      <c r="A326" t="s">
        <v>1245</v>
      </c>
      <c r="B326">
        <v>7.9278300513430877E-2</v>
      </c>
    </row>
    <row r="327" spans="1:2" x14ac:dyDescent="0.35">
      <c r="A327" t="s">
        <v>1245</v>
      </c>
      <c r="B327">
        <v>7.9278300513430877E-2</v>
      </c>
    </row>
    <row r="328" spans="1:2" x14ac:dyDescent="0.35">
      <c r="A328" t="s">
        <v>1245</v>
      </c>
      <c r="B328">
        <v>7.9668543976908354E-2</v>
      </c>
    </row>
    <row r="329" spans="1:2" x14ac:dyDescent="0.35">
      <c r="A329" t="s">
        <v>1245</v>
      </c>
      <c r="B329">
        <v>8.1240835286238725E-2</v>
      </c>
    </row>
    <row r="330" spans="1:2" x14ac:dyDescent="0.35">
      <c r="A330" t="s">
        <v>1245</v>
      </c>
      <c r="B330">
        <v>8.1636742448786201E-2</v>
      </c>
    </row>
    <row r="331" spans="1:2" x14ac:dyDescent="0.35">
      <c r="A331" t="s">
        <v>1245</v>
      </c>
      <c r="B331">
        <v>8.1636742448786201E-2</v>
      </c>
    </row>
    <row r="332" spans="1:2" x14ac:dyDescent="0.35">
      <c r="A332" t="s">
        <v>1245</v>
      </c>
      <c r="B332">
        <v>8.2431964920414283E-2</v>
      </c>
    </row>
    <row r="333" spans="1:2" x14ac:dyDescent="0.35">
      <c r="A333" t="s">
        <v>1245</v>
      </c>
      <c r="B333">
        <v>8.3231738184374682E-2</v>
      </c>
    </row>
    <row r="334" spans="1:2" x14ac:dyDescent="0.35">
      <c r="A334" t="s">
        <v>1245</v>
      </c>
      <c r="B334">
        <v>8.5658441651904366E-2</v>
      </c>
    </row>
    <row r="335" spans="1:2" x14ac:dyDescent="0.35">
      <c r="A335" t="s">
        <v>1245</v>
      </c>
      <c r="B335">
        <v>8.6887245360694684E-2</v>
      </c>
    </row>
    <row r="336" spans="1:2" x14ac:dyDescent="0.35">
      <c r="A336" t="s">
        <v>1245</v>
      </c>
      <c r="B336">
        <v>8.6887245360694684E-2</v>
      </c>
    </row>
    <row r="337" spans="1:2" x14ac:dyDescent="0.35">
      <c r="A337" t="s">
        <v>1245</v>
      </c>
      <c r="B337">
        <v>8.7712188743889419E-2</v>
      </c>
    </row>
    <row r="338" spans="1:2" x14ac:dyDescent="0.35">
      <c r="A338" t="s">
        <v>1245</v>
      </c>
      <c r="B338">
        <v>8.9375888812555801E-2</v>
      </c>
    </row>
    <row r="339" spans="1:2" x14ac:dyDescent="0.35">
      <c r="A339" t="s">
        <v>1245</v>
      </c>
      <c r="B339">
        <v>8.9794697275799251E-2</v>
      </c>
    </row>
    <row r="340" spans="1:2" x14ac:dyDescent="0.35">
      <c r="A340" t="s">
        <v>1245</v>
      </c>
      <c r="B340">
        <v>9.1481494011035461E-2</v>
      </c>
    </row>
    <row r="341" spans="1:2" x14ac:dyDescent="0.35">
      <c r="A341" t="s">
        <v>1245</v>
      </c>
      <c r="B341">
        <v>9.2331843646970072E-2</v>
      </c>
    </row>
    <row r="342" spans="1:2" x14ac:dyDescent="0.35">
      <c r="A342" t="s">
        <v>1245</v>
      </c>
      <c r="B342">
        <v>9.4478054124424032E-2</v>
      </c>
    </row>
    <row r="343" spans="1:2" x14ac:dyDescent="0.35">
      <c r="A343" t="s">
        <v>1245</v>
      </c>
      <c r="B343">
        <v>9.534469304410835E-2</v>
      </c>
    </row>
    <row r="344" spans="1:2" x14ac:dyDescent="0.35">
      <c r="A344" t="s">
        <v>1245</v>
      </c>
      <c r="B344">
        <v>9.534469304410835E-2</v>
      </c>
    </row>
    <row r="345" spans="1:2" x14ac:dyDescent="0.35">
      <c r="A345" t="s">
        <v>1245</v>
      </c>
      <c r="B345">
        <v>9.6653412573223546E-2</v>
      </c>
    </row>
    <row r="346" spans="1:2" x14ac:dyDescent="0.35">
      <c r="A346" t="s">
        <v>1245</v>
      </c>
      <c r="B346">
        <v>9.7091992542200217E-2</v>
      </c>
    </row>
    <row r="347" spans="1:2" x14ac:dyDescent="0.35">
      <c r="A347" t="s">
        <v>1245</v>
      </c>
      <c r="B347">
        <v>9.7531744162642681E-2</v>
      </c>
    </row>
    <row r="348" spans="1:2" x14ac:dyDescent="0.35">
      <c r="A348" t="s">
        <v>1245</v>
      </c>
      <c r="B348">
        <v>9.9302486176380558E-2</v>
      </c>
    </row>
    <row r="349" spans="1:2" x14ac:dyDescent="0.35">
      <c r="A349" t="s">
        <v>1245</v>
      </c>
      <c r="B349">
        <v>9.9748110308503432E-2</v>
      </c>
    </row>
    <row r="350" spans="1:2" x14ac:dyDescent="0.35">
      <c r="A350" t="s">
        <v>1245</v>
      </c>
      <c r="B350">
        <v>0.10154238975241078</v>
      </c>
    </row>
    <row r="351" spans="1:2" x14ac:dyDescent="0.35">
      <c r="A351" t="s">
        <v>1245</v>
      </c>
      <c r="B351">
        <v>0.10244661243977661</v>
      </c>
    </row>
    <row r="352" spans="1:2" x14ac:dyDescent="0.35">
      <c r="A352" t="s">
        <v>1245</v>
      </c>
      <c r="B352">
        <v>0.10335556715035027</v>
      </c>
    </row>
    <row r="353" spans="1:2" x14ac:dyDescent="0.35">
      <c r="A353" t="s">
        <v>1245</v>
      </c>
      <c r="B353">
        <v>0.10335556715035027</v>
      </c>
    </row>
    <row r="354" spans="1:2" x14ac:dyDescent="0.35">
      <c r="A354" t="s">
        <v>1245</v>
      </c>
      <c r="B354">
        <v>0.1075046232873057</v>
      </c>
    </row>
    <row r="355" spans="1:2" x14ac:dyDescent="0.35">
      <c r="A355" t="s">
        <v>1245</v>
      </c>
      <c r="B355">
        <v>0.12103395050025308</v>
      </c>
    </row>
    <row r="356" spans="1:2" x14ac:dyDescent="0.35">
      <c r="A356" t="s">
        <v>1245</v>
      </c>
      <c r="B356">
        <v>0.12253985067098808</v>
      </c>
    </row>
    <row r="357" spans="1:2" x14ac:dyDescent="0.35">
      <c r="A357" t="s">
        <v>1245</v>
      </c>
      <c r="B357">
        <v>0.12405674603400915</v>
      </c>
    </row>
    <row r="358" spans="1:2" x14ac:dyDescent="0.35">
      <c r="A358" t="s">
        <v>1245</v>
      </c>
      <c r="B358">
        <v>0.2390543471739312</v>
      </c>
    </row>
    <row r="359" spans="1:2" x14ac:dyDescent="0.35">
      <c r="A359" t="s">
        <v>1206</v>
      </c>
      <c r="B359">
        <v>0.12744655755085801</v>
      </c>
    </row>
    <row r="360" spans="1:2" x14ac:dyDescent="0.35">
      <c r="A360" t="s">
        <v>1206</v>
      </c>
      <c r="B360">
        <v>0.12136156968254884</v>
      </c>
    </row>
    <row r="361" spans="1:2" x14ac:dyDescent="0.35">
      <c r="A361" t="s">
        <v>1206</v>
      </c>
      <c r="B361">
        <v>0.10145720492297419</v>
      </c>
    </row>
    <row r="362" spans="1:2" x14ac:dyDescent="0.35">
      <c r="A362" t="s">
        <v>1206</v>
      </c>
      <c r="B362">
        <v>9.1953804927867491E-2</v>
      </c>
    </row>
    <row r="363" spans="1:2" x14ac:dyDescent="0.35">
      <c r="A363" t="s">
        <v>1206</v>
      </c>
      <c r="B363">
        <v>8.6742400840307377E-2</v>
      </c>
    </row>
    <row r="364" spans="1:2" x14ac:dyDescent="0.35">
      <c r="A364" t="s">
        <v>1206</v>
      </c>
      <c r="B364">
        <v>8.6519963553478824E-2</v>
      </c>
    </row>
    <row r="365" spans="1:2" x14ac:dyDescent="0.35">
      <c r="A365" t="s">
        <v>1206</v>
      </c>
      <c r="B365">
        <v>8.3007621554871097E-2</v>
      </c>
    </row>
    <row r="366" spans="1:2" x14ac:dyDescent="0.35">
      <c r="A366" t="s">
        <v>1206</v>
      </c>
      <c r="B366">
        <v>6.5982668994377172E-2</v>
      </c>
    </row>
    <row r="367" spans="1:2" x14ac:dyDescent="0.35">
      <c r="A367" t="s">
        <v>1206</v>
      </c>
      <c r="B367">
        <v>6.4669100093686288E-2</v>
      </c>
    </row>
    <row r="368" spans="1:2" x14ac:dyDescent="0.35">
      <c r="A368" t="s">
        <v>1206</v>
      </c>
      <c r="B368">
        <v>5.3221216570962279E-2</v>
      </c>
    </row>
    <row r="369" spans="1:2" x14ac:dyDescent="0.35">
      <c r="A369" t="s">
        <v>1206</v>
      </c>
      <c r="B369">
        <v>5.3055509327764733E-2</v>
      </c>
    </row>
    <row r="370" spans="1:2" x14ac:dyDescent="0.35">
      <c r="A370" t="s">
        <v>1206</v>
      </c>
      <c r="B370">
        <v>5.2231636825034823E-2</v>
      </c>
    </row>
    <row r="371" spans="1:2" x14ac:dyDescent="0.35">
      <c r="A371" t="s">
        <v>1206</v>
      </c>
      <c r="B371">
        <v>4.5012635454392255E-2</v>
      </c>
    </row>
    <row r="372" spans="1:2" x14ac:dyDescent="0.35">
      <c r="A372" t="s">
        <v>1206</v>
      </c>
      <c r="B372">
        <v>4.4713351432584258E-2</v>
      </c>
    </row>
    <row r="373" spans="1:2" x14ac:dyDescent="0.35">
      <c r="A373" t="s">
        <v>1206</v>
      </c>
      <c r="B373">
        <v>4.4713351432584258E-2</v>
      </c>
    </row>
    <row r="374" spans="1:2" x14ac:dyDescent="0.35">
      <c r="A374" t="s">
        <v>1206</v>
      </c>
      <c r="B374">
        <v>4.2506917089788751E-2</v>
      </c>
    </row>
    <row r="375" spans="1:2" x14ac:dyDescent="0.35">
      <c r="A375" t="s">
        <v>1206</v>
      </c>
      <c r="B375">
        <v>4.1215217084405384E-2</v>
      </c>
    </row>
    <row r="376" spans="1:2" x14ac:dyDescent="0.35">
      <c r="A376" t="s">
        <v>1206</v>
      </c>
      <c r="B376">
        <v>4.0507958084405417E-2</v>
      </c>
    </row>
    <row r="377" spans="1:2" x14ac:dyDescent="0.35">
      <c r="A377" t="s">
        <v>1206</v>
      </c>
      <c r="B377">
        <v>3.748311668998474E-2</v>
      </c>
    </row>
    <row r="378" spans="1:2" x14ac:dyDescent="0.35">
      <c r="A378" t="s">
        <v>1206</v>
      </c>
      <c r="B378">
        <v>3.7081556461633358E-2</v>
      </c>
    </row>
    <row r="379" spans="1:2" x14ac:dyDescent="0.35">
      <c r="A379" t="s">
        <v>1206</v>
      </c>
      <c r="B379">
        <v>3.4470718850122345E-2</v>
      </c>
    </row>
    <row r="380" spans="1:2" x14ac:dyDescent="0.35">
      <c r="A380" t="s">
        <v>1206</v>
      </c>
      <c r="B380">
        <v>3.408896364461024E-2</v>
      </c>
    </row>
    <row r="381" spans="1:2" x14ac:dyDescent="0.35">
      <c r="A381" t="s">
        <v>1206</v>
      </c>
      <c r="B381">
        <v>3.3835881688354358E-2</v>
      </c>
    </row>
    <row r="382" spans="1:2" x14ac:dyDescent="0.35">
      <c r="A382" t="s">
        <v>1206</v>
      </c>
      <c r="B382">
        <v>3.1973831037103953E-2</v>
      </c>
    </row>
    <row r="383" spans="1:2" x14ac:dyDescent="0.35">
      <c r="A383" t="s">
        <v>1206</v>
      </c>
      <c r="B383">
        <v>3.1851946703967259E-2</v>
      </c>
    </row>
    <row r="384" spans="1:2" x14ac:dyDescent="0.35">
      <c r="A384" t="s">
        <v>1206</v>
      </c>
      <c r="B384">
        <v>3.0767575174856863E-2</v>
      </c>
    </row>
    <row r="385" spans="1:2" x14ac:dyDescent="0.35">
      <c r="A385" t="s">
        <v>1206</v>
      </c>
      <c r="B385">
        <v>2.6002638363320209E-2</v>
      </c>
    </row>
    <row r="386" spans="1:2" x14ac:dyDescent="0.35">
      <c r="A386" t="s">
        <v>1206</v>
      </c>
      <c r="B386">
        <v>2.4416699052346238E-2</v>
      </c>
    </row>
    <row r="387" spans="1:2" x14ac:dyDescent="0.35">
      <c r="A387" t="s">
        <v>1206</v>
      </c>
      <c r="B387">
        <v>2.0384221463185217E-2</v>
      </c>
    </row>
    <row r="388" spans="1:2" x14ac:dyDescent="0.35">
      <c r="A388" t="s">
        <v>1206</v>
      </c>
      <c r="B388">
        <v>1.7792590069500035E-2</v>
      </c>
    </row>
    <row r="389" spans="1:2" x14ac:dyDescent="0.35">
      <c r="A389" t="s">
        <v>1206</v>
      </c>
      <c r="B389">
        <v>1.494284168968062E-2</v>
      </c>
    </row>
    <row r="390" spans="1:2" x14ac:dyDescent="0.35">
      <c r="A390" t="s">
        <v>1206</v>
      </c>
      <c r="B390">
        <v>1.1642893112683683E-2</v>
      </c>
    </row>
    <row r="391" spans="1:2" x14ac:dyDescent="0.35">
      <c r="A391" t="s">
        <v>1206</v>
      </c>
      <c r="B391">
        <v>8.3284643136190498E-3</v>
      </c>
    </row>
    <row r="392" spans="1:2" x14ac:dyDescent="0.35">
      <c r="A392" t="s">
        <v>1206</v>
      </c>
      <c r="B392">
        <v>7.6925430870005531E-3</v>
      </c>
    </row>
    <row r="393" spans="1:2" x14ac:dyDescent="0.35">
      <c r="A393" t="s">
        <v>1206</v>
      </c>
      <c r="B393">
        <v>7.3859288874568926E-3</v>
      </c>
    </row>
    <row r="394" spans="1:2" x14ac:dyDescent="0.35">
      <c r="A394" t="s">
        <v>1206</v>
      </c>
      <c r="B394">
        <v>2.4944142496929273E-3</v>
      </c>
    </row>
    <row r="395" spans="1:2" x14ac:dyDescent="0.35">
      <c r="A395" t="s">
        <v>1243</v>
      </c>
      <c r="B395">
        <v>0.27459494329126022</v>
      </c>
    </row>
    <row r="396" spans="1:2" x14ac:dyDescent="0.35">
      <c r="A396" t="s">
        <v>1243</v>
      </c>
      <c r="B396">
        <v>0.27003333665680268</v>
      </c>
    </row>
    <row r="397" spans="1:2" x14ac:dyDescent="0.35">
      <c r="A397" t="s">
        <v>1243</v>
      </c>
      <c r="B397">
        <v>0.26759805781175511</v>
      </c>
    </row>
    <row r="398" spans="1:2" x14ac:dyDescent="0.35">
      <c r="A398" t="s">
        <v>1243</v>
      </c>
      <c r="B398">
        <v>0.21403600171766957</v>
      </c>
    </row>
    <row r="399" spans="1:2" x14ac:dyDescent="0.35">
      <c r="A399" t="s">
        <v>1243</v>
      </c>
      <c r="B399">
        <v>0.20402755047005544</v>
      </c>
    </row>
    <row r="400" spans="1:2" x14ac:dyDescent="0.35">
      <c r="A400" t="s">
        <v>1243</v>
      </c>
      <c r="B400">
        <v>0.19971270408681041</v>
      </c>
    </row>
    <row r="401" spans="1:2" x14ac:dyDescent="0.35">
      <c r="A401" t="s">
        <v>1243</v>
      </c>
      <c r="B401">
        <v>0.18822881624992022</v>
      </c>
    </row>
    <row r="402" spans="1:2" x14ac:dyDescent="0.35">
      <c r="A402" t="s">
        <v>1243</v>
      </c>
      <c r="B402">
        <v>0.18413955451659744</v>
      </c>
    </row>
    <row r="403" spans="1:2" x14ac:dyDescent="0.35">
      <c r="A403" t="s">
        <v>1243</v>
      </c>
      <c r="B403">
        <v>0.15739787129845734</v>
      </c>
    </row>
    <row r="404" spans="1:2" x14ac:dyDescent="0.35">
      <c r="A404" t="s">
        <v>1243</v>
      </c>
      <c r="B404">
        <v>0.15043087455260273</v>
      </c>
    </row>
    <row r="405" spans="1:2" x14ac:dyDescent="0.35">
      <c r="A405" t="s">
        <v>1243</v>
      </c>
      <c r="B405">
        <v>0.14784275391607271</v>
      </c>
    </row>
    <row r="406" spans="1:2" x14ac:dyDescent="0.35">
      <c r="A406" t="s">
        <v>1243</v>
      </c>
      <c r="B406">
        <v>0.13645075597217077</v>
      </c>
    </row>
    <row r="407" spans="1:2" x14ac:dyDescent="0.35">
      <c r="A407" t="s">
        <v>1243</v>
      </c>
      <c r="B407">
        <v>0.1044951334814337</v>
      </c>
    </row>
    <row r="408" spans="1:2" x14ac:dyDescent="0.35">
      <c r="A408" t="s">
        <v>1243</v>
      </c>
      <c r="B408">
        <v>8.7650142730341551E-2</v>
      </c>
    </row>
    <row r="409" spans="1:2" x14ac:dyDescent="0.35">
      <c r="A409" t="s">
        <v>1243</v>
      </c>
      <c r="B409">
        <v>8.1673389179176825E-2</v>
      </c>
    </row>
    <row r="410" spans="1:2" x14ac:dyDescent="0.35">
      <c r="A410" t="s">
        <v>1243</v>
      </c>
      <c r="B410">
        <v>8.1201012243555235E-2</v>
      </c>
    </row>
    <row r="411" spans="1:2" x14ac:dyDescent="0.35">
      <c r="A411" t="s">
        <v>1243</v>
      </c>
      <c r="B411">
        <v>7.8098105095320253E-2</v>
      </c>
    </row>
    <row r="412" spans="1:2" x14ac:dyDescent="0.35">
      <c r="A412" t="s">
        <v>1243</v>
      </c>
      <c r="B412">
        <v>7.7334877631544313E-2</v>
      </c>
    </row>
    <row r="413" spans="1:2" x14ac:dyDescent="0.35">
      <c r="A413" t="s">
        <v>1243</v>
      </c>
      <c r="B413">
        <v>7.6727873179354852E-2</v>
      </c>
    </row>
    <row r="414" spans="1:2" x14ac:dyDescent="0.35">
      <c r="A414" t="s">
        <v>1243</v>
      </c>
      <c r="B414">
        <v>7.2713127061113894E-2</v>
      </c>
    </row>
    <row r="415" spans="1:2" x14ac:dyDescent="0.35">
      <c r="A415" t="s">
        <v>1243</v>
      </c>
      <c r="B415">
        <v>6.4971372626914978E-2</v>
      </c>
    </row>
    <row r="416" spans="1:2" x14ac:dyDescent="0.35">
      <c r="A416" t="s">
        <v>1243</v>
      </c>
      <c r="B416">
        <v>6.389310197389142E-2</v>
      </c>
    </row>
    <row r="417" spans="1:2" x14ac:dyDescent="0.35">
      <c r="A417" t="s">
        <v>1243</v>
      </c>
      <c r="B417">
        <v>4.4537636851119722E-2</v>
      </c>
    </row>
    <row r="418" spans="1:2" x14ac:dyDescent="0.35">
      <c r="A418" t="s">
        <v>1243</v>
      </c>
      <c r="B418">
        <v>4.3907721935765906E-2</v>
      </c>
    </row>
    <row r="419" spans="1:2" x14ac:dyDescent="0.35">
      <c r="A419" t="s">
        <v>1243</v>
      </c>
      <c r="B419">
        <v>2.9294087542344631E-2</v>
      </c>
    </row>
    <row r="420" spans="1:2" x14ac:dyDescent="0.35">
      <c r="A420" t="s">
        <v>1243</v>
      </c>
      <c r="B420">
        <v>2.6886857590821444E-2</v>
      </c>
    </row>
    <row r="421" spans="1:2" x14ac:dyDescent="0.35">
      <c r="A421" t="s">
        <v>1243</v>
      </c>
      <c r="B421">
        <v>2.0460244628193989E-2</v>
      </c>
    </row>
    <row r="422" spans="1:2" x14ac:dyDescent="0.35">
      <c r="A422" t="s">
        <v>1243</v>
      </c>
      <c r="B422">
        <v>1.2257364661323699E-2</v>
      </c>
    </row>
    <row r="423" spans="1:2" x14ac:dyDescent="0.35">
      <c r="A423" t="s">
        <v>1243</v>
      </c>
      <c r="B423">
        <v>6.0578028010594497E-2</v>
      </c>
    </row>
    <row r="424" spans="1:2" x14ac:dyDescent="0.35">
      <c r="A424" t="s">
        <v>1243</v>
      </c>
      <c r="B424">
        <v>0.31990393803620448</v>
      </c>
    </row>
    <row r="425" spans="1:2" x14ac:dyDescent="0.35">
      <c r="A425" t="s">
        <v>1243</v>
      </c>
      <c r="B425">
        <v>1.8058879469417977E-2</v>
      </c>
    </row>
    <row r="426" spans="1:2" x14ac:dyDescent="0.35">
      <c r="A426" t="s">
        <v>1243</v>
      </c>
      <c r="B426">
        <v>6.4634916856766311E-2</v>
      </c>
    </row>
    <row r="427" spans="1:2" x14ac:dyDescent="0.35">
      <c r="A427" t="s">
        <v>1243</v>
      </c>
      <c r="B427">
        <v>7.0027717966774594E-2</v>
      </c>
    </row>
    <row r="428" spans="1:2" x14ac:dyDescent="0.35">
      <c r="A428" t="s">
        <v>1243</v>
      </c>
      <c r="B428">
        <v>1.7982505560096524</v>
      </c>
    </row>
    <row r="429" spans="1:2" x14ac:dyDescent="0.35">
      <c r="A429" t="s">
        <v>1243</v>
      </c>
      <c r="B429">
        <v>0.42171081919058051</v>
      </c>
    </row>
    <row r="430" spans="1:2" x14ac:dyDescent="0.35">
      <c r="A430" t="s">
        <v>1272</v>
      </c>
      <c r="B430">
        <v>6.8326481359385502E-2</v>
      </c>
    </row>
    <row r="431" spans="1:2" x14ac:dyDescent="0.35">
      <c r="A431" t="s">
        <v>1272</v>
      </c>
      <c r="B431">
        <v>6.412802218834586E-2</v>
      </c>
    </row>
    <row r="432" spans="1:2" x14ac:dyDescent="0.35">
      <c r="A432" t="s">
        <v>1272</v>
      </c>
      <c r="B432">
        <v>6.2701760012049759E-2</v>
      </c>
    </row>
    <row r="433" spans="1:2" x14ac:dyDescent="0.35">
      <c r="A433" t="s">
        <v>1272</v>
      </c>
      <c r="B433">
        <v>6.0247949134733289E-2</v>
      </c>
    </row>
    <row r="434" spans="1:2" x14ac:dyDescent="0.35">
      <c r="A434" t="s">
        <v>1272</v>
      </c>
      <c r="B434">
        <v>5.955669029185845E-2</v>
      </c>
    </row>
    <row r="435" spans="1:2" x14ac:dyDescent="0.35">
      <c r="A435" t="s">
        <v>1272</v>
      </c>
      <c r="B435">
        <v>5.8869791694073366E-2</v>
      </c>
    </row>
    <row r="436" spans="1:2" x14ac:dyDescent="0.35">
      <c r="A436" t="s">
        <v>1272</v>
      </c>
      <c r="B436">
        <v>5.3044689952901472E-2</v>
      </c>
    </row>
    <row r="437" spans="1:2" x14ac:dyDescent="0.35">
      <c r="A437" t="s">
        <v>1272</v>
      </c>
      <c r="B437">
        <v>5.2560807523740136E-2</v>
      </c>
    </row>
    <row r="438" spans="1:2" x14ac:dyDescent="0.35">
      <c r="A438" t="s">
        <v>1272</v>
      </c>
      <c r="B438">
        <v>5.1759722577797866E-2</v>
      </c>
    </row>
    <row r="439" spans="1:2" x14ac:dyDescent="0.35">
      <c r="A439" t="s">
        <v>1272</v>
      </c>
      <c r="B439">
        <v>4.9552424234845072E-2</v>
      </c>
    </row>
    <row r="440" spans="1:2" x14ac:dyDescent="0.35">
      <c r="A440" t="s">
        <v>1272</v>
      </c>
      <c r="B440">
        <v>4.8314695969329455E-2</v>
      </c>
    </row>
    <row r="441" spans="1:2" x14ac:dyDescent="0.35">
      <c r="A441" t="s">
        <v>1272</v>
      </c>
      <c r="B441">
        <v>4.7854959195194037E-2</v>
      </c>
    </row>
    <row r="442" spans="1:2" x14ac:dyDescent="0.35">
      <c r="A442" t="s">
        <v>1272</v>
      </c>
      <c r="B442">
        <v>4.7245714189943569E-2</v>
      </c>
    </row>
    <row r="443" spans="1:2" x14ac:dyDescent="0.35">
      <c r="A443" t="s">
        <v>1272</v>
      </c>
      <c r="B443">
        <v>4.6040018719163543E-2</v>
      </c>
    </row>
    <row r="444" spans="1:2" x14ac:dyDescent="0.35">
      <c r="A444" t="s">
        <v>1272</v>
      </c>
      <c r="B444">
        <v>4.5146921984677388E-2</v>
      </c>
    </row>
    <row r="445" spans="1:2" x14ac:dyDescent="0.35">
      <c r="A445" t="s">
        <v>1272</v>
      </c>
      <c r="B445">
        <v>4.4263384188302834E-2</v>
      </c>
    </row>
    <row r="446" spans="1:2" x14ac:dyDescent="0.35">
      <c r="A446" t="s">
        <v>1272</v>
      </c>
      <c r="B446">
        <v>4.2096243559342675E-2</v>
      </c>
    </row>
    <row r="447" spans="1:2" x14ac:dyDescent="0.35">
      <c r="A447" t="s">
        <v>1272</v>
      </c>
      <c r="B447">
        <v>4.0127133575523118E-2</v>
      </c>
    </row>
    <row r="448" spans="1:2" x14ac:dyDescent="0.35">
      <c r="A448" t="s">
        <v>1272</v>
      </c>
      <c r="B448">
        <v>3.4018323472353625E-2</v>
      </c>
    </row>
    <row r="449" spans="1:2" x14ac:dyDescent="0.35">
      <c r="A449" t="s">
        <v>1272</v>
      </c>
      <c r="B449">
        <v>2.2714963879026252E-2</v>
      </c>
    </row>
    <row r="450" spans="1:2" x14ac:dyDescent="0.35">
      <c r="A450" t="s">
        <v>1272</v>
      </c>
      <c r="B450">
        <v>3.6442841275584392E-2</v>
      </c>
    </row>
    <row r="451" spans="1:2" x14ac:dyDescent="0.35">
      <c r="A451" t="s">
        <v>1272</v>
      </c>
      <c r="B451">
        <v>4.8601911273007947E-2</v>
      </c>
    </row>
    <row r="452" spans="1:2" x14ac:dyDescent="0.35">
      <c r="A452" t="s">
        <v>1272</v>
      </c>
      <c r="B452">
        <v>0.16005444922000459</v>
      </c>
    </row>
    <row r="453" spans="1:2" x14ac:dyDescent="0.35">
      <c r="A453" t="s">
        <v>1272</v>
      </c>
      <c r="B453">
        <v>0.17997649712249422</v>
      </c>
    </row>
    <row r="454" spans="1:2" x14ac:dyDescent="0.35">
      <c r="A454" t="s">
        <v>1272</v>
      </c>
      <c r="B454">
        <v>6.3670164091871428E-2</v>
      </c>
    </row>
    <row r="455" spans="1:2" x14ac:dyDescent="0.35">
      <c r="A455" t="s">
        <v>1272</v>
      </c>
      <c r="B455">
        <v>8.049996191295733E-2</v>
      </c>
    </row>
    <row r="456" spans="1:2" x14ac:dyDescent="0.35">
      <c r="A456" t="s">
        <v>1272</v>
      </c>
      <c r="B456">
        <v>0.14398047797763022</v>
      </c>
    </row>
    <row r="457" spans="1:2" x14ac:dyDescent="0.35">
      <c r="A457" t="s">
        <v>1272</v>
      </c>
      <c r="B457">
        <v>0.24272171216771588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Formulas</vt:lpstr>
      <vt:lpstr>Crayfish</vt:lpstr>
      <vt:lpstr>Odonates</vt:lpstr>
      <vt:lpstr>Shrimp</vt:lpstr>
      <vt:lpstr>Fish</vt:lpstr>
      <vt:lpstr>Hemipterans</vt:lpstr>
      <vt:lpstr>All Prey Calories</vt:lpstr>
      <vt:lpstr>Prey Calories (&gt;250 mm TL)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</dc:creator>
  <cp:lastModifiedBy>Alyssa Herrera</cp:lastModifiedBy>
  <dcterms:created xsi:type="dcterms:W3CDTF">2023-10-31T12:55:32Z</dcterms:created>
  <dcterms:modified xsi:type="dcterms:W3CDTF">2025-12-29T18:22:05Z</dcterms:modified>
</cp:coreProperties>
</file>